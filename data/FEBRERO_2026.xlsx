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osrl\Downloads\REPORTES\"/>
    </mc:Choice>
  </mc:AlternateContent>
  <xr:revisionPtr revIDLastSave="0" documentId="8_{B494D0F6-D5D5-4771-82C0-DABAA64FA9D7}" xr6:coauthVersionLast="47" xr6:coauthVersionMax="47" xr10:uidLastSave="{00000000-0000-0000-0000-000000000000}"/>
  <bookViews>
    <workbookView xWindow="-108" yWindow="-108" windowWidth="23256" windowHeight="13896" activeTab="1" xr2:uid="{00000000-000D-0000-FFFF-FFFF00000000}"/>
  </bookViews>
  <sheets>
    <sheet name="Indicadores" sheetId="1" r:id="rId1"/>
    <sheet name="Indicadores PRIME" sheetId="2" r:id="rId2"/>
    <sheet name="Comparación_Métodos" sheetId="3" r:id="rId3"/>
    <sheet name="Duplicados_Detectados" sheetId="4" r:id="rId4"/>
    <sheet name="Capturados" sheetId="5" r:id="rId5"/>
    <sheet name="FALTAN" sheetId="6" r:id="rId6"/>
    <sheet name="⚠️ Vacíos_Estado" sheetId="7" r:id="rId7"/>
    <sheet name="⚠️ Vacíos_Padrón" sheetId="8" r:id="rId8"/>
    <sheet name="Detalle_Duplicados" sheetId="9" r:id="rId9"/>
    <sheet name="Registros_Eliminado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7" i="2"/>
  <c r="D5" i="2"/>
  <c r="D4" i="2"/>
  <c r="D29" i="2" s="1"/>
  <c r="F29" i="2" s="1"/>
  <c r="E29" i="2"/>
</calcChain>
</file>

<file path=xl/sharedStrings.xml><?xml version="1.0" encoding="utf-8"?>
<sst xmlns="http://schemas.openxmlformats.org/spreadsheetml/2006/main" count="15404" uniqueCount="2575">
  <si>
    <t>⬅️ Dashboard Principal</t>
  </si>
  <si>
    <t>FEBRERO 2026</t>
  </si>
  <si>
    <t>Unidad</t>
  </si>
  <si>
    <t>Total Contratos Padrón</t>
  </si>
  <si>
    <t>Total Contratos Estado</t>
  </si>
  <si>
    <t>Capturados</t>
  </si>
  <si>
    <t>Faltan</t>
  </si>
  <si>
    <t>% Captura</t>
  </si>
  <si>
    <t>ANGANGUEO</t>
  </si>
  <si>
    <t>CANANEA</t>
  </si>
  <si>
    <t>CHARCAS</t>
  </si>
  <si>
    <t>ESTACION SANTIAGO</t>
  </si>
  <si>
    <t>FUNDICION</t>
  </si>
  <si>
    <t>LA CARIDAD</t>
  </si>
  <si>
    <t>MINA SANTA EULALIA</t>
  </si>
  <si>
    <t>NUEVOS PROYECTOS CANANEA</t>
  </si>
  <si>
    <t>OFICINAS MEXICO</t>
  </si>
  <si>
    <t>PARQUE BICENTENARIO</t>
  </si>
  <si>
    <t>PARQUE ECOLOGICO ANTIGUA PLANTA MONTERREY</t>
  </si>
  <si>
    <t>PLANTA DE CAL</t>
  </si>
  <si>
    <t>PLANTA DE ZINC</t>
  </si>
  <si>
    <t>PLANTA NUEVA ROSITA</t>
  </si>
  <si>
    <t>PLANTA SAN LUIS COBRE</t>
  </si>
  <si>
    <t>PLANTA TRATADORA DE AGUAS RESIDUALES ZINC</t>
  </si>
  <si>
    <t>PROYECTO EL ARCO</t>
  </si>
  <si>
    <t>SAASA OFICINAS HERMOSILLO</t>
  </si>
  <si>
    <t>SAN MARTIN</t>
  </si>
  <si>
    <t>SANTA BARBARA</t>
  </si>
  <si>
    <t>SIN UNIDAD</t>
  </si>
  <si>
    <t>SN MARTIN (CHALCHIHUITES)</t>
  </si>
  <si>
    <t>TALLER CENTRAL</t>
  </si>
  <si>
    <t>TAXCO</t>
  </si>
  <si>
    <t>UNIDAD MARÍTIMA DE GUAYMAS</t>
  </si>
  <si>
    <t>ZINC VIVERO DIDACTIVO</t>
  </si>
  <si>
    <t>ZINC VIVERO FORESTAL</t>
  </si>
  <si>
    <t>TOTAL GENERAL</t>
  </si>
  <si>
    <t>Registros BRUTOS</t>
  </si>
  <si>
    <t>Contratos ÚNICOS</t>
  </si>
  <si>
    <t>Duplicados eliminados</t>
  </si>
  <si>
    <t>Diferencia %</t>
  </si>
  <si>
    <t>0.0%</t>
  </si>
  <si>
    <t>4.8%</t>
  </si>
  <si>
    <t>27.7%</t>
  </si>
  <si>
    <t>4.5%</t>
  </si>
  <si>
    <t>Número de contrato</t>
  </si>
  <si>
    <t>Contratista(s)</t>
  </si>
  <si>
    <t>Veces que aparece</t>
  </si>
  <si>
    <t>Fechas encontradas</t>
  </si>
  <si>
    <t>Plantillas</t>
  </si>
  <si>
    <t>¿Mismo contratista?</t>
  </si>
  <si>
    <t>C68922521</t>
  </si>
  <si>
    <t>MEXICO COMPAÑÍA CONSTRUCTORA S.A DE C.V</t>
  </si>
  <si>
    <t>02/08/2021</t>
  </si>
  <si>
    <t>279.0 | 8.0 | 10.0 | 2.0 | 5.0</t>
  </si>
  <si>
    <t>SÍ</t>
  </si>
  <si>
    <t>C84072514</t>
  </si>
  <si>
    <t>GRUPO CONSTRUCCIONES PLANIFICADAS</t>
  </si>
  <si>
    <t>26/02/2024</t>
  </si>
  <si>
    <t>142.0 | 5.0 | 3.0 | 4.0 | 2.0</t>
  </si>
  <si>
    <t>C84962543</t>
  </si>
  <si>
    <t>PROYECTOS  Y CONSTRUCCIONES VIRGO S.A. DE C.V.</t>
  </si>
  <si>
    <t>96.0 | 3.0 | 2.0 | 6.0 | 8.0</t>
  </si>
  <si>
    <t>C84962513</t>
  </si>
  <si>
    <t>LA AZTECA CONSTRUCCIONES Y URBANIZACIONES SA DE CV</t>
  </si>
  <si>
    <t>07/05/2025</t>
  </si>
  <si>
    <t>71.0 | 3.0 | 2.0</t>
  </si>
  <si>
    <t>MX09D99251114</t>
  </si>
  <si>
    <t>Grupo Maya Proteccion Personal, Privada y Empresarial, S.A. de C.V. | GRUPO MAYA PROTECCION PERSONAL  PRIVADA Y EMPRESARIAL S.A. DE  C.V. | MAYA PROTECCION PERSONAL</t>
  </si>
  <si>
    <t>CHARCAS | PLANTA DE ZINC | SAN MARTIN</t>
  </si>
  <si>
    <t>01/09/2025</t>
  </si>
  <si>
    <t>31.0 | 36.0</t>
  </si>
  <si>
    <t>NO (Subcontrato)</t>
  </si>
  <si>
    <t>MX08L34240072</t>
  </si>
  <si>
    <t>Multisistemas de Seguridad del Noroeste, S.A de C.V. | Multisistemas de Seguridad del Valle de México, S. A. de C. V.</t>
  </si>
  <si>
    <t>01/09/2024</t>
  </si>
  <si>
    <t>344.0 | 8.0 | 128.0</t>
  </si>
  <si>
    <t>MX08E34230321</t>
  </si>
  <si>
    <t>Empresas Matco, S.A. de C.V.</t>
  </si>
  <si>
    <t>01/01/2024</t>
  </si>
  <si>
    <t>4.0 | 1.0 | 100.0</t>
  </si>
  <si>
    <t>MX08D34260006</t>
  </si>
  <si>
    <t>Komatsu Maquinarias México, S.A. de C.V.</t>
  </si>
  <si>
    <t>01/01/2026</t>
  </si>
  <si>
    <t>112.0 | 7.0 | 3.0</t>
  </si>
  <si>
    <t>MX09L99240544</t>
  </si>
  <si>
    <t>Francis de San Luis, S.A. de C.V. | FRANCIS DE SAN LUIS,  S.A. DE C.V.</t>
  </si>
  <si>
    <t>ESTACION SANTIAGO | PLANTA SAN LUIS COBRE | PLANTA DE ZINC</t>
  </si>
  <si>
    <t>08/01/2025</t>
  </si>
  <si>
    <t>MX06D52200002</t>
  </si>
  <si>
    <t>Multisistemas De Seguridad Del Noroeste, S.A. De C.V. | Multisistemas De Seguridad Del Valle De México, S.A. De C.V.</t>
  </si>
  <si>
    <t>01/01/2020</t>
  </si>
  <si>
    <t>61.0 | 22.0</t>
  </si>
  <si>
    <t>CONTRATODELCORPORATIVOCD.DEMÉXICO</t>
  </si>
  <si>
    <t>SBC Importaciones y Servicios del Noroeste, S. de R.L. de C.V. | Super Gas de Ciudad Juarez, S.A. DE C.V.</t>
  </si>
  <si>
    <t>11/05/2018 | 04/05/2022</t>
  </si>
  <si>
    <t>6.0 | 8.0</t>
  </si>
  <si>
    <t>C99DI2515</t>
  </si>
  <si>
    <t>Grupo México Servicios de Ingeniería, S.A. de C.V. | GRUPO MEXICO SERVICIOS DE INGENIERIA</t>
  </si>
  <si>
    <t>PLANTA SAN LUIS COBRE | MINA SANTA EULALIA</t>
  </si>
  <si>
    <t>01/11/2025</t>
  </si>
  <si>
    <t>2.0</t>
  </si>
  <si>
    <t>MX06L52240163</t>
  </si>
  <si>
    <t>Multisistemas de Seguridad de Noroeste, S.A. de C.V. (plazas) | Multisistemas de Seguridad del Valle de México.  S.A de C.V (plazas)</t>
  </si>
  <si>
    <t>95.0 | 18.0</t>
  </si>
  <si>
    <t>MX08R184230154</t>
  </si>
  <si>
    <t>Compañía Industrial HANKA, S.A. de C.V.</t>
  </si>
  <si>
    <t>01/01/2024 | 01/04/2020</t>
  </si>
  <si>
    <t>50.0 | 2.0</t>
  </si>
  <si>
    <t>MX09D99250926</t>
  </si>
  <si>
    <t>Viveros Mexico GM, S.A. de C.V.</t>
  </si>
  <si>
    <t>ZINC VIVERO FORESTAL | ZINC VIVERO DIDACTIVO</t>
  </si>
  <si>
    <t>01/01/2025</t>
  </si>
  <si>
    <t>MX09L99240325</t>
  </si>
  <si>
    <t>Mettler Toledo, S.A. de C.V. | METTLER TOLEDO SA DE CV</t>
  </si>
  <si>
    <t>CHARCAS | PLANTA DE ZINC</t>
  </si>
  <si>
    <t>01/07/2024 | 09/02/2026</t>
  </si>
  <si>
    <t>0.0</t>
  </si>
  <si>
    <t>Consecutivo</t>
  </si>
  <si>
    <t>Mes</t>
  </si>
  <si>
    <t>Empresa</t>
  </si>
  <si>
    <t>Unidad Estandarizada</t>
  </si>
  <si>
    <t>Contratista</t>
  </si>
  <si>
    <t>RFC</t>
  </si>
  <si>
    <t>Plantilla total</t>
  </si>
  <si>
    <t>Fecha inicio</t>
  </si>
  <si>
    <t>Fecha final</t>
  </si>
  <si>
    <t>235</t>
  </si>
  <si>
    <t>Febrero</t>
  </si>
  <si>
    <t>OMIMSA</t>
  </si>
  <si>
    <t>Alfonso Leonardo Peraza Martinez</t>
  </si>
  <si>
    <t>MX08L34250300</t>
  </si>
  <si>
    <t>21/04/2025</t>
  </si>
  <si>
    <t>20/04/2026</t>
  </si>
  <si>
    <t>236</t>
  </si>
  <si>
    <t>Alonso Sanchez Rubalcaba</t>
  </si>
  <si>
    <t>SARA9208297T0</t>
  </si>
  <si>
    <t>MX08R134250291</t>
  </si>
  <si>
    <t>06/03/2025</t>
  </si>
  <si>
    <t>06/03/2026</t>
  </si>
  <si>
    <t>237</t>
  </si>
  <si>
    <t>Alvaro Oquita Granillo</t>
  </si>
  <si>
    <t>MX08E34240203</t>
  </si>
  <si>
    <t>15/07/2024</t>
  </si>
  <si>
    <t>31/07/2026</t>
  </si>
  <si>
    <t>239</t>
  </si>
  <si>
    <t>Anddy Iram Carrasco Bustamante</t>
  </si>
  <si>
    <t>CABA8006218F9</t>
  </si>
  <si>
    <t>MX08L34250297</t>
  </si>
  <si>
    <t>20/03/2025</t>
  </si>
  <si>
    <t>20/03/2026</t>
  </si>
  <si>
    <t>241</t>
  </si>
  <si>
    <t>Artech - Arte Tecnológico, S. de R.L. de C.V.</t>
  </si>
  <si>
    <t>ATE090803QV5</t>
  </si>
  <si>
    <t>MX08L34250309</t>
  </si>
  <si>
    <t>01/03/2025</t>
  </si>
  <si>
    <t>31/05/2026</t>
  </si>
  <si>
    <t>242</t>
  </si>
  <si>
    <t>Brassea, S.A. de C.V.</t>
  </si>
  <si>
    <t>BRA940616DB5</t>
  </si>
  <si>
    <t>MX08L34251836</t>
  </si>
  <si>
    <t>05/01/2026</t>
  </si>
  <si>
    <t>22/03/2026</t>
  </si>
  <si>
    <t>243</t>
  </si>
  <si>
    <t>Bylsa Drilling, S.A. de C.V.</t>
  </si>
  <si>
    <t>MX08L34250959</t>
  </si>
  <si>
    <t>01/08/2025</t>
  </si>
  <si>
    <t>15/05/2026</t>
  </si>
  <si>
    <t>244</t>
  </si>
  <si>
    <t>Caaff Consultoria Forestal, S. de R.L. de C.V.</t>
  </si>
  <si>
    <t>MX08D34250892</t>
  </si>
  <si>
    <t>09/06/2025</t>
  </si>
  <si>
    <t>09/08/2026</t>
  </si>
  <si>
    <t>246</t>
  </si>
  <si>
    <t>Comercial Sanitaria División Servicios, S.A. de C.V.</t>
  </si>
  <si>
    <t>CSD1107147Z7</t>
  </si>
  <si>
    <t>MX08R134250305</t>
  </si>
  <si>
    <t>23/03/2025</t>
  </si>
  <si>
    <t>245</t>
  </si>
  <si>
    <t>MX08R234251827</t>
  </si>
  <si>
    <t>04/11/2025</t>
  </si>
  <si>
    <t>04/11/2026</t>
  </si>
  <si>
    <t>248</t>
  </si>
  <si>
    <t>Comercio y Servicio Electromecanico, S.A. de C.V.</t>
  </si>
  <si>
    <t>CSE941109SZ3</t>
  </si>
  <si>
    <t>MX08L34250135</t>
  </si>
  <si>
    <t>28/02/2027</t>
  </si>
  <si>
    <t>249</t>
  </si>
  <si>
    <t>MX08L34250243</t>
  </si>
  <si>
    <t>07/04/2025</t>
  </si>
  <si>
    <t>31/03/2026</t>
  </si>
  <si>
    <t>247</t>
  </si>
  <si>
    <t>MX08R334250680</t>
  </si>
  <si>
    <t>21/04/2026</t>
  </si>
  <si>
    <t>252</t>
  </si>
  <si>
    <t>CIH841206934</t>
  </si>
  <si>
    <t>MX08D84251476</t>
  </si>
  <si>
    <t>01/12/2025</t>
  </si>
  <si>
    <t>01/12/2026</t>
  </si>
  <si>
    <t>250</t>
  </si>
  <si>
    <t>31/12/2026</t>
  </si>
  <si>
    <t>253</t>
  </si>
  <si>
    <t>Construcciones Industriales Alexel, S.A. de C.V.</t>
  </si>
  <si>
    <t>CIA1305026Z5</t>
  </si>
  <si>
    <t>MX08L64251584</t>
  </si>
  <si>
    <t>21/11/2025</t>
  </si>
  <si>
    <t>254</t>
  </si>
  <si>
    <t>Cysnec Construcciones y Servicios, S.A. de C.V.</t>
  </si>
  <si>
    <t>MX06L53251384</t>
  </si>
  <si>
    <t>25/09/2025</t>
  </si>
  <si>
    <t>24/09/2026</t>
  </si>
  <si>
    <t>255</t>
  </si>
  <si>
    <t>Data Mantenimiento Industrial, S.A. de C.V.</t>
  </si>
  <si>
    <t>DMI150302NJ2</t>
  </si>
  <si>
    <t>MX08R134240160</t>
  </si>
  <si>
    <t>257</t>
  </si>
  <si>
    <t>Dufil, S.A. de C.V.</t>
  </si>
  <si>
    <t>DUF970715GS3</t>
  </si>
  <si>
    <t>MX08L84230143</t>
  </si>
  <si>
    <t>258</t>
  </si>
  <si>
    <t>Ecologia, Vida y Salud, S.A. de C.V.</t>
  </si>
  <si>
    <t>EVS021115BP0</t>
  </si>
  <si>
    <t>MX08L34230032</t>
  </si>
  <si>
    <t>28/02/2023</t>
  </si>
  <si>
    <t>260</t>
  </si>
  <si>
    <t>ROMY010130J86</t>
  </si>
  <si>
    <t>259</t>
  </si>
  <si>
    <t>EMA810918F2A</t>
  </si>
  <si>
    <t>MX08E34230322</t>
  </si>
  <si>
    <t>263</t>
  </si>
  <si>
    <t>Epiroc México, S.A. de C.V.</t>
  </si>
  <si>
    <t>EME170713M7</t>
  </si>
  <si>
    <t>MX08E34260008</t>
  </si>
  <si>
    <t>30/01/2026</t>
  </si>
  <si>
    <t>30/01/2028</t>
  </si>
  <si>
    <t>265</t>
  </si>
  <si>
    <t>Equipos de Seguridad del Centro, S.A. de C.V.</t>
  </si>
  <si>
    <t>ESC000412SK2</t>
  </si>
  <si>
    <t>MX08D34240064</t>
  </si>
  <si>
    <t>25/03/2024</t>
  </si>
  <si>
    <t>24/03/2026</t>
  </si>
  <si>
    <t>264</t>
  </si>
  <si>
    <t>MX08R234250268</t>
  </si>
  <si>
    <t>01/03/2027</t>
  </si>
  <si>
    <t>266</t>
  </si>
  <si>
    <t>Evaluacion y Analisis Ambiental, S.A. de C.V.</t>
  </si>
  <si>
    <t>MX08L34250862</t>
  </si>
  <si>
    <t>01/08/2026</t>
  </si>
  <si>
    <t>273</t>
  </si>
  <si>
    <t>G3 Innovaciones, SAPI DE C.V.</t>
  </si>
  <si>
    <t>MX08D34251385</t>
  </si>
  <si>
    <t>20/10/2025</t>
  </si>
  <si>
    <t>19/10/2026</t>
  </si>
  <si>
    <t>276</t>
  </si>
  <si>
    <t>GM Consultoria y Proyectos de ingenieria Ambienta, S.A. de C.V.</t>
  </si>
  <si>
    <t>MX08L34250557</t>
  </si>
  <si>
    <t>12/05/2025</t>
  </si>
  <si>
    <t>12/05/2027</t>
  </si>
  <si>
    <t>275</t>
  </si>
  <si>
    <t>MX08R34260085</t>
  </si>
  <si>
    <t>22/12/2025</t>
  </si>
  <si>
    <t>21/12/2027</t>
  </si>
  <si>
    <t>274</t>
  </si>
  <si>
    <t>Geophysical Development for Exploration, S.A. de C.V.</t>
  </si>
  <si>
    <t>GDF190503VC1</t>
  </si>
  <si>
    <t>MX08L34251815</t>
  </si>
  <si>
    <t>12/01/2026</t>
  </si>
  <si>
    <t>20/07/2026</t>
  </si>
  <si>
    <t>277</t>
  </si>
  <si>
    <t>Ground Probe North America LLC</t>
  </si>
  <si>
    <t>MX08E34250317</t>
  </si>
  <si>
    <t>01/04/2025</t>
  </si>
  <si>
    <t>01/04/2028</t>
  </si>
  <si>
    <t>279</t>
  </si>
  <si>
    <t>Grupo Camacho Y Sucesores, S. de R.L. de C.V.</t>
  </si>
  <si>
    <t>GCS050629GT6</t>
  </si>
  <si>
    <t>MX08L34251373</t>
  </si>
  <si>
    <t>31/10/2027</t>
  </si>
  <si>
    <t>278</t>
  </si>
  <si>
    <t>MX08L84251419</t>
  </si>
  <si>
    <t>13/10/2025</t>
  </si>
  <si>
    <t>13/03/2026</t>
  </si>
  <si>
    <t>280</t>
  </si>
  <si>
    <t>Grupo Constructor Leravi, S.A. de C.V.</t>
  </si>
  <si>
    <t>GCL1212214H3</t>
  </si>
  <si>
    <t>MX08R334250123</t>
  </si>
  <si>
    <t>16/04/2025</t>
  </si>
  <si>
    <t>15/03/2027</t>
  </si>
  <si>
    <t>281</t>
  </si>
  <si>
    <t>Grupo Constructor SGOM, S.A. de C.V.</t>
  </si>
  <si>
    <t>MX08L84251248</t>
  </si>
  <si>
    <t>15/09/2025</t>
  </si>
  <si>
    <t>283</t>
  </si>
  <si>
    <t>HC-Group LLC</t>
  </si>
  <si>
    <t>MX08E34250864</t>
  </si>
  <si>
    <t>30/06/2026</t>
  </si>
  <si>
    <t>285</t>
  </si>
  <si>
    <t>Hexagon Mining México, S.A. de C.V.</t>
  </si>
  <si>
    <t>LGM1402051T0</t>
  </si>
  <si>
    <t>MX08E34210105</t>
  </si>
  <si>
    <t>01/05/2021</t>
  </si>
  <si>
    <t>01/05/2026</t>
  </si>
  <si>
    <t>284</t>
  </si>
  <si>
    <t>MX08L34220069</t>
  </si>
  <si>
    <t>01/01/2023</t>
  </si>
  <si>
    <t>31/12/2027</t>
  </si>
  <si>
    <t>288</t>
  </si>
  <si>
    <t>Ingenieria Especializada en Concreto y Acero IECA</t>
  </si>
  <si>
    <t>MX08L34240788</t>
  </si>
  <si>
    <t>15/10/2025</t>
  </si>
  <si>
    <t>15/10/2027</t>
  </si>
  <si>
    <t>289</t>
  </si>
  <si>
    <t>Ingenieria y Desarrollo Izala, S.A. de C.V.</t>
  </si>
  <si>
    <t>MX08D34260126</t>
  </si>
  <si>
    <t>27/01/2026</t>
  </si>
  <si>
    <t>26/04/2026</t>
  </si>
  <si>
    <t>287</t>
  </si>
  <si>
    <t>Ingenieria y Obras Hidraulicas, S.A. de C.V.</t>
  </si>
  <si>
    <t>MX08L84251735</t>
  </si>
  <si>
    <t>08/12/2025</t>
  </si>
  <si>
    <t>01/04/2026</t>
  </si>
  <si>
    <t>290</t>
  </si>
  <si>
    <t>Innovación Y Administracion De Ti, S. de R.L. de C.V.</t>
  </si>
  <si>
    <t>IAT151110PY9</t>
  </si>
  <si>
    <t>MX08R234251097</t>
  </si>
  <si>
    <t>01/07/2025</t>
  </si>
  <si>
    <t>291</t>
  </si>
  <si>
    <t>Intermodal Mexico, S.A. de C.V.</t>
  </si>
  <si>
    <t>CONTRATO CORPORATIVO</t>
  </si>
  <si>
    <t>15/05/2025</t>
  </si>
  <si>
    <t>292</t>
  </si>
  <si>
    <t>JC Industrial &amp; Services, S.A. de C.V</t>
  </si>
  <si>
    <t>MX08R134250442</t>
  </si>
  <si>
    <t>298</t>
  </si>
  <si>
    <t>Jesús Bernardo Hernández Oros</t>
  </si>
  <si>
    <t>HEOJ700416AD8</t>
  </si>
  <si>
    <t>MX08L34251353</t>
  </si>
  <si>
    <t>01/10/2025</t>
  </si>
  <si>
    <t>293</t>
  </si>
  <si>
    <t>MX08L34251633</t>
  </si>
  <si>
    <t>27/10/2025</t>
  </si>
  <si>
    <t>27/10/2026</t>
  </si>
  <si>
    <t>299</t>
  </si>
  <si>
    <t>MX08L34260113</t>
  </si>
  <si>
    <t>26/01/2026</t>
  </si>
  <si>
    <t>29/03/2026</t>
  </si>
  <si>
    <t>297</t>
  </si>
  <si>
    <t>MX08R134250112</t>
  </si>
  <si>
    <t>15/12/2024</t>
  </si>
  <si>
    <t>31/08/2027</t>
  </si>
  <si>
    <t>295</t>
  </si>
  <si>
    <t>MX08R134250252</t>
  </si>
  <si>
    <t>296</t>
  </si>
  <si>
    <t>MX08R234250302</t>
  </si>
  <si>
    <t>294</t>
  </si>
  <si>
    <t>MX08R334250285</t>
  </si>
  <si>
    <t>15/02/2025</t>
  </si>
  <si>
    <t>18/03/2026</t>
  </si>
  <si>
    <t>300</t>
  </si>
  <si>
    <t>Jose Manuel Gonzalez Romero</t>
  </si>
  <si>
    <t>MX08D34250323</t>
  </si>
  <si>
    <t>13/03/2025</t>
  </si>
  <si>
    <t>12/03/2026</t>
  </si>
  <si>
    <t>302</t>
  </si>
  <si>
    <t>Joy Global México, S.A. de C.V.</t>
  </si>
  <si>
    <t>PMS950110L25</t>
  </si>
  <si>
    <t>MX08E34230324</t>
  </si>
  <si>
    <t>11/03/2024</t>
  </si>
  <si>
    <t>11/03/2026</t>
  </si>
  <si>
    <t>301</t>
  </si>
  <si>
    <t>MX08L34251867</t>
  </si>
  <si>
    <t>16/02/2026</t>
  </si>
  <si>
    <t>16/05/2026</t>
  </si>
  <si>
    <t>303</t>
  </si>
  <si>
    <t>Kal Tire, S.A. de C.V.</t>
  </si>
  <si>
    <t>MX08L34251181</t>
  </si>
  <si>
    <t>01/11/2027</t>
  </si>
  <si>
    <t>304</t>
  </si>
  <si>
    <t>RMA910702IW1</t>
  </si>
  <si>
    <t>MX08R134250416</t>
  </si>
  <si>
    <t>18/03/2025</t>
  </si>
  <si>
    <t>17/03/2026</t>
  </si>
  <si>
    <t>308</t>
  </si>
  <si>
    <t>L &amp; H Servicios Mineros México, S.A. de C.V.</t>
  </si>
  <si>
    <t>LSM080208AM0</t>
  </si>
  <si>
    <t>MX08L34240700</t>
  </si>
  <si>
    <t>309</t>
  </si>
  <si>
    <t>Linear Tech, S.A. de C.V.</t>
  </si>
  <si>
    <t>LTE0103294S8</t>
  </si>
  <si>
    <t>MX08E34230227</t>
  </si>
  <si>
    <t>01/08/2023</t>
  </si>
  <si>
    <t>310</t>
  </si>
  <si>
    <t>Luis Carlos Morales Cordova</t>
  </si>
  <si>
    <t>MOCL900304KI5</t>
  </si>
  <si>
    <t>MX08R134250826</t>
  </si>
  <si>
    <t>01/05/2025</t>
  </si>
  <si>
    <t>312</t>
  </si>
  <si>
    <t>Marzenit, S.A. de C.V.</t>
  </si>
  <si>
    <t>MX08D34250349</t>
  </si>
  <si>
    <t>21/02/2026</t>
  </si>
  <si>
    <t>314</t>
  </si>
  <si>
    <t>Mecánica Nagarson, S.A. de C.V.</t>
  </si>
  <si>
    <t>MNA071122BX1</t>
  </si>
  <si>
    <t>MX08L34240982</t>
  </si>
  <si>
    <t>01/02/2025</t>
  </si>
  <si>
    <t>28/02/2026</t>
  </si>
  <si>
    <t>313</t>
  </si>
  <si>
    <t>MX08L34251490</t>
  </si>
  <si>
    <t>03/11/2025</t>
  </si>
  <si>
    <t>03/11/2026</t>
  </si>
  <si>
    <t>316</t>
  </si>
  <si>
    <t>Mining Biotech, S.A. de C.V.</t>
  </si>
  <si>
    <t>MBI080310GU0</t>
  </si>
  <si>
    <t>MX08L34250420</t>
  </si>
  <si>
    <t>317</t>
  </si>
  <si>
    <t>Mountar, S.A.P.I. de C.V.</t>
  </si>
  <si>
    <t>BME140226PUA</t>
  </si>
  <si>
    <t>MX08L34250280</t>
  </si>
  <si>
    <t>19/05/2025</t>
  </si>
  <si>
    <t>18/05/2028</t>
  </si>
  <si>
    <t>318</t>
  </si>
  <si>
    <t>Muelles de Carga Especializados, SAS.</t>
  </si>
  <si>
    <t>MCE211018IV5</t>
  </si>
  <si>
    <t>MX08L34240088a</t>
  </si>
  <si>
    <t>01/02/2026</t>
  </si>
  <si>
    <t>01/03/2026</t>
  </si>
  <si>
    <t>319</t>
  </si>
  <si>
    <t>Multiservicios Limo, S. de R.L. de C.V.</t>
  </si>
  <si>
    <t>MX08R134250363</t>
  </si>
  <si>
    <t>320</t>
  </si>
  <si>
    <t>Multisistemas de Seguridad del Noroeste, S.A de C.V.</t>
  </si>
  <si>
    <t>MSN900226R10</t>
  </si>
  <si>
    <t>322</t>
  </si>
  <si>
    <t>Multisistemas de Seguridad del Valle de México, S. A. de C. V.</t>
  </si>
  <si>
    <t>MSV9110143D4</t>
  </si>
  <si>
    <t>323</t>
  </si>
  <si>
    <t>Nuñez Mineria y Construccion S. de R.L. de C.V.</t>
  </si>
  <si>
    <t>MX08R284251797</t>
  </si>
  <si>
    <t>16/08/2025</t>
  </si>
  <si>
    <t>16/08/2026</t>
  </si>
  <si>
    <t>324</t>
  </si>
  <si>
    <t>Oestec de Mexico, S.A. de C.V.</t>
  </si>
  <si>
    <t>MX08R234250778</t>
  </si>
  <si>
    <t>325</t>
  </si>
  <si>
    <t>Orlando Guadalupe Felix Ruiz</t>
  </si>
  <si>
    <t>MX08L34260351</t>
  </si>
  <si>
    <t>326</t>
  </si>
  <si>
    <t>Plastimarmol, S.A. de C.V.</t>
  </si>
  <si>
    <t>PLA930223QT4</t>
  </si>
  <si>
    <t>MX08L34251111</t>
  </si>
  <si>
    <t>327</t>
  </si>
  <si>
    <t>Process Factor Mexico, S.A. de C.V.</t>
  </si>
  <si>
    <t>MX08R134250409</t>
  </si>
  <si>
    <t>25/04/2025</t>
  </si>
  <si>
    <t>328</t>
  </si>
  <si>
    <t>Quest MMS, S.A. de C.V.</t>
  </si>
  <si>
    <t>QMM150820IG3</t>
  </si>
  <si>
    <t>MX08L34251871</t>
  </si>
  <si>
    <t>04/01/2027</t>
  </si>
  <si>
    <t>329</t>
  </si>
  <si>
    <t>Química Apollo, S.A. de C.V.</t>
  </si>
  <si>
    <t>QAP8305205H4</t>
  </si>
  <si>
    <t>MX08L34240932</t>
  </si>
  <si>
    <t>31/01/2028</t>
  </si>
  <si>
    <t>334</t>
  </si>
  <si>
    <t>RZ Digital S.A. de C.V.</t>
  </si>
  <si>
    <t>MX08R234240646</t>
  </si>
  <si>
    <t>08/09/2024</t>
  </si>
  <si>
    <t>07/09/2026</t>
  </si>
  <si>
    <t>330</t>
  </si>
  <si>
    <t>Recubrimientos, Productos y Servicios Industriales, S.A. de C.V.</t>
  </si>
  <si>
    <t>RPS880920E12</t>
  </si>
  <si>
    <t>MX08R134251568</t>
  </si>
  <si>
    <t>24/09/2025</t>
  </si>
  <si>
    <t>23/09/2026</t>
  </si>
  <si>
    <t>331</t>
  </si>
  <si>
    <t>Relentless Quality Repair, LLC</t>
  </si>
  <si>
    <t>MX08L34250894</t>
  </si>
  <si>
    <t>30/07/2025</t>
  </si>
  <si>
    <t>16/03/2026</t>
  </si>
  <si>
    <t>332</t>
  </si>
  <si>
    <t>Resiter Mexico, S.A. de C.V.</t>
  </si>
  <si>
    <t>MX08L34251216</t>
  </si>
  <si>
    <t>17/09/2025</t>
  </si>
  <si>
    <t>18/09/2027</t>
  </si>
  <si>
    <t>333</t>
  </si>
  <si>
    <t>Rubio y Rubio contrucciones Especializadas, S.A. de C.V.</t>
  </si>
  <si>
    <t>MX08L84260163</t>
  </si>
  <si>
    <t>09/02/2026</t>
  </si>
  <si>
    <t>12/04/2026</t>
  </si>
  <si>
    <t>342</t>
  </si>
  <si>
    <t>SGS de Mexico, S.A. de C.V.</t>
  </si>
  <si>
    <t>MX08L34250823</t>
  </si>
  <si>
    <t>13/08/2025</t>
  </si>
  <si>
    <t>343</t>
  </si>
  <si>
    <t>SIS Gloson, S.A. de C.V.</t>
  </si>
  <si>
    <t>MX08L34260035</t>
  </si>
  <si>
    <t>02/02/2026</t>
  </si>
  <si>
    <t>01/07/2026</t>
  </si>
  <si>
    <t>349</t>
  </si>
  <si>
    <t>SZ Diesel Services del Noroeste S de R.L. de C.V.</t>
  </si>
  <si>
    <t>SOZO730703Q81</t>
  </si>
  <si>
    <t>MX08L34240983</t>
  </si>
  <si>
    <t>351</t>
  </si>
  <si>
    <t>MX08R334250316</t>
  </si>
  <si>
    <t>16/03/2025</t>
  </si>
  <si>
    <t>15/03/2026</t>
  </si>
  <si>
    <t>350</t>
  </si>
  <si>
    <t>MX08R334251010</t>
  </si>
  <si>
    <t>28/04/2025</t>
  </si>
  <si>
    <t>27/04/2027</t>
  </si>
  <si>
    <t>335</t>
  </si>
  <si>
    <t>Saul Abraham Saavedra Maytorena</t>
  </si>
  <si>
    <t>MX08L34251838</t>
  </si>
  <si>
    <t>15/12/2025</t>
  </si>
  <si>
    <t>336</t>
  </si>
  <si>
    <t>Seconsa Servicios Especializados, S.A. de C.V.</t>
  </si>
  <si>
    <t>SDO070215IX4</t>
  </si>
  <si>
    <t>MX08D34240469</t>
  </si>
  <si>
    <t>03/09/2024</t>
  </si>
  <si>
    <t>338</t>
  </si>
  <si>
    <t>Servicios Ecologicos y Reciclados, S. de R.L. MI</t>
  </si>
  <si>
    <t>MX08L34240925</t>
  </si>
  <si>
    <t>17/01/2025</t>
  </si>
  <si>
    <t>17/01/2027</t>
  </si>
  <si>
    <t>339</t>
  </si>
  <si>
    <t>Servicios Misiones, S.A. de C.V.</t>
  </si>
  <si>
    <t>MX08R34260134</t>
  </si>
  <si>
    <t>09/01/2026</t>
  </si>
  <si>
    <t>24/02/2026</t>
  </si>
  <si>
    <t>340</t>
  </si>
  <si>
    <t>Servicios Profesionales Muevetierra, S.A. de C.V.</t>
  </si>
  <si>
    <t>SPM980803T84</t>
  </si>
  <si>
    <t>MX08L34240874</t>
  </si>
  <si>
    <t>341</t>
  </si>
  <si>
    <t>Servicios y Combustibles Maac, S.A. de C.V.</t>
  </si>
  <si>
    <t>SCM110607GY6</t>
  </si>
  <si>
    <t>MX08R34251739</t>
  </si>
  <si>
    <t>01/11/2026</t>
  </si>
  <si>
    <t>344</t>
  </si>
  <si>
    <t>Sistemas Profesionales Novatel, S.A. de C.V.</t>
  </si>
  <si>
    <t>MX08L84251448</t>
  </si>
  <si>
    <t>15/11/2025</t>
  </si>
  <si>
    <t>15/02/2026</t>
  </si>
  <si>
    <t>345</t>
  </si>
  <si>
    <t>Soluciones Integrales para Trituracion, S.A. de C.V.</t>
  </si>
  <si>
    <t>MX08D34240872</t>
  </si>
  <si>
    <t>24/02/2025</t>
  </si>
  <si>
    <t>27/02/2027</t>
  </si>
  <si>
    <t>346</t>
  </si>
  <si>
    <t>Sonia Guadalupe Torres Valenzuela</t>
  </si>
  <si>
    <t>TOVS761212M34</t>
  </si>
  <si>
    <t>MX08L34251153</t>
  </si>
  <si>
    <t>10/09/2025</t>
  </si>
  <si>
    <t>10/06/2026</t>
  </si>
  <si>
    <t>348</t>
  </si>
  <si>
    <t>Suministros Industriales ALYD, S.A. de C.V.</t>
  </si>
  <si>
    <t>SIA180322IN6</t>
  </si>
  <si>
    <t>MX08L34220082</t>
  </si>
  <si>
    <t>22/05/2022</t>
  </si>
  <si>
    <t>356</t>
  </si>
  <si>
    <t>TTI Industrial del Centro S.A. de C.V.</t>
  </si>
  <si>
    <t>MX08L84250857</t>
  </si>
  <si>
    <t>01/06/2025</t>
  </si>
  <si>
    <t>21/03/2026</t>
  </si>
  <si>
    <t>352</t>
  </si>
  <si>
    <t>Terracerias y Triturados de Cananea, S.A. de C.V.</t>
  </si>
  <si>
    <t>TTC070416H28</t>
  </si>
  <si>
    <t>MX08L84251594</t>
  </si>
  <si>
    <t>24/11/2025</t>
  </si>
  <si>
    <t>353</t>
  </si>
  <si>
    <t>Topdicon, S.A. de C.V.</t>
  </si>
  <si>
    <t>TOP160115I27</t>
  </si>
  <si>
    <t>MX02R234250018</t>
  </si>
  <si>
    <t>02/01/2025</t>
  </si>
  <si>
    <t>354</t>
  </si>
  <si>
    <t>Transformaciones y Estructuras de Acero, S.A. de C.V.</t>
  </si>
  <si>
    <t>MX08L34250855</t>
  </si>
  <si>
    <t>30/06/2025</t>
  </si>
  <si>
    <t>355</t>
  </si>
  <si>
    <t>Transporte Especial de Pasaje, S.A.P.I. de C.V.</t>
  </si>
  <si>
    <t>MX08D34240155</t>
  </si>
  <si>
    <t>357</t>
  </si>
  <si>
    <t>Viveros Mexico GM, A.C.</t>
  </si>
  <si>
    <t>MX08A184220252</t>
  </si>
  <si>
    <t>24/10/2022</t>
  </si>
  <si>
    <t>358</t>
  </si>
  <si>
    <t>Wecom, S.A. de C.V.</t>
  </si>
  <si>
    <t>MX08L34251228</t>
  </si>
  <si>
    <t>3</t>
  </si>
  <si>
    <t>IMMSA</t>
  </si>
  <si>
    <t>AR Servicios Industriales y Móviles, S.A. de C.V.</t>
  </si>
  <si>
    <t>ASI150306I17</t>
  </si>
  <si>
    <t>MX09R44251162</t>
  </si>
  <si>
    <t>31/10/2026</t>
  </si>
  <si>
    <t>1</t>
  </si>
  <si>
    <t>Acarreos Mineros Capricornio, S.A. de C.V.</t>
  </si>
  <si>
    <t>AMC161201P52</t>
  </si>
  <si>
    <t>MX09L44250139</t>
  </si>
  <si>
    <t>18/06/2025</t>
  </si>
  <si>
    <t>19/06/2026</t>
  </si>
  <si>
    <t>2</t>
  </si>
  <si>
    <t>Ana Lizbeth Rojas Hernandez</t>
  </si>
  <si>
    <t>ROHA880401HN9</t>
  </si>
  <si>
    <t>C44DI7525</t>
  </si>
  <si>
    <t>21/07/2025</t>
  </si>
  <si>
    <t>21/08/2026</t>
  </si>
  <si>
    <t>5</t>
  </si>
  <si>
    <t>BDR111115HE7</t>
  </si>
  <si>
    <t>C44DI2535</t>
  </si>
  <si>
    <t>08/05/2026</t>
  </si>
  <si>
    <t>4</t>
  </si>
  <si>
    <t>MX09L92250273</t>
  </si>
  <si>
    <t>30/04/2026</t>
  </si>
  <si>
    <t>8</t>
  </si>
  <si>
    <t>Cespa Construcciones y Mantenimientos Industriales, S.A. de C.V.</t>
  </si>
  <si>
    <t>CCM130920V15</t>
  </si>
  <si>
    <t>MX09L44250005</t>
  </si>
  <si>
    <t>11</t>
  </si>
  <si>
    <t>Concreto Lanzado de Fresnillo Marca, S.A. de C.V.</t>
  </si>
  <si>
    <t>CLF020304CB8</t>
  </si>
  <si>
    <t>MX09L44240873</t>
  </si>
  <si>
    <t>15/04/2025</t>
  </si>
  <si>
    <t>14/04/2026</t>
  </si>
  <si>
    <t>10</t>
  </si>
  <si>
    <t>MX09R344250555</t>
  </si>
  <si>
    <t>14/04/2025</t>
  </si>
  <si>
    <t>13</t>
  </si>
  <si>
    <t>Construccion, Ingenieria y Comercializacion EDZE, S.A. de C.V.</t>
  </si>
  <si>
    <t>CIC1004294T6</t>
  </si>
  <si>
    <t>MX09L44251071</t>
  </si>
  <si>
    <t>29/09/2025</t>
  </si>
  <si>
    <t>15</t>
  </si>
  <si>
    <t>Eduardo Llamas Martinez</t>
  </si>
  <si>
    <t>LAME940223KC6</t>
  </si>
  <si>
    <t>MX09L44251720</t>
  </si>
  <si>
    <t>29/06/2026</t>
  </si>
  <si>
    <t>16</t>
  </si>
  <si>
    <t>Estructuras y Mantenimiento MOVA,  S.A. de C.V.</t>
  </si>
  <si>
    <t>EMM200416QF5</t>
  </si>
  <si>
    <t>MX09L44251576</t>
  </si>
  <si>
    <t>14/03/2026</t>
  </si>
  <si>
    <t>20</t>
  </si>
  <si>
    <t>Grupo FBED S. de R.L. de C.V.</t>
  </si>
  <si>
    <t>GFB190502NLA</t>
  </si>
  <si>
    <t>MX09L44240890</t>
  </si>
  <si>
    <t>04/08/2025</t>
  </si>
  <si>
    <t>04/08/2026</t>
  </si>
  <si>
    <t>21</t>
  </si>
  <si>
    <t>Grupo Maya Proteccion Personal, Privada y Empresarial, S.A. de C.V.</t>
  </si>
  <si>
    <t>GMP070223U81</t>
  </si>
  <si>
    <t>18</t>
  </si>
  <si>
    <t>Gutiérrez Alcantara Ingenieros Constructores, S.A. de C.V.</t>
  </si>
  <si>
    <t>GAI070131SB2</t>
  </si>
  <si>
    <t>MX09L44240935</t>
  </si>
  <si>
    <t>17</t>
  </si>
  <si>
    <t>MX09L44250165</t>
  </si>
  <si>
    <t>22</t>
  </si>
  <si>
    <t>IEYCSA INGENIERIA ELECTRICA Y CIVIL S.A.S. DE C.V</t>
  </si>
  <si>
    <t>IIE220408RZG</t>
  </si>
  <si>
    <t>C44DI7535</t>
  </si>
  <si>
    <t>11/08/2025</t>
  </si>
  <si>
    <t>11/08/2026</t>
  </si>
  <si>
    <t>24</t>
  </si>
  <si>
    <t>KAL TIRE, S.A DE C.V.</t>
  </si>
  <si>
    <t>MGR751110G56</t>
  </si>
  <si>
    <t>MX09L44251024</t>
  </si>
  <si>
    <t>02/11/2026</t>
  </si>
  <si>
    <t>26</t>
  </si>
  <si>
    <t>Maquinados y Servicios CICLOPE, S.A. de C.V.</t>
  </si>
  <si>
    <t>MSC0512095H3</t>
  </si>
  <si>
    <t>MX09L44251392</t>
  </si>
  <si>
    <t>30/08/2028</t>
  </si>
  <si>
    <t>27</t>
  </si>
  <si>
    <t>Maria Josefina Ibarra López</t>
  </si>
  <si>
    <t>IALJ770319G94</t>
  </si>
  <si>
    <t>MX09L44251665</t>
  </si>
  <si>
    <t>30/11/2026</t>
  </si>
  <si>
    <t>28</t>
  </si>
  <si>
    <t>MX09L44251666</t>
  </si>
  <si>
    <t>29</t>
  </si>
  <si>
    <t>Mettler Toledo, S.A. de C.V.</t>
  </si>
  <si>
    <t>MTO930218QSA</t>
  </si>
  <si>
    <t>01/07/2024</t>
  </si>
  <si>
    <t>30/06/2027</t>
  </si>
  <si>
    <t>30</t>
  </si>
  <si>
    <t>Obras Minera y Tiros del Centro S. A. de C.V.</t>
  </si>
  <si>
    <t>MCA9608263J8</t>
  </si>
  <si>
    <t>C44552582</t>
  </si>
  <si>
    <t>07/11/2022</t>
  </si>
  <si>
    <t>32</t>
  </si>
  <si>
    <t>SECONSA Servicios Especializados, S.A. de C.V.</t>
  </si>
  <si>
    <t>MX09R392250821</t>
  </si>
  <si>
    <t>31</t>
  </si>
  <si>
    <t>Sanchez Montemayor Constructores, S.A. de C.V.</t>
  </si>
  <si>
    <t>SMC040127TQ8</t>
  </si>
  <si>
    <t>MX09L44251430</t>
  </si>
  <si>
    <t>30/05/2026</t>
  </si>
  <si>
    <t>33</t>
  </si>
  <si>
    <t>Servicio y Anclajes del Norte, S. de R.L. de C.V.</t>
  </si>
  <si>
    <t>SAN171208QH8</t>
  </si>
  <si>
    <t>MX09L44250211</t>
  </si>
  <si>
    <t>30/09/2027</t>
  </si>
  <si>
    <t>36</t>
  </si>
  <si>
    <t>Truck Drill Machines, S.A. de C.V.</t>
  </si>
  <si>
    <t>TDM150109BZ8</t>
  </si>
  <si>
    <t>MX09L44251505</t>
  </si>
  <si>
    <t>35</t>
  </si>
  <si>
    <t>MX09R144250967</t>
  </si>
  <si>
    <t>37</t>
  </si>
  <si>
    <t>UMMININGN, S.A. DE C.V.</t>
  </si>
  <si>
    <t>UMM200127ME3</t>
  </si>
  <si>
    <t>MX09L44240187</t>
  </si>
  <si>
    <t>38</t>
  </si>
  <si>
    <t>VACS Ingeniería, Construcción, Comunicaciones y Servicios S.A. de C.V.</t>
  </si>
  <si>
    <t>VIC1203285Z9</t>
  </si>
  <si>
    <t>MX09L44250329</t>
  </si>
  <si>
    <t>39</t>
  </si>
  <si>
    <t>Viveros México GM A.C.</t>
  </si>
  <si>
    <t>VMG210722GL9</t>
  </si>
  <si>
    <t>MX09L19820211</t>
  </si>
  <si>
    <t>09/01/2021</t>
  </si>
  <si>
    <t>40</t>
  </si>
  <si>
    <t>Francis de San Luis, S.A. de C.V.</t>
  </si>
  <si>
    <t>FSL8501258D9</t>
  </si>
  <si>
    <t>MX09 L 99 24 0544</t>
  </si>
  <si>
    <t>08/01/2027</t>
  </si>
  <si>
    <t>59</t>
  </si>
  <si>
    <t>METCOBRE</t>
  </si>
  <si>
    <t>Alfa Lean Costruction, S.A. DE C.V.</t>
  </si>
  <si>
    <t>ALC160128CV9</t>
  </si>
  <si>
    <t>MX06L53251485</t>
  </si>
  <si>
    <t>58</t>
  </si>
  <si>
    <t>Alianzas y Servicios Integrados, S.A. DE C.V.</t>
  </si>
  <si>
    <t>ASI040802CM8</t>
  </si>
  <si>
    <t>AE698480-0105</t>
  </si>
  <si>
    <t>01/02/2022</t>
  </si>
  <si>
    <t>31/01/2027</t>
  </si>
  <si>
    <t>60</t>
  </si>
  <si>
    <t>Aqua Mex, S.A. DE C.V.</t>
  </si>
  <si>
    <t>AME870327T67</t>
  </si>
  <si>
    <t>MX06L51251370</t>
  </si>
  <si>
    <t>63</t>
  </si>
  <si>
    <t>Centro de estudios,servicios y consultorias ambientales, S.A. DE C.V</t>
  </si>
  <si>
    <t>CES120517CG7</t>
  </si>
  <si>
    <t>MX06L53230409</t>
  </si>
  <si>
    <t>04/12/2023</t>
  </si>
  <si>
    <t>04/06/2026</t>
  </si>
  <si>
    <t>62</t>
  </si>
  <si>
    <t>Comercial Sanitaria Division Servicios, S.A. DE C.V.</t>
  </si>
  <si>
    <t>MX06L53250358</t>
  </si>
  <si>
    <t>11/04/2026</t>
  </si>
  <si>
    <t>65</t>
  </si>
  <si>
    <t>Consein Edificaciones, S.A. de C.V.</t>
  </si>
  <si>
    <t>CED070115GR0</t>
  </si>
  <si>
    <t>MX06L51251417</t>
  </si>
  <si>
    <t>29/05/2026</t>
  </si>
  <si>
    <t>64</t>
  </si>
  <si>
    <t>MX06L53230119</t>
  </si>
  <si>
    <t>08/05/2023</t>
  </si>
  <si>
    <t>07/05/2026</t>
  </si>
  <si>
    <t>67</t>
  </si>
  <si>
    <t>Construcciones Industriales Beltrán, S.A. de C.V.</t>
  </si>
  <si>
    <t>CIB000728SX5</t>
  </si>
  <si>
    <t>MX06L51250845</t>
  </si>
  <si>
    <t>02/09/2025</t>
  </si>
  <si>
    <t>66</t>
  </si>
  <si>
    <t>MX06L51250853</t>
  </si>
  <si>
    <t>04/04/2026</t>
  </si>
  <si>
    <t>71</t>
  </si>
  <si>
    <t>MX06L51251304</t>
  </si>
  <si>
    <t>10/11/2025</t>
  </si>
  <si>
    <t>69</t>
  </si>
  <si>
    <t>MX06L51251418</t>
  </si>
  <si>
    <t>10/01/2026</t>
  </si>
  <si>
    <t>30/09/2026</t>
  </si>
  <si>
    <t>68</t>
  </si>
  <si>
    <t>MX06L51251461</t>
  </si>
  <si>
    <t>10/03/2026</t>
  </si>
  <si>
    <t>70</t>
  </si>
  <si>
    <t>MX06L51251707</t>
  </si>
  <si>
    <t>15/01/2026</t>
  </si>
  <si>
    <t>15/06/2026</t>
  </si>
  <si>
    <t>72</t>
  </si>
  <si>
    <t>MX06L53260030</t>
  </si>
  <si>
    <t>74</t>
  </si>
  <si>
    <t>Construcciones y Acabados Deportivos, S.A. DE C.V.</t>
  </si>
  <si>
    <t>CAD141223KS2</t>
  </si>
  <si>
    <t>MX06L53251482</t>
  </si>
  <si>
    <t>24/06/2026</t>
  </si>
  <si>
    <t>73</t>
  </si>
  <si>
    <t>Construcciones y Estructuras VAMO, S.A DE C.V.</t>
  </si>
  <si>
    <t>CEV970304LX7</t>
  </si>
  <si>
    <t>MX06L53251212</t>
  </si>
  <si>
    <t>23/02/2026</t>
  </si>
  <si>
    <t>75</t>
  </si>
  <si>
    <t>Cypros Boilers, S. DE R.L. DE C.V.</t>
  </si>
  <si>
    <t>CBO160125ADA</t>
  </si>
  <si>
    <t>MX06D06251592</t>
  </si>
  <si>
    <t>76</t>
  </si>
  <si>
    <t>Data Mantenimiento Industrial, S.A. DE C.V.</t>
  </si>
  <si>
    <t>MX06L51251503</t>
  </si>
  <si>
    <t>77</t>
  </si>
  <si>
    <t>Deer Sonora, S.A. DE C.V.</t>
  </si>
  <si>
    <t>DSO190222TG2</t>
  </si>
  <si>
    <t>MX06L53251484</t>
  </si>
  <si>
    <t>16/11/2025</t>
  </si>
  <si>
    <t>03/04/2026</t>
  </si>
  <si>
    <t>78</t>
  </si>
  <si>
    <t>Donaldo Paco Barrera</t>
  </si>
  <si>
    <t>PABD520410V82</t>
  </si>
  <si>
    <t>MX06L53240376</t>
  </si>
  <si>
    <t>11/11/2024</t>
  </si>
  <si>
    <t>81</t>
  </si>
  <si>
    <t>ERM MEXICO, S.A DE C.V.</t>
  </si>
  <si>
    <t>EME900717GVA</t>
  </si>
  <si>
    <t>MX06L53250466</t>
  </si>
  <si>
    <t>79</t>
  </si>
  <si>
    <t>Ecoc Electrocontroles y Obra Civil, S.A. DE C.V.</t>
  </si>
  <si>
    <t>EEO120317TSA</t>
  </si>
  <si>
    <t>MX06R253250572</t>
  </si>
  <si>
    <t>82</t>
  </si>
  <si>
    <t>Equipos Ferroviarios del Sur, S.A. de C.V.</t>
  </si>
  <si>
    <t>EFS721201JJ8</t>
  </si>
  <si>
    <t>Contrato del Corporativo CD de México</t>
  </si>
  <si>
    <t>31/12/2028</t>
  </si>
  <si>
    <t>83</t>
  </si>
  <si>
    <t>Ergonchfor, S.A. de C.V.</t>
  </si>
  <si>
    <t>ERG111006A20</t>
  </si>
  <si>
    <t>MX06D53230068</t>
  </si>
  <si>
    <t>28/09/2023</t>
  </si>
  <si>
    <t>80</t>
  </si>
  <si>
    <t>Ersa Global Mex, S.A. DE C.V.</t>
  </si>
  <si>
    <t>EGM950410PP6</t>
  </si>
  <si>
    <t>MF078122060001</t>
  </si>
  <si>
    <t>04/07/2024</t>
  </si>
  <si>
    <t>87</t>
  </si>
  <si>
    <t>GT RH Soluciones Integrales, S. DE R.L. DE C.V.</t>
  </si>
  <si>
    <t>GRS200804477</t>
  </si>
  <si>
    <t>MX06R153250976</t>
  </si>
  <si>
    <t>04/09/2026</t>
  </si>
  <si>
    <t>86</t>
  </si>
  <si>
    <t>C53-DI-252-5</t>
  </si>
  <si>
    <t>89</t>
  </si>
  <si>
    <t>Ingenieria y arquitectura CCR, S.A. de C.V.</t>
  </si>
  <si>
    <t>IAC140421K28</t>
  </si>
  <si>
    <t>MX06L53260029</t>
  </si>
  <si>
    <t>91</t>
  </si>
  <si>
    <t>Jesús Yánez Vásquez</t>
  </si>
  <si>
    <t>YAVJ880817H75</t>
  </si>
  <si>
    <t>MX06L51251562</t>
  </si>
  <si>
    <t>92</t>
  </si>
  <si>
    <t>MX06L53251305</t>
  </si>
  <si>
    <t>94</t>
  </si>
  <si>
    <t>Jose Manuel Romero Bustamante</t>
  </si>
  <si>
    <t>ROBM810119CV0</t>
  </si>
  <si>
    <t>MX06L51260012</t>
  </si>
  <si>
    <t>28/05/2026</t>
  </si>
  <si>
    <t>93</t>
  </si>
  <si>
    <t>MX06R153260158</t>
  </si>
  <si>
    <t>03/02/2026</t>
  </si>
  <si>
    <t>95</t>
  </si>
  <si>
    <t>Jose Rodrigo Romero Felix</t>
  </si>
  <si>
    <t>ROFR5711236G3</t>
  </si>
  <si>
    <t>MX06L53250263</t>
  </si>
  <si>
    <t>23/04/2025</t>
  </si>
  <si>
    <t>96</t>
  </si>
  <si>
    <t>Kaiser Consultores Ambientales, S.A. DE C.V.</t>
  </si>
  <si>
    <t>KCA940207E58</t>
  </si>
  <si>
    <t>MX06D53250441</t>
  </si>
  <si>
    <t>30/05/2027</t>
  </si>
  <si>
    <t>97</t>
  </si>
  <si>
    <t>Laboratorio del Grupo Microanalisis, S.A. DE C.V.</t>
  </si>
  <si>
    <t>LGM9312166S6</t>
  </si>
  <si>
    <t>MX06L53240309</t>
  </si>
  <si>
    <t>04/11/2024</t>
  </si>
  <si>
    <t>98</t>
  </si>
  <si>
    <t>Lamsyco Laboratorios, S.A. DE C.V.</t>
  </si>
  <si>
    <t>LLA0604175Y0</t>
  </si>
  <si>
    <t>MX06R353251291</t>
  </si>
  <si>
    <t>26/08/2025</t>
  </si>
  <si>
    <t>25/08/2026</t>
  </si>
  <si>
    <t>100</t>
  </si>
  <si>
    <t>Maen  Desarrollos de Sonora, S.A. DE C.V.</t>
  </si>
  <si>
    <t>MDS210826737</t>
  </si>
  <si>
    <t>MX06L53251356</t>
  </si>
  <si>
    <t>02/05/2026</t>
  </si>
  <si>
    <t>99</t>
  </si>
  <si>
    <t>Martha Alicia Ramirez Acosta</t>
  </si>
  <si>
    <t>RAAM570921CF7</t>
  </si>
  <si>
    <t>MX06L53251103</t>
  </si>
  <si>
    <t>101</t>
  </si>
  <si>
    <t>Mecanica Nagarson</t>
  </si>
  <si>
    <t>MX06R153240160</t>
  </si>
  <si>
    <t>01/04/2024</t>
  </si>
  <si>
    <t>01/04/2027</t>
  </si>
  <si>
    <t>104</t>
  </si>
  <si>
    <t>Molina López Francisco Eduardo</t>
  </si>
  <si>
    <t>MOLF9410076J6</t>
  </si>
  <si>
    <t>MX06L51251420</t>
  </si>
  <si>
    <t>103</t>
  </si>
  <si>
    <t>MX06L51251437</t>
  </si>
  <si>
    <t>28/03/2026</t>
  </si>
  <si>
    <t>102</t>
  </si>
  <si>
    <t>MX06L53240251</t>
  </si>
  <si>
    <t>30/06/2024</t>
  </si>
  <si>
    <t>105</t>
  </si>
  <si>
    <t>Multiequipos de elevación y grúas S.A. de C.V.</t>
  </si>
  <si>
    <t>MEG110819478</t>
  </si>
  <si>
    <t>MX06L53260146</t>
  </si>
  <si>
    <t>14/01/2026</t>
  </si>
  <si>
    <t>30/01/2027</t>
  </si>
  <si>
    <t>106</t>
  </si>
  <si>
    <t>Multisistemas de Seguridad de Noroeste, S.A. de C.V. (plazas)</t>
  </si>
  <si>
    <t>107</t>
  </si>
  <si>
    <t>Multisistemas de Seguridad del Valle de México.  S.A de C.V (plazas)</t>
  </si>
  <si>
    <t>108</t>
  </si>
  <si>
    <t>Nalco de México S. DE R.L. DE C.V.</t>
  </si>
  <si>
    <t>NME900531HM0</t>
  </si>
  <si>
    <t>MX06L53-22-0459</t>
  </si>
  <si>
    <t>01/02/2023</t>
  </si>
  <si>
    <t>110</t>
  </si>
  <si>
    <t>MX06L53240234</t>
  </si>
  <si>
    <t>05/08/2024</t>
  </si>
  <si>
    <t>04/08/2027</t>
  </si>
  <si>
    <t>109</t>
  </si>
  <si>
    <t>MX06L53240377</t>
  </si>
  <si>
    <t>28/10/2024</t>
  </si>
  <si>
    <t>111</t>
  </si>
  <si>
    <t>O.R. la Terraza,S de R.L. de c.v.</t>
  </si>
  <si>
    <t>OTE140812973</t>
  </si>
  <si>
    <t>MX06D53251525</t>
  </si>
  <si>
    <t>15/12/2026</t>
  </si>
  <si>
    <t>112</t>
  </si>
  <si>
    <t>MX06R153251789</t>
  </si>
  <si>
    <t>08/12/2026</t>
  </si>
  <si>
    <t>113</t>
  </si>
  <si>
    <t>Planeacion y Proyectos de Ingenieria, S.C.</t>
  </si>
  <si>
    <t>PPI960926MN7</t>
  </si>
  <si>
    <t>MX06D53251708</t>
  </si>
  <si>
    <t>25/11/2025</t>
  </si>
  <si>
    <t>24/03/2027</t>
  </si>
  <si>
    <t>115</t>
  </si>
  <si>
    <t>Promev, S. DE R.L. DE C.V.</t>
  </si>
  <si>
    <t>PRO170217IW3</t>
  </si>
  <si>
    <t>MX06L53251055</t>
  </si>
  <si>
    <t>10/09/2026</t>
  </si>
  <si>
    <t>116</t>
  </si>
  <si>
    <t>SBC Importaciones y Servicios del Noroeste, S. de R.L. de C.V.</t>
  </si>
  <si>
    <t>SIS091213MR4</t>
  </si>
  <si>
    <t>Contrato del Corporativo Cd. de México</t>
  </si>
  <si>
    <t>11/05/2018</t>
  </si>
  <si>
    <t>117</t>
  </si>
  <si>
    <t>Semarte Servicios Maritimos y Terrestres, S.A. DE C.V.</t>
  </si>
  <si>
    <t>SSM121221DN7</t>
  </si>
  <si>
    <t>MX06D53251604</t>
  </si>
  <si>
    <t>30/03/2026</t>
  </si>
  <si>
    <t>119</t>
  </si>
  <si>
    <t>Serpro del Cobre, S.A. de C.V.</t>
  </si>
  <si>
    <t>SCO070524PY3</t>
  </si>
  <si>
    <t>MX06R253251823</t>
  </si>
  <si>
    <t>121</t>
  </si>
  <si>
    <t>Servicios Ecologicos y Reciclados,S. de R.L. M.I.</t>
  </si>
  <si>
    <t>SER010402TJA</t>
  </si>
  <si>
    <t>MX06L53240763</t>
  </si>
  <si>
    <t>20/05/2025</t>
  </si>
  <si>
    <t>120</t>
  </si>
  <si>
    <t>MX06L53251339</t>
  </si>
  <si>
    <t>31/03/2028</t>
  </si>
  <si>
    <t>123</t>
  </si>
  <si>
    <t>Servicios Industriales Electromecanicos Enriquez, S.A. DE C.V.</t>
  </si>
  <si>
    <t>SIE080404HI6</t>
  </si>
  <si>
    <t>MX06L51250681</t>
  </si>
  <si>
    <t>122</t>
  </si>
  <si>
    <t>Servicios y Distribuciones Ayala S.A. DE C.V.</t>
  </si>
  <si>
    <t>SDA890217GK4</t>
  </si>
  <si>
    <t>MX06R253250592</t>
  </si>
  <si>
    <t>12/05/2026</t>
  </si>
  <si>
    <t>131</t>
  </si>
  <si>
    <t>Señalamientos y servicios integrales del noroeste, S.A. DE C.V.</t>
  </si>
  <si>
    <t>SSI0108012Z8</t>
  </si>
  <si>
    <t>MX06L51250545</t>
  </si>
  <si>
    <t>132</t>
  </si>
  <si>
    <t>Sis Gloson, S.A. DE C.V.</t>
  </si>
  <si>
    <t>SGL090129RE1</t>
  </si>
  <si>
    <t>MX06L53260092</t>
  </si>
  <si>
    <t>09/02/2027</t>
  </si>
  <si>
    <t>125</t>
  </si>
  <si>
    <t>Soluciones Electricas Industriales NVH, S.A. DE C.V.</t>
  </si>
  <si>
    <t>SEI111129128</t>
  </si>
  <si>
    <t>MX06E51251086</t>
  </si>
  <si>
    <t>124</t>
  </si>
  <si>
    <t>MX06L51250575</t>
  </si>
  <si>
    <t>31/07/2025</t>
  </si>
  <si>
    <t>126</t>
  </si>
  <si>
    <t>MX06L51251028</t>
  </si>
  <si>
    <t>15/08/2025</t>
  </si>
  <si>
    <t>127</t>
  </si>
  <si>
    <t>MX06L51251742</t>
  </si>
  <si>
    <t>09/05/2026</t>
  </si>
  <si>
    <t>130</t>
  </si>
  <si>
    <t>Staffing People, S.A. DE C.V.</t>
  </si>
  <si>
    <t>SPE100216FE8</t>
  </si>
  <si>
    <t>MX06L53250540</t>
  </si>
  <si>
    <t>03/07/2025</t>
  </si>
  <si>
    <t>03/07/2026</t>
  </si>
  <si>
    <t>129</t>
  </si>
  <si>
    <t>MX06R153250395</t>
  </si>
  <si>
    <t>128</t>
  </si>
  <si>
    <t>Super Gas de Ciudad Juarez, S.A. DE C.V.</t>
  </si>
  <si>
    <t>SGC630109M16</t>
  </si>
  <si>
    <t>04/05/2022</t>
  </si>
  <si>
    <t>135</t>
  </si>
  <si>
    <t>Tecnuv, Ingenieria, consultoria, Inspeccion y Construccion en la Industria, S.A. DE C.V.</t>
  </si>
  <si>
    <t>TIC090210MV8</t>
  </si>
  <si>
    <t>MX06D51240425</t>
  </si>
  <si>
    <t>133</t>
  </si>
  <si>
    <t>Transportes Especializados Jusa, S.A. DE C.V.</t>
  </si>
  <si>
    <t>TEJ870630752</t>
  </si>
  <si>
    <t>AE698480-0104</t>
  </si>
  <si>
    <t>134</t>
  </si>
  <si>
    <t>Transportes Mineros del Cobre, S.A. DE C.V.</t>
  </si>
  <si>
    <t>TMC940919V6A</t>
  </si>
  <si>
    <t>AE698480-0109</t>
  </si>
  <si>
    <t>136</t>
  </si>
  <si>
    <t>Ulli Rubber Linning Solutions, S.A DE C.V.</t>
  </si>
  <si>
    <t>URL161101B23</t>
  </si>
  <si>
    <t>MX06L53250240</t>
  </si>
  <si>
    <t>138</t>
  </si>
  <si>
    <t>MX06R153250880</t>
  </si>
  <si>
    <t>18/08/2025</t>
  </si>
  <si>
    <t>23/08/2026</t>
  </si>
  <si>
    <t>139</t>
  </si>
  <si>
    <t>MX06R253251563</t>
  </si>
  <si>
    <t>142</t>
  </si>
  <si>
    <t>Ultra Proteccion, S.A. de C.V.</t>
  </si>
  <si>
    <t>UPR161108733</t>
  </si>
  <si>
    <t>MX06L53240375</t>
  </si>
  <si>
    <t>10/11/2026</t>
  </si>
  <si>
    <t>143</t>
  </si>
  <si>
    <t>MX06L53251458</t>
  </si>
  <si>
    <t>14/11/2026</t>
  </si>
  <si>
    <t>141</t>
  </si>
  <si>
    <t>MX06R153251502</t>
  </si>
  <si>
    <t>24/10/2026</t>
  </si>
  <si>
    <t>361</t>
  </si>
  <si>
    <t>OMINA</t>
  </si>
  <si>
    <t>Comercial Sanitaria División Servicios, S.A. De C.V</t>
  </si>
  <si>
    <t>MX06R152250021</t>
  </si>
  <si>
    <t>23/02/2025</t>
  </si>
  <si>
    <t>367</t>
  </si>
  <si>
    <t>Compañía Industrial Hanka, S.A. de C.V.</t>
  </si>
  <si>
    <t>MX06L51230285</t>
  </si>
  <si>
    <t>15/08/2023</t>
  </si>
  <si>
    <t>365</t>
  </si>
  <si>
    <t>MX06L51230183</t>
  </si>
  <si>
    <t>362</t>
  </si>
  <si>
    <t>MX06L51240264</t>
  </si>
  <si>
    <t>09/09/2024</t>
  </si>
  <si>
    <t>364</t>
  </si>
  <si>
    <t>MX06L51250932</t>
  </si>
  <si>
    <t>363</t>
  </si>
  <si>
    <t>MX06L52251135</t>
  </si>
  <si>
    <t>06/10/2025</t>
  </si>
  <si>
    <t>06/04/2026</t>
  </si>
  <si>
    <t>366</t>
  </si>
  <si>
    <t>MX06R152240196</t>
  </si>
  <si>
    <t>26/06/2023</t>
  </si>
  <si>
    <t>368</t>
  </si>
  <si>
    <t>Cummins Mining Service, S. de R.L. de C.V.</t>
  </si>
  <si>
    <t>CRM060329860</t>
  </si>
  <si>
    <t>MX06L52250124</t>
  </si>
  <si>
    <t>04/07/2025</t>
  </si>
  <si>
    <t>05/04/2027</t>
  </si>
  <si>
    <t>369</t>
  </si>
  <si>
    <t>Deer Sonora, S.A. De C.V.</t>
  </si>
  <si>
    <t>DSO190222TG3</t>
  </si>
  <si>
    <t>MX06L52250086</t>
  </si>
  <si>
    <t>04/01/2025</t>
  </si>
  <si>
    <t>370</t>
  </si>
  <si>
    <t>MX06E52240193</t>
  </si>
  <si>
    <t>07/02/2024</t>
  </si>
  <si>
    <t>12/07/2027</t>
  </si>
  <si>
    <t>371</t>
  </si>
  <si>
    <t>Francisco Eduardo Molina López</t>
  </si>
  <si>
    <t>MX06L52250707</t>
  </si>
  <si>
    <t>07/01/2025</t>
  </si>
  <si>
    <t>06/07/2026</t>
  </si>
  <si>
    <t>372</t>
  </si>
  <si>
    <t>MX06R152240953</t>
  </si>
  <si>
    <t>20/12/2024</t>
  </si>
  <si>
    <t>374</t>
  </si>
  <si>
    <t>Fujisan Survey S.A. de C.V.</t>
  </si>
  <si>
    <t>FSU901121FGA</t>
  </si>
  <si>
    <t>MX06R152240215</t>
  </si>
  <si>
    <t>25/05/2024</t>
  </si>
  <si>
    <t>30/07/2026</t>
  </si>
  <si>
    <t>376</t>
  </si>
  <si>
    <t>GM Consultoria y  Proyectos de Ingenieria Ambental, S.A. de C.V.</t>
  </si>
  <si>
    <t>GCP160913NP6</t>
  </si>
  <si>
    <t>MX06L52240012</t>
  </si>
  <si>
    <t>02/12/2024</t>
  </si>
  <si>
    <t>13/02/2027</t>
  </si>
  <si>
    <t>380</t>
  </si>
  <si>
    <t>Grupo Maytorena Sosa, S.A. de C.V.</t>
  </si>
  <si>
    <t>GMS170718UQ0</t>
  </si>
  <si>
    <t>MX06L51250437</t>
  </si>
  <si>
    <t>15/10/2026</t>
  </si>
  <si>
    <t>377</t>
  </si>
  <si>
    <t>MX06L52240421</t>
  </si>
  <si>
    <t>26/11/2024</t>
  </si>
  <si>
    <t>381</t>
  </si>
  <si>
    <t>MX06R252251648</t>
  </si>
  <si>
    <t>379</t>
  </si>
  <si>
    <t>MX06R252251791</t>
  </si>
  <si>
    <t>12/08/2025</t>
  </si>
  <si>
    <t>378</t>
  </si>
  <si>
    <t>MX06R252251817</t>
  </si>
  <si>
    <t>375</t>
  </si>
  <si>
    <t>Grupo Selome, S.A. De C.V.</t>
  </si>
  <si>
    <t>GSC900317QF9</t>
  </si>
  <si>
    <t>MX06D52250893</t>
  </si>
  <si>
    <t>09/04/2026</t>
  </si>
  <si>
    <t>382</t>
  </si>
  <si>
    <t>Inmedilab Ingenieria en Mediciones Laborales, S. de R.L. de C.V.</t>
  </si>
  <si>
    <t>IIM180212U70</t>
  </si>
  <si>
    <t>MX06R152250287</t>
  </si>
  <si>
    <t>27/03/2025</t>
  </si>
  <si>
    <t>386</t>
  </si>
  <si>
    <t>Kal Tire, S.A. De C.V.</t>
  </si>
  <si>
    <t>MX06L52240081</t>
  </si>
  <si>
    <t>15/04/2024</t>
  </si>
  <si>
    <t>15/04/2026</t>
  </si>
  <si>
    <t>385</t>
  </si>
  <si>
    <t>MX06L52240679</t>
  </si>
  <si>
    <t>20/01/2025</t>
  </si>
  <si>
    <t>20/01/2027</t>
  </si>
  <si>
    <t>387</t>
  </si>
  <si>
    <t>MX06R852240733</t>
  </si>
  <si>
    <t>13/01/2025</t>
  </si>
  <si>
    <t>12/01/2028</t>
  </si>
  <si>
    <t>388</t>
  </si>
  <si>
    <t>Limbri, S.A.</t>
  </si>
  <si>
    <t>LIM0709286I7</t>
  </si>
  <si>
    <t>MX06R152250022</t>
  </si>
  <si>
    <t>03/02/2025</t>
  </si>
  <si>
    <t>03/09/2026</t>
  </si>
  <si>
    <t>389</t>
  </si>
  <si>
    <t>Mantenimiento Industrial y Domestico de Nacozari, S.A. de C.V.</t>
  </si>
  <si>
    <t>MID0711056K1</t>
  </si>
  <si>
    <t>MX06R152250623</t>
  </si>
  <si>
    <t>25/05/2025</t>
  </si>
  <si>
    <t>390</t>
  </si>
  <si>
    <t>México Compañia Constructora, S.A. de C.V.</t>
  </si>
  <si>
    <t>MCO850417HKA</t>
  </si>
  <si>
    <t>MX06L51251152</t>
  </si>
  <si>
    <t>393</t>
  </si>
  <si>
    <t>OME940127</t>
  </si>
  <si>
    <t>MX06R351250543</t>
  </si>
  <si>
    <t>14/07/2025</t>
  </si>
  <si>
    <t>16/07/2026</t>
  </si>
  <si>
    <t>394</t>
  </si>
  <si>
    <t>Promev S. de R.L de C.V.</t>
  </si>
  <si>
    <t>MX06L52240819</t>
  </si>
  <si>
    <t>397</t>
  </si>
  <si>
    <t>Refacciones Equipos y Servicios Industriales, S.A. de C.V.</t>
  </si>
  <si>
    <t>RES0109086Y9</t>
  </si>
  <si>
    <t>MX06L52240985</t>
  </si>
  <si>
    <t>398</t>
  </si>
  <si>
    <t>MX06R352250597</t>
  </si>
  <si>
    <t>05/01/2025</t>
  </si>
  <si>
    <t>399</t>
  </si>
  <si>
    <t>Servicio de Limpieza Industrial y Comercial Cormar, S.A. de C.V.</t>
  </si>
  <si>
    <t>SLI071031UB4</t>
  </si>
  <si>
    <t>MX06R152251102</t>
  </si>
  <si>
    <t>25/07/2026</t>
  </si>
  <si>
    <t>400</t>
  </si>
  <si>
    <t>Servicios Ecológicos Y Reciclados, S. De R.L. M.I.</t>
  </si>
  <si>
    <t>MX06L52230116</t>
  </si>
  <si>
    <t>19/04/2023</t>
  </si>
  <si>
    <t>18/04/2026</t>
  </si>
  <si>
    <t>401</t>
  </si>
  <si>
    <t>Sistemas profesionales Novatel, S.A de C.V.</t>
  </si>
  <si>
    <t>SPN1705306J7</t>
  </si>
  <si>
    <t>MX06L52240126</t>
  </si>
  <si>
    <t>05/06/2024</t>
  </si>
  <si>
    <t>06/05/2027</t>
  </si>
  <si>
    <t>404</t>
  </si>
  <si>
    <t>Tecmin Servicios, S.A. de C.V.</t>
  </si>
  <si>
    <t>TSE010514LY4</t>
  </si>
  <si>
    <t>MX06L52250973</t>
  </si>
  <si>
    <t>25/08/2025</t>
  </si>
  <si>
    <t>25/03/2026</t>
  </si>
  <si>
    <t>402</t>
  </si>
  <si>
    <t>Transformaciones Y Estructuras De Acero, S.A. De C.V.</t>
  </si>
  <si>
    <t>TEA120131QQ7</t>
  </si>
  <si>
    <t>MX06L52251272</t>
  </si>
  <si>
    <t>22/10/2025</t>
  </si>
  <si>
    <t>405</t>
  </si>
  <si>
    <t>Ultra Protección, S.A. De C.V.</t>
  </si>
  <si>
    <t>MX06L51240650</t>
  </si>
  <si>
    <t>02/10/2025</t>
  </si>
  <si>
    <t>10/02/2026</t>
  </si>
  <si>
    <t>541</t>
  </si>
  <si>
    <t>GRUPO MEXICO SERVICIOS DE INGENIERIA</t>
  </si>
  <si>
    <t>MIN130620JX9</t>
  </si>
  <si>
    <t>C99 DI 251 5</t>
  </si>
  <si>
    <t>539</t>
  </si>
  <si>
    <t>SEDEGRAL S.A. DE C.V.</t>
  </si>
  <si>
    <t>SSP121018B67</t>
  </si>
  <si>
    <t>MX09R71250454</t>
  </si>
  <si>
    <t>50</t>
  </si>
  <si>
    <t>MX09R237251449</t>
  </si>
  <si>
    <t>22/09/2025</t>
  </si>
  <si>
    <t>21/09/2026</t>
  </si>
  <si>
    <t>410</t>
  </si>
  <si>
    <t>FEBRERO</t>
  </si>
  <si>
    <t>EQUIPOS DE SEGURIDAD DEL CENTRO</t>
  </si>
  <si>
    <t>MX06L51250618</t>
  </si>
  <si>
    <t>31/12/2025</t>
  </si>
  <si>
    <t>411</t>
  </si>
  <si>
    <t>IMM IND METALMECAN Y MINERAS</t>
  </si>
  <si>
    <t>IIM060110GE4</t>
  </si>
  <si>
    <t>MX06L51240913</t>
  </si>
  <si>
    <t>31/08/2025</t>
  </si>
  <si>
    <t>412</t>
  </si>
  <si>
    <t>ALFRED H KNIGHTDE MEXICO</t>
  </si>
  <si>
    <t>AHK781117811</t>
  </si>
  <si>
    <t>MKM.ZS71161</t>
  </si>
  <si>
    <t>413</t>
  </si>
  <si>
    <t>AMERICA JOCELYN DAMASCO VARGAS</t>
  </si>
  <si>
    <t>DAVA930425SV5</t>
  </si>
  <si>
    <t>MX09L37251609</t>
  </si>
  <si>
    <t>20/01/2026</t>
  </si>
  <si>
    <t>31/01/2026</t>
  </si>
  <si>
    <t>414</t>
  </si>
  <si>
    <t>AR SERVICIOS INDUSTRIALES Y MOVILES SA. DE CV.</t>
  </si>
  <si>
    <t>MX09R237250686</t>
  </si>
  <si>
    <t>19/03/2025</t>
  </si>
  <si>
    <t>19/03/2026</t>
  </si>
  <si>
    <t>415</t>
  </si>
  <si>
    <t>CARLOS TELLEZ GARCIA</t>
  </si>
  <si>
    <t>TEGC7511245F4</t>
  </si>
  <si>
    <t>MX09L37250170</t>
  </si>
  <si>
    <t>11/04/2025</t>
  </si>
  <si>
    <t>11/04/2027</t>
  </si>
  <si>
    <t>416</t>
  </si>
  <si>
    <t>CONTROL DE PLAGAS VALACH S. DE R.L. DE C.V.</t>
  </si>
  <si>
    <t>CPV1306155X0</t>
  </si>
  <si>
    <t>MX09R137250687</t>
  </si>
  <si>
    <t>12/07/2025</t>
  </si>
  <si>
    <t>417</t>
  </si>
  <si>
    <t>EDUARDO LLAMAS MARTINEZ</t>
  </si>
  <si>
    <t>MX09R137251657</t>
  </si>
  <si>
    <t>23/10/2025</t>
  </si>
  <si>
    <t>418</t>
  </si>
  <si>
    <t>Estudios y Proyectos de Vías Terrestres EXELIXI</t>
  </si>
  <si>
    <t>EPV201222549</t>
  </si>
  <si>
    <t>T37647525</t>
  </si>
  <si>
    <t>11/11/2025</t>
  </si>
  <si>
    <t>419</t>
  </si>
  <si>
    <t>FRANCIS DE SAN LUIS,  S.A. DE C.V.</t>
  </si>
  <si>
    <t>421</t>
  </si>
  <si>
    <t>GRUPO CONSTRUCTOR ROPEGO, S.A. DE C.V.</t>
  </si>
  <si>
    <t>GCR120327HS1</t>
  </si>
  <si>
    <t>C37672515</t>
  </si>
  <si>
    <t>422</t>
  </si>
  <si>
    <t>GRUPO MAYA PROTECCION PERSONAL  PRIVADA Y EMPRESARIAL S.A. DE  C.V.</t>
  </si>
  <si>
    <t>423</t>
  </si>
  <si>
    <t>INNOVACION Y ADMINISTRACION DE T.I. S DE R.L.C.V.</t>
  </si>
  <si>
    <t>MX09D37251021</t>
  </si>
  <si>
    <t>14/08/2026</t>
  </si>
  <si>
    <t>424</t>
  </si>
  <si>
    <t>JARO CONTRATISTAS, S.A. DE C.V.</t>
  </si>
  <si>
    <t>JCO961122ED1</t>
  </si>
  <si>
    <t>MX09L37251112</t>
  </si>
  <si>
    <t>08/10/2027</t>
  </si>
  <si>
    <t>425</t>
  </si>
  <si>
    <t>LUCIANO OCTAVIO ELORZA CORRES -- SIMEX</t>
  </si>
  <si>
    <t>EOCL511101E18</t>
  </si>
  <si>
    <t>MX09R137240843A</t>
  </si>
  <si>
    <t>03/03/2025</t>
  </si>
  <si>
    <t>426</t>
  </si>
  <si>
    <t>MANTENIMIENTO INDUSTRIAL Y CONSTRUCCION POTOSINA</t>
  </si>
  <si>
    <t>MIC891130IV0</t>
  </si>
  <si>
    <t>MX09R137240843C</t>
  </si>
  <si>
    <t>428</t>
  </si>
  <si>
    <t>MARIA HERNANDEZ CARRANZA. (SOPAYEL)</t>
  </si>
  <si>
    <t>HECM690118CM0</t>
  </si>
  <si>
    <t>MX09L37240836</t>
  </si>
  <si>
    <t>14/06/2026</t>
  </si>
  <si>
    <t>429</t>
  </si>
  <si>
    <t>METTLER TOLEDO SA DE CV</t>
  </si>
  <si>
    <t>430</t>
  </si>
  <si>
    <t>NAHLA NETWORK SA DE CV.</t>
  </si>
  <si>
    <t>NNE190214B36</t>
  </si>
  <si>
    <t>MX09D99240960</t>
  </si>
  <si>
    <t>16/11/2024</t>
  </si>
  <si>
    <t>15/11/2027</t>
  </si>
  <si>
    <t>432</t>
  </si>
  <si>
    <t>REFACCIONAMIENTO SUMINISTRO Y SOLUCIONES GLOBALES DEL CENTRO</t>
  </si>
  <si>
    <t>RSS180711664</t>
  </si>
  <si>
    <t>MX09L37250332</t>
  </si>
  <si>
    <t>15/05/2027</t>
  </si>
  <si>
    <t>434</t>
  </si>
  <si>
    <t>ROCIO ROBLEDO GONZALEZ</t>
  </si>
  <si>
    <t>ROGR840630FI8</t>
  </si>
  <si>
    <t>MX09R137251625</t>
  </si>
  <si>
    <t>30/10/2025</t>
  </si>
  <si>
    <t>30/10/2026</t>
  </si>
  <si>
    <t>435</t>
  </si>
  <si>
    <t>RODAMSAT INF. Y TEL. S.A. DE C.V.</t>
  </si>
  <si>
    <t>RIT090511P70</t>
  </si>
  <si>
    <t>MX09D37260101</t>
  </si>
  <si>
    <t>23/01/2026</t>
  </si>
  <si>
    <t>436</t>
  </si>
  <si>
    <t>SCHNEIDER ELECTRIC SYSTEMS</t>
  </si>
  <si>
    <t>MX09E37240063</t>
  </si>
  <si>
    <t>13/08/2024</t>
  </si>
  <si>
    <t>19/04/2026</t>
  </si>
  <si>
    <t>438</t>
  </si>
  <si>
    <t>SECONSA SERVICIOS ESPECIALIZADOS</t>
  </si>
  <si>
    <t>MX09L37251157</t>
  </si>
  <si>
    <t>440</t>
  </si>
  <si>
    <t>TALLERES GRANITO, S.A. DE C.V</t>
  </si>
  <si>
    <t>TGR190522QHA</t>
  </si>
  <si>
    <t>MX09R137240843B</t>
  </si>
  <si>
    <t>442</t>
  </si>
  <si>
    <t>ULTRA PROTECCION S.A. DE C.V.</t>
  </si>
  <si>
    <t>MX09L37240133</t>
  </si>
  <si>
    <t>22/04/2024</t>
  </si>
  <si>
    <t>13/04/2026</t>
  </si>
  <si>
    <t>441</t>
  </si>
  <si>
    <t>MX09L37251163</t>
  </si>
  <si>
    <t>15/09/2026</t>
  </si>
  <si>
    <t>145</t>
  </si>
  <si>
    <t>Protección Técnica Total, S.A. de C.V.</t>
  </si>
  <si>
    <t>PTT-910618-G49</t>
  </si>
  <si>
    <t>MX09R101251235</t>
  </si>
  <si>
    <t>30/08/2025</t>
  </si>
  <si>
    <t>29/08/2026</t>
  </si>
  <si>
    <t>146</t>
  </si>
  <si>
    <t>SECONSA SERVICIOS ESPECIALIZADOS, S.A. DE C.V.</t>
  </si>
  <si>
    <t>SDO-070215-IX4</t>
  </si>
  <si>
    <t>MX09R101251326</t>
  </si>
  <si>
    <t>01/09/2026</t>
  </si>
  <si>
    <t>41</t>
  </si>
  <si>
    <t>42</t>
  </si>
  <si>
    <t>Grupo México Servicios de Ingeniería, S.A. de C.V.</t>
  </si>
  <si>
    <t>47</t>
  </si>
  <si>
    <t>MX07R179260038</t>
  </si>
  <si>
    <t>04/09/2025</t>
  </si>
  <si>
    <t>46</t>
  </si>
  <si>
    <t>MX09R137251011</t>
  </si>
  <si>
    <t>51</t>
  </si>
  <si>
    <t>Servicios Auxiliares del Centro, S.A. de C.V.</t>
  </si>
  <si>
    <t>SAC940601DC1</t>
  </si>
  <si>
    <t>MX09L 33 251530</t>
  </si>
  <si>
    <t>52</t>
  </si>
  <si>
    <t>MX09R133251129</t>
  </si>
  <si>
    <t>08/07/2025</t>
  </si>
  <si>
    <t>08/07/2026</t>
  </si>
  <si>
    <t>54</t>
  </si>
  <si>
    <t>MX09R237250737</t>
  </si>
  <si>
    <t>05/05/2025</t>
  </si>
  <si>
    <t>53</t>
  </si>
  <si>
    <t>MEXICANA DEL ARCO</t>
  </si>
  <si>
    <t>MX09D94250224</t>
  </si>
  <si>
    <t>06/04/2025</t>
  </si>
  <si>
    <t>445</t>
  </si>
  <si>
    <t>BYLSA DRILLING, S.A. DE C.V.</t>
  </si>
  <si>
    <t>MX09L77251074</t>
  </si>
  <si>
    <t>28/09/2026</t>
  </si>
  <si>
    <t>447</t>
  </si>
  <si>
    <t>CESPA CONSTRUCCIONES Y MANTENIMIENTOS INDUSTRIALES SA DE CV</t>
  </si>
  <si>
    <t>MX09L77250175</t>
  </si>
  <si>
    <t>448</t>
  </si>
  <si>
    <t>CSI DIVISION SERVICIOS, S.A. DE C.V.</t>
  </si>
  <si>
    <t>CDS9709036M8</t>
  </si>
  <si>
    <t>MX09D77250333</t>
  </si>
  <si>
    <t>450</t>
  </si>
  <si>
    <t>DICOM FRESNILLO S.A. DE C.V.</t>
  </si>
  <si>
    <t>DFR100303LTA</t>
  </si>
  <si>
    <t>MX09L77250914</t>
  </si>
  <si>
    <t>453</t>
  </si>
  <si>
    <t>HOTEL AVENIDA REAL</t>
  </si>
  <si>
    <t>HAR870907797</t>
  </si>
  <si>
    <t>MX09L77250396</t>
  </si>
  <si>
    <t>484</t>
  </si>
  <si>
    <t>INGENIERIA CONSTRUCCION Y MANTENIMIENTO INDUSTRIAL Y MINERO, S.A. DE C.V</t>
  </si>
  <si>
    <t>ICM191004983</t>
  </si>
  <si>
    <t>MX09L77251368</t>
  </si>
  <si>
    <t>456</t>
  </si>
  <si>
    <t>JESUS CECEÑAS SALAZAR (SJ)</t>
  </si>
  <si>
    <t>CESJ711217DF9</t>
  </si>
  <si>
    <t>MX09L77250964</t>
  </si>
  <si>
    <t>454</t>
  </si>
  <si>
    <t>MX09L77251040</t>
  </si>
  <si>
    <t>455</t>
  </si>
  <si>
    <t>MX09R177250479</t>
  </si>
  <si>
    <t>457</t>
  </si>
  <si>
    <t>MX09R277250615</t>
  </si>
  <si>
    <t>14/05/2027</t>
  </si>
  <si>
    <t>480</t>
  </si>
  <si>
    <t>JORGE CASTRO VALLES</t>
  </si>
  <si>
    <t>CAVJ680813NI5</t>
  </si>
  <si>
    <t>MX09R377250643</t>
  </si>
  <si>
    <t>14/05/2026</t>
  </si>
  <si>
    <t>481</t>
  </si>
  <si>
    <t>JORGE LUIS BUENROSTRO SALAS</t>
  </si>
  <si>
    <t>BUSJ000304G99</t>
  </si>
  <si>
    <t>MX09R277251541</t>
  </si>
  <si>
    <t>16/12/2025</t>
  </si>
  <si>
    <t>459</t>
  </si>
  <si>
    <t>LOGMINE, S.A. DE C.V.</t>
  </si>
  <si>
    <t>LOG120111BL4</t>
  </si>
  <si>
    <t>MX09L77251627</t>
  </si>
  <si>
    <t>19/11/2025</t>
  </si>
  <si>
    <t>479</t>
  </si>
  <si>
    <t>MASTER  DRILLING MEXICO, S.A. DE C.V.</t>
  </si>
  <si>
    <t>MDM050525E20</t>
  </si>
  <si>
    <t>MX09L77251638</t>
  </si>
  <si>
    <t>460</t>
  </si>
  <si>
    <t>MAYA PROTECCION PERSONAL</t>
  </si>
  <si>
    <t>463</t>
  </si>
  <si>
    <t>MINERALES DE TARACHI, S. DE R.L. DE C.V.</t>
  </si>
  <si>
    <t>MTA110419Q8A</t>
  </si>
  <si>
    <t>MX09L77251301</t>
  </si>
  <si>
    <t>462</t>
  </si>
  <si>
    <t>MOUNTAR, S.A.P.I. DE C.V.</t>
  </si>
  <si>
    <t>MX09R77250326</t>
  </si>
  <si>
    <t>466</t>
  </si>
  <si>
    <t>SANDVIK MINING AND CONSTRUCTION DE MEXICO, S.A. DE C.V.</t>
  </si>
  <si>
    <t>SMC960216CX9</t>
  </si>
  <si>
    <t>MX09E77250867C</t>
  </si>
  <si>
    <t>469</t>
  </si>
  <si>
    <t>SISMELP S.A. DE C.V.</t>
  </si>
  <si>
    <t>SIS1811099J3</t>
  </si>
  <si>
    <t>MX09L77250963</t>
  </si>
  <si>
    <t>08/08/2025</t>
  </si>
  <si>
    <t>10/02/2027</t>
  </si>
  <si>
    <t>468</t>
  </si>
  <si>
    <t>MX09L77251580</t>
  </si>
  <si>
    <t>14/11/2025</t>
  </si>
  <si>
    <t>465</t>
  </si>
  <si>
    <t>Saúl Gerardo Guevara Quiñonez</t>
  </si>
  <si>
    <t>GUQS850515EH9</t>
  </si>
  <si>
    <t>T 77 DI 751 5</t>
  </si>
  <si>
    <t>471</t>
  </si>
  <si>
    <t>TECMIN SERVICIOS S.A DE C.V.</t>
  </si>
  <si>
    <t>SAPM490318TR8</t>
  </si>
  <si>
    <t>MX09L77250157</t>
  </si>
  <si>
    <t>09/09/2026</t>
  </si>
  <si>
    <t>472</t>
  </si>
  <si>
    <t>MX09R192250876</t>
  </si>
  <si>
    <t>474</t>
  </si>
  <si>
    <t>TRUCK DRILL MACHINES, S.A. DE C.V.</t>
  </si>
  <si>
    <t>MX09L77250215</t>
  </si>
  <si>
    <t>10/05/2025</t>
  </si>
  <si>
    <t>473</t>
  </si>
  <si>
    <t>MX09L77251318</t>
  </si>
  <si>
    <t>478</t>
  </si>
  <si>
    <t>VICTOR  HUGO SANCHEZ NUÑEZ (SERMEPM)</t>
  </si>
  <si>
    <t>SANV871025LL2</t>
  </si>
  <si>
    <t>MX09 L 77 22 0605</t>
  </si>
  <si>
    <t>31/10/2024</t>
  </si>
  <si>
    <t>528</t>
  </si>
  <si>
    <t>CG NORTHERN MINING INFRAESTRUCTURE SA DE CV</t>
  </si>
  <si>
    <t>CNM1603071R5</t>
  </si>
  <si>
    <t>MX09L59250097</t>
  </si>
  <si>
    <t>529</t>
  </si>
  <si>
    <t>MX09L59250911</t>
  </si>
  <si>
    <t>08/03/2026</t>
  </si>
  <si>
    <t>487</t>
  </si>
  <si>
    <t>Carmina Manuela Ayala Arzola</t>
  </si>
  <si>
    <t>AAAC68102984A</t>
  </si>
  <si>
    <t>MX09D59250736</t>
  </si>
  <si>
    <t>30/06/2028</t>
  </si>
  <si>
    <t>488</t>
  </si>
  <si>
    <t>MX09L59251045</t>
  </si>
  <si>
    <t>25/05/2026</t>
  </si>
  <si>
    <t>489</t>
  </si>
  <si>
    <t>Cau, Sa de CV</t>
  </si>
  <si>
    <t>A40-67499-10-3</t>
  </si>
  <si>
    <t>MX09R259250807</t>
  </si>
  <si>
    <t>490</t>
  </si>
  <si>
    <t>ELVIRA GAMEZ RODRIGUEZ</t>
  </si>
  <si>
    <t>GARE750105ND1</t>
  </si>
  <si>
    <t>C 59 DI 257 5</t>
  </si>
  <si>
    <t>491</t>
  </si>
  <si>
    <t>MX09L59251107</t>
  </si>
  <si>
    <t>493</t>
  </si>
  <si>
    <t>MX09L59251854</t>
  </si>
  <si>
    <t>06/02/2026</t>
  </si>
  <si>
    <t>492</t>
  </si>
  <si>
    <t>T 59 05 753 5</t>
  </si>
  <si>
    <t>04/12/2025</t>
  </si>
  <si>
    <t>494</t>
  </si>
  <si>
    <t>ESTRUCTURAS Y MANTENIMIENTO MOVA, S.A. DE C.V.</t>
  </si>
  <si>
    <t>MX09L59251467</t>
  </si>
  <si>
    <t>496</t>
  </si>
  <si>
    <t>GESTION DE EQUIPOS MINERIA MANTENIMIENTO Y ACARREO</t>
  </si>
  <si>
    <t>GEM161027AR8</t>
  </si>
  <si>
    <t>T 59 94 774 5</t>
  </si>
  <si>
    <t>527</t>
  </si>
  <si>
    <t>GRUPO MINDAJ S. DE R.L. DE C.V.</t>
  </si>
  <si>
    <t>GMI211022AY8</t>
  </si>
  <si>
    <t>MX09R159260062</t>
  </si>
  <si>
    <t>19/09/2026</t>
  </si>
  <si>
    <t>497</t>
  </si>
  <si>
    <t>Grupo Constructor Leravi Sa De Cv</t>
  </si>
  <si>
    <t>MX09L59251098</t>
  </si>
  <si>
    <t>16/07/2022</t>
  </si>
  <si>
    <t>31/10/2028</t>
  </si>
  <si>
    <t>498</t>
  </si>
  <si>
    <t>Hidraulix de mexico sa de cv</t>
  </si>
  <si>
    <t>HME170907EH8</t>
  </si>
  <si>
    <t>MX09L99240031</t>
  </si>
  <si>
    <t>01/06/2024</t>
  </si>
  <si>
    <t>31/08/2026</t>
  </si>
  <si>
    <t>499</t>
  </si>
  <si>
    <t>ING M.A.H. CONSTRUCCIONES, S.A. DE C.V</t>
  </si>
  <si>
    <t>AAHM6402188E2</t>
  </si>
  <si>
    <t>MX09L59251115</t>
  </si>
  <si>
    <t>21/01/2026</t>
  </si>
  <si>
    <t>16/06/2026</t>
  </si>
  <si>
    <t>533</t>
  </si>
  <si>
    <t>ISEDSA INGENIERÍA Y SERVICIOS ELÉCTRICOS DE DURANGO, S.A. DE C.V.</t>
  </si>
  <si>
    <t>B2662985103</t>
  </si>
  <si>
    <t>MX09L59250871</t>
  </si>
  <si>
    <t>501</t>
  </si>
  <si>
    <t>Ingenieria y obras hidraulicas SA DE CV</t>
  </si>
  <si>
    <t>IOH000316IM0</t>
  </si>
  <si>
    <t>C 59 94 257 3</t>
  </si>
  <si>
    <t>25/10/2023</t>
  </si>
  <si>
    <t>500</t>
  </si>
  <si>
    <t>MX09L59250872</t>
  </si>
  <si>
    <t>507</t>
  </si>
  <si>
    <t>JULIO CESAR ARROYO TERRAZAS</t>
  </si>
  <si>
    <t>AOT J6505016TA</t>
  </si>
  <si>
    <t>MX09L59240304</t>
  </si>
  <si>
    <t>18/12/2025</t>
  </si>
  <si>
    <t>508</t>
  </si>
  <si>
    <t>MX09R159251390</t>
  </si>
  <si>
    <t>10/10/2026</t>
  </si>
  <si>
    <t>502</t>
  </si>
  <si>
    <t>Jace industrial sa de cv</t>
  </si>
  <si>
    <t>JIN2108246V1</t>
  </si>
  <si>
    <t>C59072515</t>
  </si>
  <si>
    <t>503</t>
  </si>
  <si>
    <t>MX09L59250673</t>
  </si>
  <si>
    <t>24/06/2025</t>
  </si>
  <si>
    <t>504</t>
  </si>
  <si>
    <t>MX09L59250776</t>
  </si>
  <si>
    <t>15/07/2025</t>
  </si>
  <si>
    <t>505</t>
  </si>
  <si>
    <t>Jose Ramirez Grajeda</t>
  </si>
  <si>
    <t>RAGJ7103199K9</t>
  </si>
  <si>
    <t>MX09R259240019</t>
  </si>
  <si>
    <t>12/10/2026</t>
  </si>
  <si>
    <t>506</t>
  </si>
  <si>
    <t>Juan Rucobo Rodriguez (Gate Controls)</t>
  </si>
  <si>
    <t>RURJ940136HA</t>
  </si>
  <si>
    <t>C59892525</t>
  </si>
  <si>
    <t>525</t>
  </si>
  <si>
    <t>KENYA VIANEY RIVAS VELAZQUEZ</t>
  </si>
  <si>
    <t>RIVK980127K99</t>
  </si>
  <si>
    <t>T59087515</t>
  </si>
  <si>
    <t>526</t>
  </si>
  <si>
    <t>MARCO ANTONIO MELENDEZ PIÑON</t>
  </si>
  <si>
    <t>MEPM770921SW9</t>
  </si>
  <si>
    <t>C 59 DI 256 5</t>
  </si>
  <si>
    <t>31/03/2025</t>
  </si>
  <si>
    <t>535</t>
  </si>
  <si>
    <t>MARGARITA PRIETO DOMINGUEZ</t>
  </si>
  <si>
    <t>PIDM540426CG2</t>
  </si>
  <si>
    <t>MX09L59251369</t>
  </si>
  <si>
    <t>513</t>
  </si>
  <si>
    <t>MUÑOZ FAVA MA DE LOURDES</t>
  </si>
  <si>
    <t>MX09L59251579</t>
  </si>
  <si>
    <t>509</t>
  </si>
  <si>
    <t>Maple Transportes y servicios sa de cv</t>
  </si>
  <si>
    <t>MTS110406KJ1</t>
  </si>
  <si>
    <t>MX09R159251519</t>
  </si>
  <si>
    <t>510</t>
  </si>
  <si>
    <t>Minpro sa de cv</t>
  </si>
  <si>
    <t>MIN080527KE4</t>
  </si>
  <si>
    <t>MX09R159250745</t>
  </si>
  <si>
    <t>30/04/2027</t>
  </si>
  <si>
    <t>537</t>
  </si>
  <si>
    <t>OSCAR JAVIER SOLIS VARGAS</t>
  </si>
  <si>
    <t>SOVO890220N47</t>
  </si>
  <si>
    <t>C59862535</t>
  </si>
  <si>
    <t>18/11/2025</t>
  </si>
  <si>
    <t>530</t>
  </si>
  <si>
    <t>RAUL GRIMALDO BALLESTEROS</t>
  </si>
  <si>
    <t>GIBR8702243B1</t>
  </si>
  <si>
    <t>MX09L59250877</t>
  </si>
  <si>
    <t>538</t>
  </si>
  <si>
    <t>RODAMSAT INFORMATICA Y TELECOMUNICACIONES, S.A. DE C.V.</t>
  </si>
  <si>
    <t>MX09L99240014</t>
  </si>
  <si>
    <t>515</t>
  </si>
  <si>
    <t>Ricardo Hernandez</t>
  </si>
  <si>
    <t>HECR690406NZ6</t>
  </si>
  <si>
    <t>MX09D59260193</t>
  </si>
  <si>
    <t>20/02/2026</t>
  </si>
  <si>
    <t>534</t>
  </si>
  <si>
    <t>MX09L59251396</t>
  </si>
  <si>
    <t>517</t>
  </si>
  <si>
    <t>SERVICIOS MECANICOS INDUSTRIAL DE PARRAL S DE RL DE CV</t>
  </si>
  <si>
    <t>SMI150814QB2</t>
  </si>
  <si>
    <t>MX09L59251105</t>
  </si>
  <si>
    <t>519</t>
  </si>
  <si>
    <t>MX09L59251622</t>
  </si>
  <si>
    <t>24/11/2026</t>
  </si>
  <si>
    <t>518</t>
  </si>
  <si>
    <t>MX09L59251777</t>
  </si>
  <si>
    <t>520</t>
  </si>
  <si>
    <t>SVI Librady Ramirez Giraldo</t>
  </si>
  <si>
    <t>RAGS880108UZ9</t>
  </si>
  <si>
    <t>MX09R59240731</t>
  </si>
  <si>
    <t>14/12/2024</t>
  </si>
  <si>
    <t>14/12/2026</t>
  </si>
  <si>
    <t>536</t>
  </si>
  <si>
    <t>TECNOLOGIA Y CONTROL DE CHIHUAHUA SAS DE CV</t>
  </si>
  <si>
    <t>TCC180112GN8</t>
  </si>
  <si>
    <t>C59072525</t>
  </si>
  <si>
    <t>524</t>
  </si>
  <si>
    <t>TRUCK DRILL MACHINES SA DE CV</t>
  </si>
  <si>
    <t>H0126508102</t>
  </si>
  <si>
    <t>MX09L59250747</t>
  </si>
  <si>
    <t>15/06/2025</t>
  </si>
  <si>
    <t>523</t>
  </si>
  <si>
    <t>MX09R159250720</t>
  </si>
  <si>
    <t>06/05/2026</t>
  </si>
  <si>
    <t>521</t>
  </si>
  <si>
    <t>Taller industrial Coinso sa de cv</t>
  </si>
  <si>
    <t>TIC1101242Z1</t>
  </si>
  <si>
    <t>C 59 89 251 4</t>
  </si>
  <si>
    <t>22/07/2024</t>
  </si>
  <si>
    <t>522</t>
  </si>
  <si>
    <t>Tecmin SA de CV</t>
  </si>
  <si>
    <t>MX09R199250140</t>
  </si>
  <si>
    <t>532</t>
  </si>
  <si>
    <t>MX09L59250870</t>
  </si>
  <si>
    <t>544</t>
  </si>
  <si>
    <t>MX09L78250138</t>
  </si>
  <si>
    <t>31/03/2027</t>
  </si>
  <si>
    <t>545</t>
  </si>
  <si>
    <t>ULTRA PROTECCIÓN, S.A. DE C.V.</t>
  </si>
  <si>
    <t>MX09L81240237</t>
  </si>
  <si>
    <t>17/09/2024</t>
  </si>
  <si>
    <t>16/09/2026</t>
  </si>
  <si>
    <t>57</t>
  </si>
  <si>
    <t>56</t>
  </si>
  <si>
    <t>Descripcion Breve De Las Actividades</t>
  </si>
  <si>
    <t>Gerencia</t>
  </si>
  <si>
    <t>Área de trabajo</t>
  </si>
  <si>
    <t>Clasificación Corta</t>
  </si>
  <si>
    <t>Contratistas Permanentes</t>
  </si>
  <si>
    <t>Contratistas Eventuales</t>
  </si>
  <si>
    <t>Contratistas Proyectos De Expansión</t>
  </si>
  <si>
    <t>Total De Plazas</t>
  </si>
  <si>
    <t xml:space="preserve">Total De Trabajadores </t>
  </si>
  <si>
    <t>MUJER</t>
  </si>
  <si>
    <t>HOMBRE</t>
  </si>
  <si>
    <t>49</t>
  </si>
  <si>
    <t>MX09 L 39 24 0272</t>
  </si>
  <si>
    <t>Servicios especializados, referentes al mantenimiento a las instalaciones y equipos, principalmente por seguridad al ademe de la mina, barrenacion, desarrollo y servicios  así como vigilancia de instalaciones</t>
  </si>
  <si>
    <t>Gerencia Proyecto</t>
  </si>
  <si>
    <t>Angangueo</t>
  </si>
  <si>
    <t>General Operaciones y Servicios</t>
  </si>
  <si>
    <t>238</t>
  </si>
  <si>
    <t>Analisis Ambiental, S.A. de C.V.</t>
  </si>
  <si>
    <t>MX08R134240058</t>
  </si>
  <si>
    <t>EVALUACIÓN Y CONTROL DE AGENTES QUIMICOS CONTAMINANTES DEL MEDIO AMBIENTE LABORAL AL PERSONAL OCUPACIONALMENTE EXPUESTO DE ACUERDO NOM-010-STPS-2014, SEGURIDAD E HIGIENE OMIMSA, EN CANANEA, SONORA</t>
  </si>
  <si>
    <t>ECOLOGIA</t>
  </si>
  <si>
    <t>VARIAS AREAS</t>
  </si>
  <si>
    <t>Sustentabilidad</t>
  </si>
  <si>
    <t>240</t>
  </si>
  <si>
    <t>Arizona Equipos y Servicios de Mexico, S.A. de C.V.</t>
  </si>
  <si>
    <t>MX08L84251296</t>
  </si>
  <si>
    <t>OBRA ELECTRICA PARA LA REHABILITACIÓN DE LA NUEVA TIENDA DEL MINERO, CANANEA SONORA.</t>
  </si>
  <si>
    <t>PARQUES URBANOS</t>
  </si>
  <si>
    <t>TAMOSURA</t>
  </si>
  <si>
    <t>08/09/2025</t>
  </si>
  <si>
    <t>256</t>
  </si>
  <si>
    <t>Deeproc Inc.</t>
  </si>
  <si>
    <t>MX08E34250463</t>
  </si>
  <si>
    <t>SISTEMA PARA LA ASISTENCIA EN LA REVERSA CON RADARES DE PROXIMIDAD Y DETECCION DE OBSTÁCULOS COMO APOYO A LA OPERACION SEGURA EN CAMIONES DE ACARREO DE MATERIAL DE MINA OPERACION OMIMSA, CANANEA, SONORA.</t>
  </si>
  <si>
    <t>MINA OPERACIÓN</t>
  </si>
  <si>
    <t>TAJO</t>
  </si>
  <si>
    <t>Mina</t>
  </si>
  <si>
    <t>06/05/2025</t>
  </si>
  <si>
    <t>23/04/2026</t>
  </si>
  <si>
    <t>267</t>
  </si>
  <si>
    <t>Ezequiel Ramos Toledo</t>
  </si>
  <si>
    <t>RATE670925UJ8</t>
  </si>
  <si>
    <t>MX08R34260086</t>
  </si>
  <si>
    <t>SERVICIO DE ACARREO DE AGUA POTABLE CON CAMION CISTERNA (CERTIFICADA), EN LA UNIDAD BUENAVISTA DEL COBRE, NECESARIO PARA SUMINISTRAR AGUA POTABLE PARA USO HUMANO CON BASE A LOS REQUERIMIENTOS DE LA SECRETARIA DE SALUD, OMIMSA, CANANEA, SONORA.</t>
  </si>
  <si>
    <t>SEGURIDAD</t>
  </si>
  <si>
    <t>268</t>
  </si>
  <si>
    <t>Femsi de México, S. de R.L. de C.V.</t>
  </si>
  <si>
    <t>FME1604047EA</t>
  </si>
  <si>
    <t>MX08R734240730</t>
  </si>
  <si>
    <t>SERVICIO ESPECIALIZADO DE MANTENIMIENTO ELECTROMECANICO PREDICTIVO, PREVENTIVO Y CORRECTIVO A FLOTILLAS DE PALAS Y PERFORADORAS DE MINA MANTENIMIENTO, OMIMSA</t>
  </si>
  <si>
    <t>MINA MANTENIMIENTO</t>
  </si>
  <si>
    <t>TALLER</t>
  </si>
  <si>
    <t>01/11/2024</t>
  </si>
  <si>
    <t>269</t>
  </si>
  <si>
    <t>Francisco Javier Cano Ayala</t>
  </si>
  <si>
    <t>MX08D34251853</t>
  </si>
  <si>
    <t>REHABILITACIÓN, FABRICACIÓN, DESMONTAJE Y MONTAJE DE ESTRUCTURAS EN DIFERENTES ÁREAS DE CONCENTRADORA 1, MANTENIMIENTO PLANTAS OMIMSA, CANANEA, SONORA.</t>
  </si>
  <si>
    <t>CONCENTRADORA</t>
  </si>
  <si>
    <t>Concentradora</t>
  </si>
  <si>
    <t>270</t>
  </si>
  <si>
    <t>Frida Corina Garcia Tacho</t>
  </si>
  <si>
    <t>MX08D34260218</t>
  </si>
  <si>
    <t>MANTENIMIENTO A EDIFICIOS HISTORICOS PROPIEDAD DE BUENA VISTA DEL COBRE, UBICADOS POR AVE JUAREZ EN CANANEA, SONORA.</t>
  </si>
  <si>
    <t>SERVICIOS</t>
  </si>
  <si>
    <t>271</t>
  </si>
  <si>
    <t>Frio Total, S.A. de C.V.</t>
  </si>
  <si>
    <t>FTO021128DK6</t>
  </si>
  <si>
    <t>MX08L34260095</t>
  </si>
  <si>
    <t>MANTENIMIENTO MAYOR A INTERCAMBIADORES DE CALOR  DEL SISTEMA DE ELECTROLITO EN AREA 400 DE PLANTA ESDE 3 UBICADA EN CANANEA SONORA.</t>
  </si>
  <si>
    <t>272</t>
  </si>
  <si>
    <t>Fujisan Survey, S.A. de C.V.</t>
  </si>
  <si>
    <t>MX08E34250301</t>
  </si>
  <si>
    <t>CALIBRACIÓN A SKIDS DE RECEPCIÓN DE DIESEL PARA DETERMINAR PAGO, MERMAS, COMBUSTIBLE, ALMACENES-OMIMSA, EN CANANEA, SONORA.</t>
  </si>
  <si>
    <t>ALMACEN</t>
  </si>
  <si>
    <t>0</t>
  </si>
  <si>
    <t>282</t>
  </si>
  <si>
    <t>Grupo México Servicios de Ingenieria, S.A. de C.V.</t>
  </si>
  <si>
    <t>MX08R234240026</t>
  </si>
  <si>
    <t>SUPERVISION Y SEGUIMIENTO AL CUMPLIMIENTO DE LA LEGISLACION LABORAL Y SEGURIDAD SOCIAL DE EMPRESAS CONTRATISTAS, AUDITORIA SEGURIDAD SOCIAL OMIMSA</t>
  </si>
  <si>
    <t>RECURSOS HUMANOS</t>
  </si>
  <si>
    <t>Recursos Humanos</t>
  </si>
  <si>
    <t>16/02/2024</t>
  </si>
  <si>
    <t>286</t>
  </si>
  <si>
    <t>Hydrocontrol Industrial, S.A. de C.V.</t>
  </si>
  <si>
    <t>HIN971121PC7</t>
  </si>
  <si>
    <t>MX08R234260290</t>
  </si>
  <si>
    <t>OPERACIÓN, TRATAMIENTOS QUIMICOS Y MANTENIMIENTO DE PLANTAS DE TRATAMIENTO DE AGUAS RESIDUALES EN CONCENTRADORA II, OMIMSA, EN CANANEA, SONORA.</t>
  </si>
  <si>
    <t>CONCENTRADORA II</t>
  </si>
  <si>
    <t>305</t>
  </si>
  <si>
    <t>SERVICIO ESPECIALIZADO DE MANTENIMIENTO PREVENTIVO Y CORRECTIVO A EQUIPO GENERAL KOMATSU EN MINA MANTENIMIENTO, OMIMSA</t>
  </si>
  <si>
    <t>01/01/2027</t>
  </si>
  <si>
    <t>306</t>
  </si>
  <si>
    <t>307</t>
  </si>
  <si>
    <t>PEPE6512016HA</t>
  </si>
  <si>
    <t>311</t>
  </si>
  <si>
    <t>Maquinaria de Cananea, S.A. de C.V.</t>
  </si>
  <si>
    <t>MX08D34260112</t>
  </si>
  <si>
    <t>REHABILITACION DE CRIBA TERCIARIA #9 EN AREA 220 CONCENTRADORA II OMIMSA, EN CANANEA, SONORA.</t>
  </si>
  <si>
    <t>AREA 220</t>
  </si>
  <si>
    <t>315</t>
  </si>
  <si>
    <t>Mine System Solutiones Mexico, S.C. de R.L.</t>
  </si>
  <si>
    <t>MX08R34251344</t>
  </si>
  <si>
    <t>REPARACIÓN DE COMPONENETES BLOWERS 830E, 930E-3, 960E-2, 980E-4 Y 980E-5 MINA MANTENIMIENTO OMIMSA</t>
  </si>
  <si>
    <t>30/01/2025</t>
  </si>
  <si>
    <t>337</t>
  </si>
  <si>
    <t>Sei Tetra, S.A. de C.V.</t>
  </si>
  <si>
    <t>SET060622RY7</t>
  </si>
  <si>
    <t>MX08R334250090</t>
  </si>
  <si>
    <t>TOPOGRAFIA PARA DESARROLLO DE PROYECTOS Y SUPERVISION DE OBRAS A CARGO DE INGENIERIA DE PLANTAS OMIMSA, CANANEA, SONORA</t>
  </si>
  <si>
    <t>INGENIERIA DE PLANTAS</t>
  </si>
  <si>
    <t>347</t>
  </si>
  <si>
    <t>Soluciones Integrales RX, S.A. de C.V.</t>
  </si>
  <si>
    <t>MX08L34240974</t>
  </si>
  <si>
    <t>APOYO ADMINISTRATIVO Y DE SOPORTE EN LAS ÁREAS DE BIBLIOTECA BVC, OMIMSA, CANANEA</t>
  </si>
  <si>
    <t>27/01/2025</t>
  </si>
  <si>
    <t>6</t>
  </si>
  <si>
    <t>CAU, S.A. DE C.V.</t>
  </si>
  <si>
    <t>CAU860423QZ0</t>
  </si>
  <si>
    <t>MX09R244240851</t>
  </si>
  <si>
    <t>Desarrollo de 1313 metros de contrapozo robbins.</t>
  </si>
  <si>
    <t>Operación</t>
  </si>
  <si>
    <t>Interior Mina</t>
  </si>
  <si>
    <t>9</t>
  </si>
  <si>
    <t>CG Northern Mining Infraestructure, S.A. de C.V.</t>
  </si>
  <si>
    <t>C44550025</t>
  </si>
  <si>
    <t>Servicios especializados para la renta de equipos para las actividades de instalación de marcos en robbins de profundización</t>
  </si>
  <si>
    <t>Ingenieria y Construcción</t>
  </si>
  <si>
    <t>Ingeniería y Construcción</t>
  </si>
  <si>
    <t>01/10/2026</t>
  </si>
  <si>
    <t>7</t>
  </si>
  <si>
    <t>C44550015</t>
  </si>
  <si>
    <t>Servicios Especializados para la renta de equipos para las actividades de instalación de marcos en Robbin's de profundización, además de la instalación de anclas, plataformas y escaleras.</t>
  </si>
  <si>
    <t>12</t>
  </si>
  <si>
    <t>Constantino Blancas Mejia</t>
  </si>
  <si>
    <t>BAMC610328A47</t>
  </si>
  <si>
    <t>MX09L44240317</t>
  </si>
  <si>
    <t>Servicio de transporte a empleados y sindicalizados .</t>
  </si>
  <si>
    <t>Otros</t>
  </si>
  <si>
    <t>14</t>
  </si>
  <si>
    <t>MX09L44251143</t>
  </si>
  <si>
    <t>Instalación de 5 flujometros para consumo de agua fresca y recuperada</t>
  </si>
  <si>
    <t>Ingeniería de Plantas</t>
  </si>
  <si>
    <t>19</t>
  </si>
  <si>
    <t>MX09L44251577</t>
  </si>
  <si>
    <t>Obra electrica para la instalación y alimentación de los gabinetes de control y arrancador para optimización del colector de polvos</t>
  </si>
  <si>
    <t>Planta</t>
  </si>
  <si>
    <t>28/12/2026</t>
  </si>
  <si>
    <t>23</t>
  </si>
  <si>
    <t>Innovación y Administración de T.I. S. de R.L. de C.V.</t>
  </si>
  <si>
    <t>MX07R99230156</t>
  </si>
  <si>
    <t>Soporte Especializado en sitio</t>
  </si>
  <si>
    <t>Tecnologias de la Infomación</t>
  </si>
  <si>
    <t>Tecnologías de la Información</t>
  </si>
  <si>
    <t>03/01/2023</t>
  </si>
  <si>
    <t>25</t>
  </si>
  <si>
    <t>LASEC TECHNOLOGY SYSTEMS S.A.P.I.
DE C.V.</t>
  </si>
  <si>
    <t>LTE0105283A8</t>
  </si>
  <si>
    <t>C4455 261 3</t>
  </si>
  <si>
    <t>Desarollo de ingeniería de detalle, fabricación y cosntrucción, suministro, montaje y puesta en marcha de CCTV</t>
  </si>
  <si>
    <t>Tiro San Fernando</t>
  </si>
  <si>
    <t>09/10/2023</t>
  </si>
  <si>
    <t>34</t>
  </si>
  <si>
    <t>Tecnología Avanzada en Bandas, S.A de C.V.</t>
  </si>
  <si>
    <t>TAB0208207K3</t>
  </si>
  <si>
    <t>MX09L44240747</t>
  </si>
  <si>
    <t>Servicio de ahulado de trunion de 4 molinos</t>
  </si>
  <si>
    <t>Planta de Beneficio</t>
  </si>
  <si>
    <t>10/02/2025</t>
  </si>
  <si>
    <t>Servicios especializados mantenimiento áreas verdes y jardines</t>
  </si>
  <si>
    <t>Gerencia de Estación Santiago</t>
  </si>
  <si>
    <t>Estación Santiago</t>
  </si>
  <si>
    <t>61</t>
  </si>
  <si>
    <t>MX06R153251355</t>
  </si>
  <si>
    <t>Limpieza de inmuebles en las colonias del complejo metalurgico la caridad, en esqueda,sonora</t>
  </si>
  <si>
    <t>servicio al personal</t>
  </si>
  <si>
    <t>Colonias Esqueda</t>
  </si>
  <si>
    <t>05/09/2026</t>
  </si>
  <si>
    <t>85</t>
  </si>
  <si>
    <t>Global Standards,S.C.</t>
  </si>
  <si>
    <t>GST080421UT4</t>
  </si>
  <si>
    <t>MX06D53230291</t>
  </si>
  <si>
    <t>Cerfificacions en ISO 45001:2018; ISO14001:2015 E ISO 9001:2015 y auditoria en seguimiento al sistema de gestion del complejo metalurgico</t>
  </si>
  <si>
    <t>Calidad e ingenieria de procesos</t>
  </si>
  <si>
    <t>complejo metalurgico</t>
  </si>
  <si>
    <t>22/07/2027</t>
  </si>
  <si>
    <t>88</t>
  </si>
  <si>
    <t>Innovacion y administración de ti s de r.l. de c.v.</t>
  </si>
  <si>
    <t>MX06R253250921</t>
  </si>
  <si>
    <t>Soporte técnico y mantenimiento a equipos de computo en sitio</t>
  </si>
  <si>
    <t>Gerencia de Sistemas</t>
  </si>
  <si>
    <t>Sistemas</t>
  </si>
  <si>
    <t>90</t>
  </si>
  <si>
    <t>Insul-Therm, s.a. de c.v.</t>
  </si>
  <si>
    <t>ITH000121MQ5</t>
  </si>
  <si>
    <t>MX06L53241036</t>
  </si>
  <si>
    <t>Suministro y colocacion de asilamiento termico en ductos, equipos y tuberias de planta de acido, equipo de proceso , servicios auxiliares y Nave Fundicion.</t>
  </si>
  <si>
    <t>mantenimiento planeacion</t>
  </si>
  <si>
    <t>planta de acido, equipo de proceso , servicios auxiliares y nave fundicion</t>
  </si>
  <si>
    <t>114</t>
  </si>
  <si>
    <t>MX06L53240365</t>
  </si>
  <si>
    <t>Reparacion e pisos antiacidos y aplicación de productos anticorrosivos en el area de planta de acido 1 y 2</t>
  </si>
  <si>
    <t>Mantenimiento plantas</t>
  </si>
  <si>
    <t>planta de acido 1 y 2</t>
  </si>
  <si>
    <t>118</t>
  </si>
  <si>
    <t>MX06R53250584</t>
  </si>
  <si>
    <t>Reparacion y manteniminto s equipos de refigeracion del comaplejo metalurgico</t>
  </si>
  <si>
    <t>complejo mtalurgico</t>
  </si>
  <si>
    <t>140</t>
  </si>
  <si>
    <t>MX06R153251459</t>
  </si>
  <si>
    <t>Impartcion de cursoso, talleres extra-clase en escuelas CEC esqueda</t>
  </si>
  <si>
    <t>C.E.C, Esqueda</t>
  </si>
  <si>
    <t>escuela CEC, esqueda</t>
  </si>
  <si>
    <t>137</t>
  </si>
  <si>
    <t>MZ06R353251206</t>
  </si>
  <si>
    <t>Coordinacion deportiva en instalaciones de colonia valle, esqueda</t>
  </si>
  <si>
    <t>Col. Valle, Esqueda</t>
  </si>
  <si>
    <t>28/08/2025</t>
  </si>
  <si>
    <t>27/08/2026</t>
  </si>
  <si>
    <t>144</t>
  </si>
  <si>
    <t>MX06D53250925</t>
  </si>
  <si>
    <t>Cultivo de especies forestales para tareas de Reforestacion</t>
  </si>
  <si>
    <t>Viveros Mexico GM</t>
  </si>
  <si>
    <t>Fundicion</t>
  </si>
  <si>
    <t>01/09/2021</t>
  </si>
  <si>
    <t>359</t>
  </si>
  <si>
    <t>Basf Mexicana, S.A. De C.V.</t>
  </si>
  <si>
    <t>OQU170812RJ4</t>
  </si>
  <si>
    <t>4100537805-M200-M23-Z13</t>
  </si>
  <si>
    <t>Suministro de floculante para recuperacion de agua en espesadores de colas en concentradora</t>
  </si>
  <si>
    <t>Laboratorio</t>
  </si>
  <si>
    <t>09/12/2022</t>
  </si>
  <si>
    <t>360</t>
  </si>
  <si>
    <t>ChemTreat Mexico S de RL de CV</t>
  </si>
  <si>
    <t>CME990319UG9</t>
  </si>
  <si>
    <t>4100576364-M200-M23-Z13</t>
  </si>
  <si>
    <t>Suministro de producto antiincrustante para control de carbonatos en proceso de planta concentradora, supervision y revision de equipos de inyeccion del producto</t>
  </si>
  <si>
    <t>01/07/2023</t>
  </si>
  <si>
    <t>373</t>
  </si>
  <si>
    <t>Frio Total, S.A. De C.V.</t>
  </si>
  <si>
    <t>MX06L51250589</t>
  </si>
  <si>
    <t>Suministro e instalación de equipos de aires acondicionados para area de concentradora del complejo minero la caridad, ubicado en nacozari de garcia, sonora</t>
  </si>
  <si>
    <t>383</t>
  </si>
  <si>
    <t>Innovación Y Administración De TI, S. de R.L. de C.V.</t>
  </si>
  <si>
    <t>MX06R252250915</t>
  </si>
  <si>
    <t>Soporte especializado en sitio, para garantizar el nivel de servicio, atendiendo en tiempo y forma a los usuarios que hayan sido canalizados por la mesa de servicio para la atención de incidentes de hardware y software</t>
  </si>
  <si>
    <t>TE</t>
  </si>
  <si>
    <t>Todas</t>
  </si>
  <si>
    <t>03/01/2025</t>
  </si>
  <si>
    <t>384</t>
  </si>
  <si>
    <t>Jucelop, S.A. de C.V.</t>
  </si>
  <si>
    <t>JUC0802063Q9</t>
  </si>
  <si>
    <t>MX06L52250284</t>
  </si>
  <si>
    <t>Limpieza y mantenimiento de areas verdes para colonias del complejo minero la caridad, ubicado en Nacozari de Garcia, Sonora</t>
  </si>
  <si>
    <t>Servicios</t>
  </si>
  <si>
    <t>Colonias</t>
  </si>
  <si>
    <t>391</t>
  </si>
  <si>
    <t>Multisistemas De Seguridad Del Noroeste, S.A. De C.V.</t>
  </si>
  <si>
    <t>Vigilancia</t>
  </si>
  <si>
    <t>392</t>
  </si>
  <si>
    <t>Multisistemas De Seguridad Del Valle De México, S.A. De C.V.</t>
  </si>
  <si>
    <t>395</t>
  </si>
  <si>
    <t>Quimica Apollo, S.A. de C.V.</t>
  </si>
  <si>
    <t>4100553026</t>
  </si>
  <si>
    <t>Monitoreo de dosificacion de Biocida TA-822 A y revisar el residual de producto</t>
  </si>
  <si>
    <t>08/03/2023</t>
  </si>
  <si>
    <t>396</t>
  </si>
  <si>
    <t>Química Teuton, S.A. de C.V.</t>
  </si>
  <si>
    <t>QTE8804189G9</t>
  </si>
  <si>
    <t>M200-10948655-3-4000317</t>
  </si>
  <si>
    <t>Evalucion de reactivos quimicos</t>
  </si>
  <si>
    <t>403</t>
  </si>
  <si>
    <t>C52502524</t>
  </si>
  <si>
    <t>Suministro, fabricacion y montaje de estructura metalica para soporte de filtro LAROX del proyecto recuperacion de molibdeno ultra finos</t>
  </si>
  <si>
    <t>Nuevos Proyectos</t>
  </si>
  <si>
    <t>Planta de Molibdeno</t>
  </si>
  <si>
    <t>406</t>
  </si>
  <si>
    <t>Weir Minerals México Servicios, S.A. de C.V.</t>
  </si>
  <si>
    <t>WMM111011RA9</t>
  </si>
  <si>
    <t>C-14626-ON-20-S</t>
  </si>
  <si>
    <t>Servicio complementario para apoyo de la instalacion de materiales Linatex adquirido de la consignacion bajo conveio C-14626-ON-20</t>
  </si>
  <si>
    <t>Almacen</t>
  </si>
  <si>
    <t>540</t>
  </si>
  <si>
    <t>AMALIA AIDA MARTINEZ REYNA</t>
  </si>
  <si>
    <t>MARA5807106C0</t>
  </si>
  <si>
    <t>MX09 D 71220703</t>
  </si>
  <si>
    <t>Limpiezas de Oficinas</t>
  </si>
  <si>
    <t>16/01/2024</t>
  </si>
  <si>
    <t>Prestación de servicios tecnicos administrativos especializados.</t>
  </si>
  <si>
    <t>Ingenieria y Construccion</t>
  </si>
  <si>
    <t>147</t>
  </si>
  <si>
    <t>Enero</t>
  </si>
  <si>
    <t>BVC</t>
  </si>
  <si>
    <t>CARLOS JESUS LERMA IRIGOYEN</t>
  </si>
  <si>
    <t>LEIC620619UH1</t>
  </si>
  <si>
    <t>C68922513</t>
  </si>
  <si>
    <t>Servicios Especializados de topografía y volumetría para supervisión de la construcción de la Tercera Etapa del Nuevo Depósito de Jales (NDJ)</t>
  </si>
  <si>
    <t>MINERA MEXICO S.A. DE C.V.</t>
  </si>
  <si>
    <t>NDJ</t>
  </si>
  <si>
    <t>149</t>
  </si>
  <si>
    <t>CARPO LOGISTICA</t>
  </si>
  <si>
    <t>CLO200715JUA</t>
  </si>
  <si>
    <t>C84072524</t>
  </si>
  <si>
    <t>Colocación de biomanta en taludes con grapas para anclaje, anclaje en hombros y pie de talud, en Depósito de Jales "Presa-3”</t>
  </si>
  <si>
    <t>PRESA 3</t>
  </si>
  <si>
    <t>148</t>
  </si>
  <si>
    <t>C84BVC2515</t>
  </si>
  <si>
    <t>Remediación de suelo en la cuenca “La Matanza”, ubicada en el complejo minero metalúrgico de Buenavista del Cobre, en Cananea, Sonora.</t>
  </si>
  <si>
    <t>BUENA VISTA DEL COBRE</t>
  </si>
  <si>
    <t>11/07/2026</t>
  </si>
  <si>
    <t>150</t>
  </si>
  <si>
    <t>CIEPS CONSULTORES S.A. DE C.V.</t>
  </si>
  <si>
    <t>CCO850716R96</t>
  </si>
  <si>
    <t>C68202516</t>
  </si>
  <si>
    <t>Servicio Especializado de Residencia para apoyo a la Dirección de Proyectos Zona Noroeste para la construcción de Cuarta Etapa del Proyecto Nuevo Depósito de Jales en Buenavista del Cobre, ubicado en Cananea, Sonora.</t>
  </si>
  <si>
    <t>151</t>
  </si>
  <si>
    <t>COMPAÑÍA INDUSTRIAL HANKA S.A. DE C.V.</t>
  </si>
  <si>
    <t>C68922553</t>
  </si>
  <si>
    <t>Servicio Especializado Al Barreno Para La Carga De Barrenos, Asesoría Técnica, Vehículos Para Transporte De Personal Y Material En El Banco De Roca Quebalix 4, Ubicado Dentro De Las Instalaciones De Buenavista Del Cobre</t>
  </si>
  <si>
    <t>20/05/2023</t>
  </si>
  <si>
    <t>152</t>
  </si>
  <si>
    <t>DORSA ENERGY S.A. DE C.V.</t>
  </si>
  <si>
    <t>DEN211018I93</t>
  </si>
  <si>
    <t>C68052535</t>
  </si>
  <si>
    <t>Obra Electromecanica E Instrumentacion Para Sistema De Bombeo Del Proyecto Sistema De Recuperacion Pls Quebalix Iv</t>
  </si>
  <si>
    <t>QUEBALIX IV</t>
  </si>
  <si>
    <t>02/06/2025</t>
  </si>
  <si>
    <t>153</t>
  </si>
  <si>
    <t>FARCO PERFORACIONES Y BOMBEOS S.A. DE C.V.</t>
  </si>
  <si>
    <t>FPB110107QG0</t>
  </si>
  <si>
    <t>C68212515</t>
  </si>
  <si>
    <t>Cuarta Etapa De Perforación, Construcción De Pozos De Recuperacion Cuenca Margen Izquierpo De La Cortina Nuevo Deposito De Jales Ubicado En El Complejo Minero Metalurgico De Su Subcidiaria Buenavista Del Cobre Ubicado En El Municipio De Cananea Sonora</t>
  </si>
  <si>
    <t>154</t>
  </si>
  <si>
    <t>C68222515</t>
  </si>
  <si>
    <t>Evaluación, Perforación Exploratoria y Reposición de Seis (6) Pozos Profundos de Cuenca San Pedro en BVC,</t>
  </si>
  <si>
    <t>155</t>
  </si>
  <si>
    <t>C68242515</t>
  </si>
  <si>
    <t>Perforación y Equipamiento de Pozos en Cuenca Bacoachi Proyecto Pozos Cuenca Bacoachi 2da Etapa</t>
  </si>
  <si>
    <t>POZOS CUENCA BACOACHI</t>
  </si>
  <si>
    <t>158</t>
  </si>
  <si>
    <t>GM CONSULTORIA Y PROYECTOS DE INGENIERIA AMBIENTAL S.A. DE C.V.</t>
  </si>
  <si>
    <t>CONTRATO: C68CM2515
CONVENIO: C20582525</t>
  </si>
  <si>
    <t>Servicio Especializado Multifuncional de Técnico y Supervisor Ambiental para el Seguimiento y Cumplimiento a los compromisos de vigilancia y monitoreo de las medias de mitigación determinadas por las autoridades de impacto ambiental y cambio de uso de suelo de los Proyectos de El Pilar.</t>
  </si>
  <si>
    <t>EL PILAR</t>
  </si>
  <si>
    <t>28/07/2025</t>
  </si>
  <si>
    <t>28/07/2026</t>
  </si>
  <si>
    <t>160</t>
  </si>
  <si>
    <t>CONTRATO: C68CM2515
CONVENIO: C58032525</t>
  </si>
  <si>
    <t>Servicio Especializado Multifuncional de Técnico Ambiental para el seguimiento y cumplimiento a los compromisos de vigilancia y monitoreo de las medidas de mitigación determinadas por las autorizaciones de impacto ambiental del Proyecto Sistema de Transporte y Almacenamiento de Concentrado de Cobre en Guaymas, Sonora.</t>
  </si>
  <si>
    <t>GUAYMAS</t>
  </si>
  <si>
    <t>156</t>
  </si>
  <si>
    <t>CONTRATO: C68CM2515
CONVENIO: C68202575</t>
  </si>
  <si>
    <t>Servicio Especializado Multifuncional de Técnico y Supervisor Ambiental para el seguimiento y cumplimiento a los compromisos de vigilancia y monitoreo de las medidas de mitigación determinadas por las autorizaciones de impacto ambiental del Proyecto IV Etapa del NDJ.</t>
  </si>
  <si>
    <t>15/07/2030</t>
  </si>
  <si>
    <t>157</t>
  </si>
  <si>
    <t>CONTRATO: C68CM2515
CONVENIO: C84OP2525</t>
  </si>
  <si>
    <t>Servicio Especializado Multifuncional De Técnico Y Supervisor Ambiental Al Departamento De Asuntos Ambientales Mm Para Atender, Supervisar Y Validar El Seguimiento A Los Programas De Flora, Fauna, Suelo, Agua, Aire, Residuos, Capacitación, Riesgo Ambiental, Paisajismo Y Verificación Ambiental, En El Complejo Minero Metalúrgico De Buenavista Del Cobre.</t>
  </si>
  <si>
    <t>DPCZN</t>
  </si>
  <si>
    <t>16/07/2025</t>
  </si>
  <si>
    <t>159</t>
  </si>
  <si>
    <t>CONTRATO: C68CM2515
CONVENIO: C94112515</t>
  </si>
  <si>
    <t>Servicio Especializado Multifuncional para Atender, Supervisar y Validar el Seguimiento a los Programas de Flora, Fauna, Suelo, Agua, Aire, Residuos, Capacitación, Riesgo Ambiental , Paisajismo y Verificación Ambiental en los Nuevos Proyectos de la Zona Noroeste.</t>
  </si>
  <si>
    <t>EL ARCO</t>
  </si>
  <si>
    <t>161</t>
  </si>
  <si>
    <t>GCP800324FJ1</t>
  </si>
  <si>
    <t>C68202545</t>
  </si>
  <si>
    <t>Construccion Del Tramo A De La Tercera Sobre Elevacion De Los Diques 1,2,3 De La 1359 Msnm Del Proyecto Nuevo Deposito De Jales Bvc Etapa Iv</t>
  </si>
  <si>
    <t>162</t>
  </si>
  <si>
    <t>163</t>
  </si>
  <si>
    <t>ACTIVIDAD COMPLEMENTARIA</t>
  </si>
  <si>
    <t>164</t>
  </si>
  <si>
    <t>165</t>
  </si>
  <si>
    <t>166</t>
  </si>
  <si>
    <t>167</t>
  </si>
  <si>
    <t>168</t>
  </si>
  <si>
    <t>SHI190905KS5</t>
  </si>
  <si>
    <t>169</t>
  </si>
  <si>
    <t>GRUPO CONTRUCTOR LERAVI S.A. DE C.V.</t>
  </si>
  <si>
    <t>C68052515</t>
  </si>
  <si>
    <t>Desmonte Y Despalme De Poligono 1B Y 1C Y Construccion De Bordo De Concontingencia 3 Delproyecto Sistema De Recuperacion De Solucion Pls Quebalix 4</t>
  </si>
  <si>
    <t>21/03/2025</t>
  </si>
  <si>
    <t>08/06/2027</t>
  </si>
  <si>
    <t>170</t>
  </si>
  <si>
    <t>C84OP2535</t>
  </si>
  <si>
    <t>Limpieza y Desazolve de Cubetas y Canales de la Cortina del Nuevo Depósito de Jales, en Mina Buenavista del Cobre.</t>
  </si>
  <si>
    <t>31/12/2029</t>
  </si>
  <si>
    <t>173</t>
  </si>
  <si>
    <t>C53DI2514</t>
  </si>
  <si>
    <t>SUPERVISION PROYECTOS MM (GMSI)</t>
  </si>
  <si>
    <t>METALÚRGICA DEL COBRE</t>
  </si>
  <si>
    <t>VARIOS</t>
  </si>
  <si>
    <t>01/03/2024</t>
  </si>
  <si>
    <t>171</t>
  </si>
  <si>
    <t>C68DI2514</t>
  </si>
  <si>
    <t>172</t>
  </si>
  <si>
    <t>C84DI2514</t>
  </si>
  <si>
    <t>174</t>
  </si>
  <si>
    <t>Heidi Solorio Sanchez</t>
  </si>
  <si>
    <t>SOSH-901009-MS5</t>
  </si>
  <si>
    <t>C68052516</t>
  </si>
  <si>
    <t>Servicio Especializado Para El Control Topográfico Del Proyecto Sistema De Recuperación De Soluciones Pls Quebalix 4, En Mina Buenavista Del Cobre, En Cananea, Sonora.</t>
  </si>
  <si>
    <t>QUEBALIX 4</t>
  </si>
  <si>
    <t>176</t>
  </si>
  <si>
    <t>INGENIERIA EN INSTALACIONES CDC,</t>
  </si>
  <si>
    <t>IEI-100507-SB3</t>
  </si>
  <si>
    <t>C68212525</t>
  </si>
  <si>
    <t>Construcción LD 34.5 kv derivado del circuito 52-410, a ramales de pozos de recuperación NDJ 37, 38, 39 y 41, en Buenavista del Cobre, ubicada en Cananea, Sonora</t>
  </si>
  <si>
    <t>17/11/2025</t>
  </si>
  <si>
    <t>175</t>
  </si>
  <si>
    <t>INGEUM INGENIERÍA, S.A. de C.V.</t>
  </si>
  <si>
    <t>MME-940325-1Y3</t>
  </si>
  <si>
    <t>C68050035</t>
  </si>
  <si>
    <t>Servicios Especializados para los Estudios de Mecánica de Suelos, Geología, Geofísica, Resistividad Eléctrica y pozos profundos de observación.;</t>
  </si>
  <si>
    <t>MINERA MEXICO, S.A. DE C.V.</t>
  </si>
  <si>
    <t>POZOS</t>
  </si>
  <si>
    <t>178</t>
  </si>
  <si>
    <t>ACU860203SF5</t>
  </si>
  <si>
    <t>C68202555</t>
  </si>
  <si>
    <t>Construcción de tramo B de Tercera Sobreelevación de los Diques 1, 2 y 3 a la 1,359MS.N.M para el Proyecto Nuevo Depósito de Jales de BVC Etapa IV 
--- NDJ "Nuevo Depósito de Jales"</t>
  </si>
  <si>
    <t>179</t>
  </si>
  <si>
    <t>C84112515</t>
  </si>
  <si>
    <t>Construcción De Tercera Etapa De Diques Perimetrales De Presa De Jales 3 En Mina Buenavista Del Cobre Ubicada En Cananea, Sonora.</t>
  </si>
  <si>
    <t>PRESA JALES</t>
  </si>
  <si>
    <t>180</t>
  </si>
  <si>
    <t>C84112516</t>
  </si>
  <si>
    <t>Suministro E Instalación De Defensa Metálica Para Protección Vial En Diques Perimetrales De Presa De Jales 3, En Buenavista Del Cobre, Cananea, Sonora.</t>
  </si>
  <si>
    <t>177</t>
  </si>
  <si>
    <t>Construcción De Cuña De Respaldo E Incremento De Corona En Presa De Jales 3, Con Material Tipo Conglomerado Proveniente De Banco A Pie De Obra. Construcción De Obras Hidráulicas Y Protección De Taludes De La Erosión Pluvial Y Eólica. En Presa De Jales 3</t>
  </si>
  <si>
    <t>181</t>
  </si>
  <si>
    <t>H181036104</t>
  </si>
  <si>
    <t>182</t>
  </si>
  <si>
    <t>186</t>
  </si>
  <si>
    <t>M3 MEXICANAS S DE RL DE CV</t>
  </si>
  <si>
    <t>MME920819NM4</t>
  </si>
  <si>
    <t>M3-PN150049</t>
  </si>
  <si>
    <t>ENGINEERING, PROCUREMENT AND CONSTRUCCION MANAGEMENT SERVICES FOR THE BUENAVISTA DEL ZINC PROJECT</t>
  </si>
  <si>
    <t>ZINC</t>
  </si>
  <si>
    <t>185</t>
  </si>
  <si>
    <t>MARA LIZETH MARTINEZ LUNA</t>
  </si>
  <si>
    <t>MALM741001173</t>
  </si>
  <si>
    <t>T34OP7516</t>
  </si>
  <si>
    <t>Servicio Especializado De Limpieza En Oficinas Administrativas De Ingeniería Y Construcción Zona Noroeste, Así Como Sala De Capacitación Y Oficina De Asuntos Ambientales, Ubicadas En Mina Buenavista Del Cobre En Cananea, Sonora.</t>
  </si>
  <si>
    <t>19/01/2026</t>
  </si>
  <si>
    <t>184</t>
  </si>
  <si>
    <t>T84OP7714</t>
  </si>
  <si>
    <t>Servicio Especializado de Apoyo de Limpieza de Sala de Capacitación y Oficina de Asuntos Ambientales, ubicadas en el Complejo Minero Metalúrgico de su subsidiaria Buenavista del Cobre en el Municipio de Cananea, Sonora,</t>
  </si>
  <si>
    <t>183</t>
  </si>
  <si>
    <t>C34OP2526</t>
  </si>
  <si>
    <t>Servicio de consultoría en sitio con soporte, seguimiento, mantenimiento, capacitación y asesoría para la mejora continua de SGI, realizar y ejecutar auditorías internas del SSGI y planificar estratégicamente el seguimiento de las auditorías del SGI ISO 9001 y del SGA 14001 de la Dirección de Proyectos de Construcción Zona Noroeste.</t>
  </si>
  <si>
    <t>187</t>
  </si>
  <si>
    <t>CONSTRUCCION DE LA ETAPA 3 DE LA CORTINA DEL NUEVO DEPOSITO DE JALES DE LA UNIDAD MINERA DE BUENAVISTA DEL COBRE UBICADA EN LA CIUDAD DE CANANEA, SONORA</t>
  </si>
  <si>
    <t>NUEVO DEPOSITO DE JALES</t>
  </si>
  <si>
    <t>188</t>
  </si>
  <si>
    <t>189</t>
  </si>
  <si>
    <t>190</t>
  </si>
  <si>
    <t>191</t>
  </si>
  <si>
    <t>192</t>
  </si>
  <si>
    <t>AARS8806018AA</t>
  </si>
  <si>
    <t>193</t>
  </si>
  <si>
    <t>TRA800423S25</t>
  </si>
  <si>
    <t>194</t>
  </si>
  <si>
    <t>MONTREAL INFRASTRUCTURA</t>
  </si>
  <si>
    <t>MEC1211266A4</t>
  </si>
  <si>
    <t>C68952515</t>
  </si>
  <si>
    <t>Renta de Equipos y Operación del Almacén Tamosura del
Proyecto Sistema de Abastecimiento de Agua La Churea</t>
  </si>
  <si>
    <t>197</t>
  </si>
  <si>
    <t>OESTEC DE MEXICO S.A.DE C.V.</t>
  </si>
  <si>
    <t>OCO081031ME6</t>
  </si>
  <si>
    <t>C84962533</t>
  </si>
  <si>
    <t>Servicio Especializado De Control De Calidad (Con Un Estimado De 4 Persinas) En Los Trabajos De Proyecto Cuña De Respaldo Del Deposito Presa 3 Ubicado En El Complejo Minero Metalurgico De Bunavista Del Cobre Ubicado En Cananea Sonora</t>
  </si>
  <si>
    <t>13/07/2023</t>
  </si>
  <si>
    <t>196</t>
  </si>
  <si>
    <t>OSA CONTROL DE CALIDAD S.C.</t>
  </si>
  <si>
    <t>C68200026</t>
  </si>
  <si>
    <t>Servicio Especializado de Campo y Laboratorio para el Control de Calidad (aprox 14 personas) de las Terracerías y Mecánica de Suelos para la Supervisión de la Construcción de la Etapa 3 del Nuevo Depósito de Jales.</t>
  </si>
  <si>
    <t>02/03/2026</t>
  </si>
  <si>
    <t>195</t>
  </si>
  <si>
    <t>C68922523</t>
  </si>
  <si>
    <t>Servicios Especializados De Control De Calidad (7 Personas) Para La Construccion Del Nuevo Deposito De Jales Etapa Iii</t>
  </si>
  <si>
    <t>198</t>
  </si>
  <si>
    <t>PCV960213H17</t>
  </si>
  <si>
    <t>Construcción Tramo C De Cuña De Respaldo E Incremento De Corona En Presa De Jales 3, Con Material Tipo Conglomerado Proveniente De Banco A Pie De Obra, Así Como, Construcción De Obras Hidráulicas Y Protección De Taludes De La Erosión Pluvial Y Eólica, En Presa De Jales 3 Del Depósito De Jales En Buenavista Del Cobre, En Cananea, Sonora</t>
  </si>
  <si>
    <t>28/04/2026</t>
  </si>
  <si>
    <t>199</t>
  </si>
  <si>
    <t>COLF710130C97</t>
  </si>
  <si>
    <t>Control de Calidad en el Proyecto: Construcción de Tramo C de Cuña de Respaldo e Incremento en Corona en Presa de Jales 3 en BVC, en la Cd. De Cananea, Sonora.</t>
  </si>
  <si>
    <t>JALES 3</t>
  </si>
  <si>
    <t>200</t>
  </si>
  <si>
    <t>Prestación de Servicios de Baños y Lavamanos Portátiles en el Complejo Minero de BVC, en Cananea, Sonora.</t>
  </si>
  <si>
    <t>201</t>
  </si>
  <si>
    <t>Servicio de Mantenimiento a Camiones Sany en Mina BVC, en la Localidad de Cananea, Sonora.</t>
  </si>
  <si>
    <t>202</t>
  </si>
  <si>
    <t>Suministro de Concreto Premezclado para Proyecto de Presa de Jales 3 en la Cd. De Cananea, Sonora.</t>
  </si>
  <si>
    <t>203</t>
  </si>
  <si>
    <t>PROYECTOS Y DESARROLLOS ARAIZA S.A. DE C.V</t>
  </si>
  <si>
    <t>PDA1903048Z7</t>
  </si>
  <si>
    <t>C84962523</t>
  </si>
  <si>
    <t>Servicio Especializado De Topografía En Los Trabajos Del Proyecto "Cuña De Respaldo Del Depósito De Jales "Presa-3"</t>
  </si>
  <si>
    <t>22/05/2023</t>
  </si>
  <si>
    <t>204</t>
  </si>
  <si>
    <t>T84967516</t>
  </si>
  <si>
    <t>Servicio especializado de supervisión de obra para los trabajos del proyecto Diques Perimetrales del Depósito de Jales Presa 3, en el municipio de Cananea, Sonora.</t>
  </si>
  <si>
    <t>10/01/2027</t>
  </si>
  <si>
    <t>205</t>
  </si>
  <si>
    <t>T84967523</t>
  </si>
  <si>
    <t>Servicio Especializado De Topografía En Los Trabajos De Terracerias, Concretos En Obras Hidráulicas, Colocación De Geomanta, Construcción De Diques Y Demás Trabajos A Realizar En Proyecto "Cuña De Respaldo, Del Depósito De Jales "Presa-3".</t>
  </si>
  <si>
    <t>01/11/2023</t>
  </si>
  <si>
    <t>206</t>
  </si>
  <si>
    <t>SOL Y ADOBE INGENIEROS ASOCIADOS S.A. DE C.V.</t>
  </si>
  <si>
    <t>SAI050210GD4</t>
  </si>
  <si>
    <t>C68052514</t>
  </si>
  <si>
    <t>Servicio Especializado Multifuncional Para Atender Y Validar El Seguimiento A Los Programas De Flora, Fauna, Suelo, Agua, Aire, Residuos, Capacitación, Delimitación, Almacenamiento De Carbono Y Paisajismo En El Proyecto Sistema De Recuperación De Soluciones Pls Quebalix 4 (Con Un Estimado De 13 Personas),</t>
  </si>
  <si>
    <t>QUEVALIX IV</t>
  </si>
  <si>
    <t>21/09/2023</t>
  </si>
  <si>
    <t>208</t>
  </si>
  <si>
    <t>T68957525</t>
  </si>
  <si>
    <t>Servicio Especializado para la Actualización y seguimiento del Estudio Técnico Justificativo para el Proyecto Conducción de Agua los Conejos (Sistema de Abastecimiento de Agua La Churea), ubicado en Mina Buenavista del Cobre en Cananea, Sonora.</t>
  </si>
  <si>
    <t>CONDUCCION AGUA LOS CONEJOS</t>
  </si>
  <si>
    <t>10/12/2025</t>
  </si>
  <si>
    <t>207</t>
  </si>
  <si>
    <t>T84137535</t>
  </si>
  <si>
    <t>Elaboración de estudio técnico justificativo en materia de cambio de uso del suelo para un polígono en una superficie aprox. De 94-00-00 HA para el Proyecto Incremento de Recuperación de Agua en la Concentradora I de Buenavista del Cobre.</t>
  </si>
  <si>
    <t>CONCENTRADORA I</t>
  </si>
  <si>
    <t>211</t>
  </si>
  <si>
    <t>TAKRAF MEXICO S. DE R.L. DE C.V.</t>
  </si>
  <si>
    <t>C84132515</t>
  </si>
  <si>
    <t>Fabricación, suministro e inspección del Nuevo Sistema de Alimentación destinado a 2 espesadores marca Dorr Oliver de la Concentradora I, en mina Buenavista del Cobre, en Cananea, Sonora, incluyendo de manera integral la inspección, supervisión y la asesoría técnica necesaria para la correcta instalación de dichos equipos hasta su total puesta en marcha.</t>
  </si>
  <si>
    <t>12/12/2025</t>
  </si>
  <si>
    <t>23/07/2026</t>
  </si>
  <si>
    <t>209</t>
  </si>
  <si>
    <t>TERRACERIAS Y TRITURADOS DE CANANEA S.A. DE C.V.</t>
  </si>
  <si>
    <t>C68922564</t>
  </si>
  <si>
    <t>Explotación De Banco, Triturado Y Cribado De Material Tipo "A", "B1" Y "D" Para El Proyecto 3Ra Etapa Del Nuevo Depósito De Jales (Con Un Estimado De 37 Personas);</t>
  </si>
  <si>
    <t>07/11/2024</t>
  </si>
  <si>
    <t>210</t>
  </si>
  <si>
    <t>C84252515</t>
  </si>
  <si>
    <t>Conformación de banqueta y construcción de canal de conducción de jales en presa de jales 3.</t>
  </si>
  <si>
    <t>10/07/2025</t>
  </si>
  <si>
    <t>212</t>
  </si>
  <si>
    <t>MINERA MEXICO</t>
  </si>
  <si>
    <t>INNOVACIÓN Y
ADMINISTRACIÓN DE TI S. DE R.L. DE C.V.,</t>
  </si>
  <si>
    <t>MX07R06200291</t>
  </si>
  <si>
    <t>SOPORTE TECNICO</t>
  </si>
  <si>
    <t>ADMINISTRACION DE TI</t>
  </si>
  <si>
    <t>TECNOLOGIAS DE LA INFORMACION</t>
  </si>
  <si>
    <t>03/01/2024</t>
  </si>
  <si>
    <t>28/02/2025</t>
  </si>
  <si>
    <t>44</t>
  </si>
  <si>
    <t>MX09R112250909</t>
  </si>
  <si>
    <t>Servicio especializado para el mantenimiento, limpieza y vigilancia del confinamiento en predio antigua planta Monterrey.</t>
  </si>
  <si>
    <t>Antigua Planta Monterrey</t>
  </si>
  <si>
    <t>08/06/2026</t>
  </si>
  <si>
    <t>409</t>
  </si>
  <si>
    <t>Leonila Xitilaly Medina Gonzalez</t>
  </si>
  <si>
    <t>MEGL871030KF9</t>
  </si>
  <si>
    <t>56220041</t>
  </si>
  <si>
    <t>Chofer Transporte</t>
  </si>
  <si>
    <t>Planta de Cal</t>
  </si>
  <si>
    <t>407</t>
  </si>
  <si>
    <t>Ulli Rubber Linning  Solutions, S.A. de C.V.</t>
  </si>
  <si>
    <t>MX06L56230252</t>
  </si>
  <si>
    <t>Servicio de Mantenimineto Civil y Limpieza de Areas de Proceso, Auxiliares y Administrativas, Recolección de Basura</t>
  </si>
  <si>
    <t>24/08/2026</t>
  </si>
  <si>
    <t>MANTENIMIENTO DE AREAS VERDES  DE LA PLANTA DE ZINC, AREA RECREATIVA, PLANTA DE TRATAMIENTO DE AGUAS RESIDUALES . AREA DEL SINDICATO Y POZO NO 2.</t>
  </si>
  <si>
    <t>AREAS VERDES</t>
  </si>
  <si>
    <t>420</t>
  </si>
  <si>
    <t>GILSA COMP S.A. DE C.V.</t>
  </si>
  <si>
    <t>GCO090925HK7</t>
  </si>
  <si>
    <t>MX09D37240958</t>
  </si>
  <si>
    <t>ACONDICIONAMIENTO NORMATIVO DE SALA DE SUBESTACIÓN DE TABLEROS DE POTENCIA PARA EL PROYECTO DEL NUEVO TREN DE LOS ELECTROFILTROS HUMEDOS, EN REFINERÍA ELECTROLÍTICA DE ZINC, SLP;</t>
  </si>
  <si>
    <t>PRESIPITADORES HUMEDOS AREA SECA</t>
  </si>
  <si>
    <t>14/05/2025</t>
  </si>
  <si>
    <t>427</t>
  </si>
  <si>
    <t>MAQUINADOS Y SERVICIOS CICLOPE S.A. DE C.V.</t>
  </si>
  <si>
    <t>MX09L37251640</t>
  </si>
  <si>
    <t>SERVICIO DE MANTENIMIENTO A AIRES ACONDICIONADO EN PLANTA ELECTROLITICA DE ZINC, SLP</t>
  </si>
  <si>
    <t>EN TODAS LAS AREAS DE PLANTA DE ZINC</t>
  </si>
  <si>
    <t>431</t>
  </si>
  <si>
    <t>OKRAM- ANTICORROSIVOS Y SOLUCIONES INTEGRALES S.A DE C.V.</t>
  </si>
  <si>
    <t>OAS150915I95</t>
  </si>
  <si>
    <t>MX09L37240350</t>
  </si>
  <si>
    <t>RECUBRIMIENTO ANTIÁCIDO DE TANQUE DE AGUA DE RECHAZO XC PARA RECIBIR AGUA DE PRESA DE LA REFINERÍA ELECTROLÍTICA DE ZINC UBICADA EN LA CIUDAD DE SAN LUIS POTOSI SLP</t>
  </si>
  <si>
    <t>GENERAL</t>
  </si>
  <si>
    <t>08/04/2024</t>
  </si>
  <si>
    <t>433</t>
  </si>
  <si>
    <t>REZINTEK RECUBRIMIENTOS Y ACABADOS, S.A. DE C.V</t>
  </si>
  <si>
    <t>RRA201120379</t>
  </si>
  <si>
    <t>MX09L37251729</t>
  </si>
  <si>
    <t>REPARACIÓN ANTIÁCIDO DE PISO EN TORRES DE ENFRIAMIENTO EN ÁREA DE ELECTROLISIS DE LA REFINERÍA DE ZINC EN SAN LUIS POTOSÍ</t>
  </si>
  <si>
    <t>ELECTROLISIS</t>
  </si>
  <si>
    <t>TORRES DE ENFRIAMIENTO</t>
  </si>
  <si>
    <t>437</t>
  </si>
  <si>
    <t>SANITARIOS SAN LUIS S DE RL DE CV</t>
  </si>
  <si>
    <t>SSL1601055I4</t>
  </si>
  <si>
    <t>SERVICIO DE DESAZOLVE DE FOSAS SEPTICAS EN LA PLANTA ELECTROLITICA DE ZINC, SLP</t>
  </si>
  <si>
    <t>02/11/2024</t>
  </si>
  <si>
    <t>Gerencia Operaciones</t>
  </si>
  <si>
    <t>Colonia Planta de Cobre</t>
  </si>
  <si>
    <t>Prestación de servicios técnico administrativos, especializados para el desarrollo y supervisión de los proyectos y trabajos de operación a cargos de la dirección general de ingeniería y construcción.</t>
  </si>
  <si>
    <t>43</t>
  </si>
  <si>
    <t>Pendiente</t>
  </si>
  <si>
    <t>Revisión auditoria IMSS laboral contratistas terceros.</t>
  </si>
  <si>
    <t>16/02/2025</t>
  </si>
  <si>
    <t>55</t>
  </si>
  <si>
    <t>Veolia Wt&amp;s Mexico, S. de R.L. de C.V.</t>
  </si>
  <si>
    <t>PRO660901HM0</t>
  </si>
  <si>
    <t>MX09R137251190</t>
  </si>
  <si>
    <t>Servicio para la operacion y mantenimiento de la planta tratadora de aguas residuales en planta electrolitica de Zinc.</t>
  </si>
  <si>
    <t>Planta Tratadora de aguas Zinc</t>
  </si>
  <si>
    <t>48</t>
  </si>
  <si>
    <t>MX09L94240684</t>
  </si>
  <si>
    <t>Servicios especializados para la operación de desarrollo comunitario de las diferentes propiedades IMMSA</t>
  </si>
  <si>
    <t>Gerencia Casa Grande</t>
  </si>
  <si>
    <t>El Aco. B.C.</t>
  </si>
  <si>
    <t>06/02/2025</t>
  </si>
  <si>
    <t>05/02/2026</t>
  </si>
  <si>
    <t>444</t>
  </si>
  <si>
    <t>ANTICORROSION INDUSTRIAL DE MONTERREY, S.A. DE C.V.</t>
  </si>
  <si>
    <t>AIM970212AN8</t>
  </si>
  <si>
    <t>MX09L77250412</t>
  </si>
  <si>
    <t>CÁLCULO, FABRICACIÓN, SUMINISTRO, INSTALACIÓN Y PUESTA EN MARCHA DE COLECTOR DE POLVOS PARA LABORATORIO DE METALURGIA</t>
  </si>
  <si>
    <t>OPERACIONES IMMSA</t>
  </si>
  <si>
    <t>PLANTA DE BENEFICIO</t>
  </si>
  <si>
    <t>General de operaciones y servicios</t>
  </si>
  <si>
    <t>05/12/2025</t>
  </si>
  <si>
    <t>446</t>
  </si>
  <si>
    <t>CONCRETO LANZADO DE FRESNILLO MARCA, S.A. DE C.V.</t>
  </si>
  <si>
    <t>CLF220325CT4</t>
  </si>
  <si>
    <t>MX09L77251780</t>
  </si>
  <si>
    <t>SERVICIO PARA LANZADO DE CONCRETO</t>
  </si>
  <si>
    <t>449</t>
  </si>
  <si>
    <t>MX09R277260050</t>
  </si>
  <si>
    <t>SERVICIOS DE LANZADO DE CONCRETO EN INTERIOR MINA</t>
  </si>
  <si>
    <t>18/02/2026</t>
  </si>
  <si>
    <t>451</t>
  </si>
  <si>
    <t>HECTOR BONILLA CALDERA</t>
  </si>
  <si>
    <t>BOCH7706225T8</t>
  </si>
  <si>
    <t>MX09L77230626</t>
  </si>
  <si>
    <t>SERVICIO DE
SANITARIOS PORTATILES</t>
  </si>
  <si>
    <t>ASUNTOS AMBIENTALES</t>
  </si>
  <si>
    <t>452</t>
  </si>
  <si>
    <t>MX09R377251889</t>
  </si>
  <si>
    <t>SERVICIOS DE COMEDOR Y MANTENIMIENTO Y HABITACIONES DE COLONIA</t>
  </si>
  <si>
    <t>29/01/2027</t>
  </si>
  <si>
    <t>483</t>
  </si>
  <si>
    <t>MX09L77251046</t>
  </si>
  <si>
    <t>REMPLAZO DE LA DUCTERIA, 
CODOS Y CONEXIONES DE LOS COLECTORES DE POLVOS</t>
  </si>
  <si>
    <t>482</t>
  </si>
  <si>
    <t>MX09L77251187</t>
  </si>
  <si>
    <t>CONSTRUCCIÓN PARA EL CUARTO DE LUBRICACIÓN DE LAS UNIDADES HIDRAULICAS DE LAS QUEBRADORAS DE LA PLANTA 4-400</t>
  </si>
  <si>
    <t>14/02/2026</t>
  </si>
  <si>
    <t>458</t>
  </si>
  <si>
    <t>LOGISTIK GRUPO ALPEZ, S. DE R.L. DE C.V.,</t>
  </si>
  <si>
    <t>LGA1007226E9</t>
  </si>
  <si>
    <t>MX09R177240895</t>
  </si>
  <si>
    <t>SERVICIO DE TRANSPORTACION DEL PERSONAL</t>
  </si>
  <si>
    <t>MINA</t>
  </si>
  <si>
    <t>21/11/2024</t>
  </si>
  <si>
    <t>461</t>
  </si>
  <si>
    <t>METSO MÉXICO, S.A. DE C.V.</t>
  </si>
  <si>
    <t>MMM9602224P0</t>
  </si>
  <si>
    <t>MX09E99251860</t>
  </si>
  <si>
    <t>SERVICIOS E 
INSPECCIONES A EQUIPOS DE PLANTAS DE BENEFICIO DE IMMSA</t>
  </si>
  <si>
    <t>PLANTA BENEFICIO</t>
  </si>
  <si>
    <t>30/12/2026</t>
  </si>
  <si>
    <t>464</t>
  </si>
  <si>
    <t>REYSABAT, S.A. DE C.V.,</t>
  </si>
  <si>
    <t>REY130808E33</t>
  </si>
  <si>
    <t>MX09L77260077B</t>
  </si>
  <si>
    <t>SERVICIO DE VULCANIZADO ESPECIALIZADO PARA LAS BANDAS 
TRANSPORTADORAS DE INTERIOR MINA DE LA UNIDAD SAN MARTIN, EN 
SOMBRERETE, ZACATECAS
TRANSPORTADORAS</t>
  </si>
  <si>
    <t>26/01/2027</t>
  </si>
  <si>
    <t>467</t>
  </si>
  <si>
    <t>MX09E77240331</t>
  </si>
  <si>
    <t>SERVICIO TECNICO ESPECIALIZADO PARA LA EJECUCION DE LOS MANTENIMIENTOS PREVENTIVOS Y CORRECTIVOS PROGRAMADOS Y NO PROGRAMADOS, EN EQUIPOS DE COMBUSTION INTERNA</t>
  </si>
  <si>
    <t>470</t>
  </si>
  <si>
    <t>MX09L77251193</t>
  </si>
  <si>
    <t>SERVICIOS DE REPARACIÓN DE ESTRUCTURA DE BANDA UNO DE PLANTA 4-400</t>
  </si>
  <si>
    <t>475</t>
  </si>
  <si>
    <t>TRANSPORTADORA JUSA S.A. DE C.V.</t>
  </si>
  <si>
    <t>TJU0506082N9</t>
  </si>
  <si>
    <t>MX09R177260051</t>
  </si>
  <si>
    <t>SERVICIO DE ACARREO DE  MINERAL EN INTERIOR MINA A QUEBRADORAS O ACARREO HASTA SUPERFICIE</t>
  </si>
  <si>
    <t>30/11/2025</t>
  </si>
  <si>
    <t>477</t>
  </si>
  <si>
    <t>MX09L77220626</t>
  </si>
  <si>
    <t>SERVICIO DE RECOLECCIÓN DE RESIDUOS SOLIDOS URBANOS</t>
  </si>
  <si>
    <t>01/12/2022</t>
  </si>
  <si>
    <t>476</t>
  </si>
  <si>
    <t>VIVEROS MEXICO GM A.C.</t>
  </si>
  <si>
    <t>MX09D01250926</t>
  </si>
  <si>
    <t>SERVICIO DE OPERACIÓN DE VIVERO</t>
  </si>
  <si>
    <t>486</t>
  </si>
  <si>
    <t>BPT GLOBAL CONSULTING S DE RL DE CV</t>
  </si>
  <si>
    <t>BGC181128A35</t>
  </si>
  <si>
    <t>MX07R99240151</t>
  </si>
  <si>
    <t>SOPORTE ESPECIALIZADO DE TECNOLOGÍAS DE LA INFORMACIÓN, PARA LA ATENCIÓN DE INCIDENTES DE HARDWARE Y SOFTWARE CANALIZADOS POR LA MESA DE SERVICIO Y QUE REQUIERAN PRESENCIA</t>
  </si>
  <si>
    <t>02/09/2020</t>
  </si>
  <si>
    <t>495</t>
  </si>
  <si>
    <t>MX09L59251260</t>
  </si>
  <si>
    <t>SERVICIOS DESUMINISTRO E INSTALACIÓN DE TUBERÍA Y GAS FÉTIDO PARA LOS TRES COMPLEJOS (TECOLOTES, SAN DIEGO Y SEGOVEDAD), EN SANTA BARBARA, CHIHUAHUA</t>
  </si>
  <si>
    <t>Operaciones</t>
  </si>
  <si>
    <t>Minas</t>
  </si>
  <si>
    <t>531</t>
  </si>
  <si>
    <t>PRESTADORA DE SERVICIOS Y PRODUCTOS INDUSTRIALES MINERO KYA</t>
  </si>
  <si>
    <t>PSP1602247N6</t>
  </si>
  <si>
    <t>MX09D59250537</t>
  </si>
  <si>
    <t>ESTABILIDAD DE BOCA MINAS ALFAREÑA BAJO SIMULACION CON INSTALACION DE MARCOS DE ACERO EN LA UNIDAD DE SANTA BARBARA, EN EL MUNICIPIO DE SANTA BARBARA,</t>
  </si>
  <si>
    <t>Alfareña</t>
  </si>
  <si>
    <t>514</t>
  </si>
  <si>
    <t>PS NOUS SA DE CV</t>
  </si>
  <si>
    <t>PNO110722CA1</t>
  </si>
  <si>
    <t>T 59 89 757 4</t>
  </si>
  <si>
    <t>Obra Minera para el servicio de fragmentación de roca, incluye: servicio integral de contrapozos y zanja en Mina San Diego en la unidad Santa Bárbara en el proyecto 59089</t>
  </si>
  <si>
    <t>mina</t>
  </si>
  <si>
    <t>516</t>
  </si>
  <si>
    <t>Saul Gerardo Guevara Quiñonez</t>
  </si>
  <si>
    <t>GQS850515EH9</t>
  </si>
  <si>
    <t>T99867542</t>
  </si>
  <si>
    <t>SERVICIOS ESPECIALIZADOS DE TOPOGRAFICOS PARA LOS PROYECTOS DE LINEA DE JAL</t>
  </si>
  <si>
    <t>Presa de jales</t>
  </si>
  <si>
    <t>223</t>
  </si>
  <si>
    <t>EIM</t>
  </si>
  <si>
    <t>MX06L58250714</t>
  </si>
  <si>
    <t>SERVICIO DE MECANICA</t>
  </si>
  <si>
    <t>OPERACIONES</t>
  </si>
  <si>
    <t>MANTENIMIENTO</t>
  </si>
  <si>
    <t>84</t>
  </si>
  <si>
    <t>Frio Total, S.A DE C.V.</t>
  </si>
  <si>
    <t>4100662142-C004-M86-Z14</t>
  </si>
  <si>
    <t>suminsitro e instalacion de aire acondicionado</t>
  </si>
  <si>
    <t>Mantenimiento electrico Fundicion</t>
  </si>
  <si>
    <t>Refineria</t>
  </si>
  <si>
    <t>25/06/2024</t>
  </si>
  <si>
    <t>227</t>
  </si>
  <si>
    <t>GERARDO NAVARRO CONSULTORIA</t>
  </si>
  <si>
    <t>GNC1505296V1</t>
  </si>
  <si>
    <t>C58 03 251 5</t>
  </si>
  <si>
    <t>PROYECTO DE BANDAS TRANSPORTADORAS</t>
  </si>
  <si>
    <t>231</t>
  </si>
  <si>
    <t>GM CONSULTORÍA Y PROYECTOS DE INGENIERÍA AMBIENTAL</t>
  </si>
  <si>
    <t>C58 03 252 5</t>
  </si>
  <si>
    <t>Servicio Especializado Multifuncional de Técnico Ambiental para el seguimiento y cumplimiento a los compromisos de vigilancia y monitoreo de las medidas de mitigación determinadas por las autorizaciones de impacto ambiental del Proyecto Sistema de Transporte y Almacenamiento de Concentrado de Cobre</t>
  </si>
  <si>
    <t>222</t>
  </si>
  <si>
    <t>IENPAC</t>
  </si>
  <si>
    <t>UVM130307VA8</t>
  </si>
  <si>
    <t>MX06D58251015</t>
  </si>
  <si>
    <t>PROTECCION INSTALACION PORTUARIA</t>
  </si>
  <si>
    <t>226</t>
  </si>
  <si>
    <t>INSTRUMENTOS DE MEDICION NORMALIZADOS</t>
  </si>
  <si>
    <t>IMN040528P10</t>
  </si>
  <si>
    <t>MX06L58240525</t>
  </si>
  <si>
    <t>CALIBRACION DE BASCULAS</t>
  </si>
  <si>
    <t>LABORATORIO</t>
  </si>
  <si>
    <t>10/01/2025</t>
  </si>
  <si>
    <t>229</t>
  </si>
  <si>
    <t>JOSE RODRIGO ROMERO FELIX</t>
  </si>
  <si>
    <t>MX06L58251033</t>
  </si>
  <si>
    <t>INSPECCIÓN Y MANTENIMIENTO DE EXTINTORES</t>
  </si>
  <si>
    <t>30/10/2027</t>
  </si>
  <si>
    <t>233</t>
  </si>
  <si>
    <t>MONTAJES Y TENDIDOS DE POTENCIA, S.A. DE C.V.</t>
  </si>
  <si>
    <t>MTP0212027V0</t>
  </si>
  <si>
    <t>MX06L58240267,</t>
  </si>
  <si>
    <t>MANTENIMIENTO PREVENTIVO DE
TRANSFORMADORES ELÉCTRICOS</t>
  </si>
  <si>
    <t>15/08/2024</t>
  </si>
  <si>
    <t>224</t>
  </si>
  <si>
    <t>MOVIMEX</t>
  </si>
  <si>
    <t>TEP950712NY3</t>
  </si>
  <si>
    <t>MX06-L-58-24-0044</t>
  </si>
  <si>
    <t>TRANSPORTE PERSONAL</t>
  </si>
  <si>
    <t>10/03/2027</t>
  </si>
  <si>
    <t>443</t>
  </si>
  <si>
    <t>SAASA</t>
  </si>
  <si>
    <t>MULTISERVICIOS LIMO, S. DE R.L. DE C.V.</t>
  </si>
  <si>
    <t>MLI2105274H2</t>
  </si>
  <si>
    <t>MX07L42251243</t>
  </si>
  <si>
    <t>LIMPIEZA OFICINAS HERMOSILLO</t>
  </si>
  <si>
    <t>12/08/2026</t>
  </si>
  <si>
    <t>234</t>
  </si>
  <si>
    <t>SISTEMAS PROFESIONALES NOVATEL, S.A. DE C.V.,</t>
  </si>
  <si>
    <t>MX06L58251211</t>
  </si>
  <si>
    <t>TRANSFORMADORES ELÉCTRICOS</t>
  </si>
  <si>
    <t>232</t>
  </si>
  <si>
    <t>TEAM WORK SERVICIOS</t>
  </si>
  <si>
    <t>TWS070503K41</t>
  </si>
  <si>
    <t>MX06L58251422</t>
  </si>
  <si>
    <t>VERIFICACIÓN DOCUMENTAL Y DE LAS INSTALACIONES DE LA CONTRATANTE PARA ACREDITAR EL CUMPLIMIENTO DE LA NOM-020-STPS-2011 RECIPIENTES SUJETOS A PRESIÓN Y CALDERAS, FUNCIONAMIENTO CONDICIONES DE SEGURIDAD</t>
  </si>
  <si>
    <t>225</t>
  </si>
  <si>
    <t>TENNANT VENTAS &amp; SERVICIOS DE MEXICO</t>
  </si>
  <si>
    <t>TVA100610S27</t>
  </si>
  <si>
    <t>MX06E51230079</t>
  </si>
  <si>
    <t>MTTO A BARREDORAS</t>
  </si>
  <si>
    <t>26/06/2026</t>
  </si>
  <si>
    <t>221</t>
  </si>
  <si>
    <t>ULLI RUBBER</t>
  </si>
  <si>
    <t>MX06L58250808</t>
  </si>
  <si>
    <t>LIMPIEZA</t>
  </si>
  <si>
    <t>45</t>
  </si>
  <si>
    <t>MX09R78250201</t>
  </si>
  <si>
    <t>Servicio de actividades de exploracion geologica en el proyecto San Martin (Chalchihuites) Zac.</t>
  </si>
  <si>
    <t>Gerencia Exploración</t>
  </si>
  <si>
    <t>Chalchihuites</t>
  </si>
  <si>
    <t>543</t>
  </si>
  <si>
    <t>OTJ6505016TA</t>
  </si>
  <si>
    <t>MX09L81251538</t>
  </si>
  <si>
    <t>CONSTRUCCION DE OBRA CIVIL PARA LA PAVIMENTACIÓN EN ACCESO A LA EXTENSIÓN DEL ALMACÉN DE TALLER CENTRAL</t>
  </si>
  <si>
    <t>Gerencia Taller Central</t>
  </si>
  <si>
    <t>Taller Central</t>
  </si>
  <si>
    <t>17/02/2026</t>
  </si>
  <si>
    <t>546</t>
  </si>
  <si>
    <t>Febrero_2026</t>
  </si>
  <si>
    <t>Industrial Minera México, S. A. de C. V.</t>
  </si>
  <si>
    <t>Ultra Protección, S. A. De C. V.</t>
  </si>
  <si>
    <t>MX09R379240181</t>
  </si>
  <si>
    <t>La prestación de servicios especializados relacionados con mantenimiento preventivo y correctivo y limpieza de muebles e inmuebles</t>
  </si>
  <si>
    <t>Gerencia Unidad Taxco</t>
  </si>
  <si>
    <t>Unidad Taxco</t>
  </si>
  <si>
    <t>19/05/2024</t>
  </si>
  <si>
    <t>Motivo</t>
  </si>
  <si>
    <t>213</t>
  </si>
  <si>
    <t>RICOH MEXICANA SA DE CV</t>
  </si>
  <si>
    <t>02/01/2024</t>
  </si>
  <si>
    <t>VACÍO</t>
  </si>
  <si>
    <t>214</t>
  </si>
  <si>
    <t>GRUPO MEXICO SERVICIOS DE INGENIERIA, S.A. DE C.V.</t>
  </si>
  <si>
    <t>01/01/2021</t>
  </si>
  <si>
    <t>215</t>
  </si>
  <si>
    <t>216</t>
  </si>
  <si>
    <t>217</t>
  </si>
  <si>
    <t>ACONSA Y ASOCIADOS CONSULTORES S DE RL DE C.V.</t>
  </si>
  <si>
    <t>218</t>
  </si>
  <si>
    <t>Juan Miguel Trujano</t>
  </si>
  <si>
    <t>219</t>
  </si>
  <si>
    <t>ISS Facility Services, S.A. de C.V.</t>
  </si>
  <si>
    <t>220</t>
  </si>
  <si>
    <t>EQUINO DESARROLLOS ED S.A. DE C.V.</t>
  </si>
  <si>
    <t>EDE1312102H5</t>
  </si>
  <si>
    <t>228</t>
  </si>
  <si>
    <t>INTERMODAL MEXICO S.A. DE C.V. (IMEX)</t>
  </si>
  <si>
    <t>IME010718PU3</t>
  </si>
  <si>
    <t>230</t>
  </si>
  <si>
    <t>MULTISISTEMAS DE SEGURIDAD DEL NOROESTE</t>
  </si>
  <si>
    <t>408</t>
  </si>
  <si>
    <t>Muiltisistemas de Seguridad del Noroeste, S.A. de C.V</t>
  </si>
  <si>
    <t>MSN-900226-R10</t>
  </si>
  <si>
    <t>Sin Contrato</t>
  </si>
  <si>
    <t>INVÁLIDO: Sin Contrato</t>
  </si>
  <si>
    <t>439</t>
  </si>
  <si>
    <t>INTERNATIONAL SURVEYORS AND ASSAYERS S DE RL DE CV SEMIESA</t>
  </si>
  <si>
    <t>ISA1405304Y3</t>
  </si>
  <si>
    <t>485</t>
  </si>
  <si>
    <t>Autolineas Real De San Jose</t>
  </si>
  <si>
    <t>ARS9108149W2</t>
  </si>
  <si>
    <t>25/09/2020</t>
  </si>
  <si>
    <t>511</t>
  </si>
  <si>
    <t>Multisistemas De Seguridad Del Valle De Mexico Sa De Cv</t>
  </si>
  <si>
    <t>MMA070914FD9</t>
  </si>
  <si>
    <t>512</t>
  </si>
  <si>
    <t>542</t>
  </si>
  <si>
    <t>TOTALES</t>
  </si>
  <si>
    <t>INDUSTRIAL MINERA MÉXICO</t>
  </si>
  <si>
    <t>MINING SOLUTIONS DE GUADALUPE, S.A. DE C.V.</t>
  </si>
  <si>
    <t>MSG140310QG7</t>
  </si>
  <si>
    <t>METALÚRGICA DE COBRE</t>
  </si>
  <si>
    <t>MULTISISTEMAS DE SEGURIDAD DEL NOROESTE, S.A. DE C.V.</t>
  </si>
  <si>
    <t>01/10/2027</t>
  </si>
  <si>
    <t>SIN CONTRATO</t>
  </si>
  <si>
    <t>INVÁLIDO: SIN CONTRATO</t>
  </si>
  <si>
    <t>FULL AND DIVERSITY INTELLIGENT SERVICES SA DE CV</t>
  </si>
  <si>
    <t>FAD211019BX</t>
  </si>
  <si>
    <t>TECNOLOGIAS GPG DE MEXICO, S.A. DE C.V.</t>
  </si>
  <si>
    <t>TGM110214QK0</t>
  </si>
  <si>
    <t>261</t>
  </si>
  <si>
    <t>CQO1111087S3</t>
  </si>
  <si>
    <t>262</t>
  </si>
  <si>
    <t>321</t>
  </si>
  <si>
    <t>251</t>
  </si>
  <si>
    <t>DNM7503261L1</t>
  </si>
  <si>
    <t>01/04/2020</t>
  </si>
  <si>
    <t>→ SUBTOTAL ANGANGUEO</t>
  </si>
  <si>
    <t>Contratos duplicados eliminados por deduplicación</t>
  </si>
  <si>
    <t>1 registros</t>
  </si>
  <si>
    <t>→ SUBTOTAL CANANEA</t>
  </si>
  <si>
    <t>124 registros</t>
  </si>
  <si>
    <t>→ SUBTOTAL CHARCAS</t>
  </si>
  <si>
    <t>39 registros</t>
  </si>
  <si>
    <t>→ SUBTOTAL ESTACION SANTIAGO</t>
  </si>
  <si>
    <t>→ SUBTOTAL FUNDICION</t>
  </si>
  <si>
    <t>86 registros</t>
  </si>
  <si>
    <t>→ SUBTOTAL LA CARIDAD</t>
  </si>
  <si>
    <t>48 registros</t>
  </si>
  <si>
    <t>→ SUBTOTAL MINA SANTA EULALIA</t>
  </si>
  <si>
    <t>3 registros</t>
  </si>
  <si>
    <t>→ SUBTOTAL NUEVOS PROYECTOS CANANEA</t>
  </si>
  <si>
    <t>65 registros</t>
  </si>
  <si>
    <t>→ SUBTOTAL OFICINAS MEXICO</t>
  </si>
  <si>
    <t>→ SUBTOTAL PARQUE BICENTENARIO</t>
  </si>
  <si>
    <t>→ SUBTOTAL PARQUE ECOLOGICO ANTIGUA PLANTA MONTERREY</t>
  </si>
  <si>
    <t>→ SUBTOTAL PLANTA DE CAL</t>
  </si>
  <si>
    <t>5 registros</t>
  </si>
  <si>
    <t>→ SUBTOTAL PLANTA DE ZINC</t>
  </si>
  <si>
    <t>30 registros</t>
  </si>
  <si>
    <t>→ SUBTOTAL PLANTA NUEVA ROSITA</t>
  </si>
  <si>
    <t>2 registros</t>
  </si>
  <si>
    <t>→ SUBTOTAL PLANTA SAN LUIS COBRE</t>
  </si>
  <si>
    <t>8 registros</t>
  </si>
  <si>
    <t>→ SUBTOTAL PLANTA TRATADORA DE AGUAS RESIDUALES ZINC</t>
  </si>
  <si>
    <t>→ SUBTOTAL PROYECTO EL ARCO</t>
  </si>
  <si>
    <t>→ SUBTOTAL SAN MARTIN</t>
  </si>
  <si>
    <t>41 registros</t>
  </si>
  <si>
    <t>→ SUBTOTAL SANTA BARBARA</t>
  </si>
  <si>
    <t>51 registros</t>
  </si>
  <si>
    <t>→ SUBTOTAL SIN UNIDAD</t>
  </si>
  <si>
    <t>14 registros</t>
  </si>
  <si>
    <t>→ SUBTOTAL SN MARTIN (CHALCHIHUITES)</t>
  </si>
  <si>
    <t>→ SUBTOTAL TALLER CENTRAL</t>
  </si>
  <si>
    <t>→ SUBTOTAL TAXCO</t>
  </si>
  <si>
    <t>→ SUBTOTAL ZINC VIVERO DIDACTIVO</t>
  </si>
  <si>
    <t>→ SUBTOTAL ZINC VIVERO FORESTAL</t>
  </si>
  <si>
    <t>Total de contratos eliminados por duplicación</t>
  </si>
  <si>
    <t>531 registros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</si>
</sst>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C80000"/>
      <name val="Calibri"/>
      <family val="2"/>
    </font>
    <font>
      <b/>
      <sz val="11"/>
      <color rgb="FF00008B"/>
      <name val="Calibri"/>
      <family val="2"/>
    </font>
    <font>
      <sz val="12"/>
      <color theme="10"/>
      <name val="Calibri"/>
      <family val="2"/>
      <scheme val="minor"/>
    </font>
    <font>
      <sz val="11"/>
      <color rgb="FFFFFFFF"/>
      <name val="Segoe UI"/>
      <family val="2"/>
    </font>
    <font>
      <sz val="10"/>
      <color rgb="FFFFFFFF"/>
      <name val="Segoe UI"/>
      <family val="2"/>
    </font>
    <font>
      <b/>
      <sz val="10"/>
      <color rgb="FFFFFFFF"/>
      <name val="Segoe UI"/>
      <family val="2"/>
    </font>
    <font>
      <sz val="11"/>
      <color theme="1"/>
      <name val="Calibri"/>
      <family val="2"/>
      <scheme val="minor"/>
    </font>
  </fonts>
  <fills count="3">
    <fill>
      <patternFill patternType="none"/>
    </fill>
    <fill>
      <patternFill patternType="gray125"/>
    </fill>
    <fill>
      <patternFill patternType="solid">
        <fgColor rgb="FFA80000"/>
        <bgColor rgb="FFA80000"/>
      </patternFill>
    </fill>
  </fills>
  <borders count="2">
    <border>
      <left/>
      <right/>
      <top/>
      <bottom/>
      <diagonal/>
    </border>
    <border>
      <left/>
      <right/>
      <top/>
      <bottom/>
      <diagonal/>
    </border>
  </borders>
  <cellStyleXfs count="3">
    <xf numFmtId="0" fontId="0" fillId="0" borderId="0"/>
    <xf numFmtId="0" fontId="3" fillId="0" borderId="0"/>
    <xf numFmtId="9" fontId="7" fillId="0" borderId="0" applyFont="0" applyFill="0" applyBorder="0" applyAlignment="0" applyProtection="0"/>
  </cellStyleXfs>
  <cellXfs count="15">
    <xf numFmtId="0" fontId="0" fillId="0" borderId="0" xfId="0"/>
    <xf numFmtId="0" fontId="4" fillId="2" borderId="1" xfId="0" applyFont="1" applyFill="1" applyBorder="1" applyAlignment="1">
      <alignment horizontal="left" vertical="center"/>
    </xf>
    <xf numFmtId="0" fontId="0" fillId="2" borderId="1" xfId="0" applyFill="1" applyBorder="1"/>
    <xf numFmtId="0" fontId="4" fillId="2" borderId="1" xfId="0" applyFont="1" applyFill="1" applyBorder="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6" fillId="2" borderId="0" xfId="0" applyFont="1" applyFill="1" applyAlignment="1">
      <alignment horizontal="left" vertical="center"/>
    </xf>
    <xf numFmtId="0" fontId="6" fillId="2" borderId="0" xfId="0" applyFont="1" applyFill="1" applyAlignment="1">
      <alignment horizontal="center" vertical="center"/>
    </xf>
    <xf numFmtId="0" fontId="3" fillId="0" borderId="0" xfId="1" applyAlignment="1">
      <alignment horizontal="center" vertical="center"/>
    </xf>
    <xf numFmtId="9" fontId="0" fillId="0" borderId="0" xfId="2" applyFont="1" applyAlignment="1">
      <alignment horizontal="center" vertical="center"/>
    </xf>
    <xf numFmtId="9" fontId="6" fillId="2" borderId="0" xfId="2" applyFont="1" applyFill="1" applyAlignment="1">
      <alignment horizontal="center" vertical="center"/>
    </xf>
  </cellXfs>
  <cellStyles count="3">
    <cellStyle name="Hipervínculo" xfId="1" builtinId="8"/>
    <cellStyle name="Normal" xfId="0" builtinId="0"/>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showGridLines="0" showRowColHeaders="0" workbookViewId="0">
      <selection activeCell="A10" sqref="A10:F10"/>
    </sheetView>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6" ht="30" customHeight="1" x14ac:dyDescent="0.3">
      <c r="A1" s="1" t="s">
        <v>0</v>
      </c>
      <c r="B1" s="2"/>
      <c r="C1" s="2"/>
      <c r="D1" s="2"/>
      <c r="E1" s="2"/>
      <c r="F1" s="3" t="s">
        <v>1</v>
      </c>
    </row>
    <row r="2" spans="1:6" ht="25.05" customHeight="1" x14ac:dyDescent="0.3">
      <c r="A2" s="4" t="s">
        <v>2</v>
      </c>
      <c r="B2" s="5" t="s">
        <v>3</v>
      </c>
      <c r="C2" s="5" t="s">
        <v>4</v>
      </c>
      <c r="D2" s="5" t="s">
        <v>5</v>
      </c>
      <c r="E2" s="5" t="s">
        <v>6</v>
      </c>
      <c r="F2" s="5" t="s">
        <v>7</v>
      </c>
    </row>
    <row r="3" spans="1:6" x14ac:dyDescent="0.3">
      <c r="A3" s="6" t="s">
        <v>8</v>
      </c>
      <c r="B3" s="7">
        <v>0</v>
      </c>
      <c r="C3" s="7">
        <v>1</v>
      </c>
      <c r="D3" s="7">
        <v>0</v>
      </c>
      <c r="E3" s="8">
        <v>1</v>
      </c>
      <c r="F3" s="7">
        <v>0</v>
      </c>
    </row>
    <row r="4" spans="1:6" x14ac:dyDescent="0.3">
      <c r="A4" s="6" t="s">
        <v>9</v>
      </c>
      <c r="B4" s="7">
        <v>175</v>
      </c>
      <c r="C4" s="7">
        <v>117</v>
      </c>
      <c r="D4" s="9">
        <v>101</v>
      </c>
      <c r="E4" s="8">
        <v>16</v>
      </c>
      <c r="F4" s="7">
        <v>0.86319999999999997</v>
      </c>
    </row>
    <row r="5" spans="1:6" x14ac:dyDescent="0.3">
      <c r="A5" s="6" t="s">
        <v>10</v>
      </c>
      <c r="B5" s="7">
        <v>37</v>
      </c>
      <c r="C5" s="7">
        <v>39</v>
      </c>
      <c r="D5" s="9">
        <v>30</v>
      </c>
      <c r="E5" s="8">
        <v>9</v>
      </c>
      <c r="F5" s="7">
        <v>0.76919999999999999</v>
      </c>
    </row>
    <row r="6" spans="1:6" x14ac:dyDescent="0.3">
      <c r="A6" s="6" t="s">
        <v>11</v>
      </c>
      <c r="B6" s="7">
        <v>0</v>
      </c>
      <c r="C6" s="7">
        <v>1</v>
      </c>
      <c r="D6" s="7">
        <v>0</v>
      </c>
      <c r="E6" s="8">
        <v>1</v>
      </c>
      <c r="F6" s="7">
        <v>0</v>
      </c>
    </row>
    <row r="7" spans="1:6" x14ac:dyDescent="0.3">
      <c r="A7" s="6" t="s">
        <v>12</v>
      </c>
      <c r="B7" s="7">
        <v>155</v>
      </c>
      <c r="C7" s="7">
        <v>84</v>
      </c>
      <c r="D7" s="9">
        <v>75</v>
      </c>
      <c r="E7" s="8">
        <v>9</v>
      </c>
      <c r="F7" s="7">
        <v>0.89290000000000003</v>
      </c>
    </row>
    <row r="8" spans="1:6" x14ac:dyDescent="0.3">
      <c r="A8" s="6" t="s">
        <v>13</v>
      </c>
      <c r="B8" s="7">
        <v>127</v>
      </c>
      <c r="C8" s="7">
        <v>47</v>
      </c>
      <c r="D8" s="9">
        <v>37</v>
      </c>
      <c r="E8" s="8">
        <v>10</v>
      </c>
      <c r="F8" s="7">
        <v>0.78720000000000001</v>
      </c>
    </row>
    <row r="9" spans="1:6" x14ac:dyDescent="0.3">
      <c r="A9" s="6" t="s">
        <v>14</v>
      </c>
      <c r="B9" s="7">
        <v>1</v>
      </c>
      <c r="C9" s="7">
        <v>3</v>
      </c>
      <c r="D9" s="9">
        <v>1</v>
      </c>
      <c r="E9" s="8">
        <v>2</v>
      </c>
      <c r="F9" s="7">
        <v>0.33329999999999999</v>
      </c>
    </row>
    <row r="10" spans="1:6" x14ac:dyDescent="0.3">
      <c r="A10" s="6" t="s">
        <v>15</v>
      </c>
      <c r="B10" s="7">
        <v>0</v>
      </c>
      <c r="C10" s="7">
        <v>47</v>
      </c>
      <c r="D10" s="7">
        <v>0</v>
      </c>
      <c r="E10" s="8">
        <v>47</v>
      </c>
      <c r="F10" s="7">
        <v>0</v>
      </c>
    </row>
    <row r="11" spans="1:6" x14ac:dyDescent="0.3">
      <c r="A11" s="6" t="s">
        <v>16</v>
      </c>
      <c r="B11" s="7">
        <v>0</v>
      </c>
      <c r="C11" s="7">
        <v>1</v>
      </c>
      <c r="D11" s="7">
        <v>0</v>
      </c>
      <c r="E11" s="8">
        <v>1</v>
      </c>
      <c r="F11" s="7">
        <v>0</v>
      </c>
    </row>
    <row r="12" spans="1:6" x14ac:dyDescent="0.3">
      <c r="A12" s="6" t="s">
        <v>17</v>
      </c>
      <c r="B12" s="7">
        <v>1</v>
      </c>
      <c r="C12" s="7">
        <v>1</v>
      </c>
      <c r="D12" s="9">
        <v>1</v>
      </c>
      <c r="E12" s="7">
        <v>0</v>
      </c>
      <c r="F12" s="7">
        <v>1</v>
      </c>
    </row>
    <row r="13" spans="1:6" x14ac:dyDescent="0.3">
      <c r="A13" s="6" t="s">
        <v>18</v>
      </c>
      <c r="B13" s="7">
        <v>0</v>
      </c>
      <c r="C13" s="7">
        <v>1</v>
      </c>
      <c r="D13" s="7">
        <v>0</v>
      </c>
      <c r="E13" s="8">
        <v>1</v>
      </c>
      <c r="F13" s="7">
        <v>0</v>
      </c>
    </row>
    <row r="14" spans="1:6" x14ac:dyDescent="0.3">
      <c r="A14" s="6" t="s">
        <v>19</v>
      </c>
      <c r="B14" s="7">
        <v>4</v>
      </c>
      <c r="C14" s="7">
        <v>4</v>
      </c>
      <c r="D14" s="9">
        <v>2</v>
      </c>
      <c r="E14" s="8">
        <v>2</v>
      </c>
      <c r="F14" s="7">
        <v>0.5</v>
      </c>
    </row>
    <row r="15" spans="1:6" x14ac:dyDescent="0.3">
      <c r="A15" s="6" t="s">
        <v>20</v>
      </c>
      <c r="B15" s="7">
        <v>35</v>
      </c>
      <c r="C15" s="7">
        <v>30</v>
      </c>
      <c r="D15" s="9">
        <v>25</v>
      </c>
      <c r="E15" s="8">
        <v>5</v>
      </c>
      <c r="F15" s="7">
        <v>0.83330000000000004</v>
      </c>
    </row>
    <row r="16" spans="1:6" x14ac:dyDescent="0.3">
      <c r="A16" s="6" t="s">
        <v>21</v>
      </c>
      <c r="B16" s="7">
        <v>2</v>
      </c>
      <c r="C16" s="7">
        <v>2</v>
      </c>
      <c r="D16" s="9">
        <v>2</v>
      </c>
      <c r="E16" s="7">
        <v>0</v>
      </c>
      <c r="F16" s="7">
        <v>1</v>
      </c>
    </row>
    <row r="17" spans="1:6" x14ac:dyDescent="0.3">
      <c r="A17" s="6" t="s">
        <v>22</v>
      </c>
      <c r="B17" s="7">
        <v>9</v>
      </c>
      <c r="C17" s="7">
        <v>8</v>
      </c>
      <c r="D17" s="9">
        <v>7</v>
      </c>
      <c r="E17" s="8">
        <v>1</v>
      </c>
      <c r="F17" s="7">
        <v>0.875</v>
      </c>
    </row>
    <row r="18" spans="1:6" x14ac:dyDescent="0.3">
      <c r="A18" s="6" t="s">
        <v>23</v>
      </c>
      <c r="B18" s="7">
        <v>0</v>
      </c>
      <c r="C18" s="7">
        <v>1</v>
      </c>
      <c r="D18" s="7">
        <v>0</v>
      </c>
      <c r="E18" s="8">
        <v>1</v>
      </c>
      <c r="F18" s="7">
        <v>0</v>
      </c>
    </row>
    <row r="19" spans="1:6" x14ac:dyDescent="0.3">
      <c r="A19" s="6" t="s">
        <v>24</v>
      </c>
      <c r="B19" s="7">
        <v>2</v>
      </c>
      <c r="C19" s="7">
        <v>2</v>
      </c>
      <c r="D19" s="9">
        <v>1</v>
      </c>
      <c r="E19" s="8">
        <v>1</v>
      </c>
      <c r="F19" s="7">
        <v>0.5</v>
      </c>
    </row>
    <row r="20" spans="1:6" x14ac:dyDescent="0.3">
      <c r="A20" s="6" t="s">
        <v>25</v>
      </c>
      <c r="B20" s="7">
        <v>3</v>
      </c>
      <c r="C20" s="7">
        <v>0</v>
      </c>
      <c r="D20" s="7">
        <v>0</v>
      </c>
      <c r="E20" s="7">
        <v>0</v>
      </c>
      <c r="F20" s="7">
        <v>0</v>
      </c>
    </row>
    <row r="21" spans="1:6" x14ac:dyDescent="0.3">
      <c r="A21" s="6" t="s">
        <v>26</v>
      </c>
      <c r="B21" s="7">
        <v>34</v>
      </c>
      <c r="C21" s="7">
        <v>41</v>
      </c>
      <c r="D21" s="9">
        <v>26</v>
      </c>
      <c r="E21" s="8">
        <v>15</v>
      </c>
      <c r="F21" s="7">
        <v>0.6341</v>
      </c>
    </row>
    <row r="22" spans="1:6" x14ac:dyDescent="0.3">
      <c r="A22" s="6" t="s">
        <v>27</v>
      </c>
      <c r="B22" s="7">
        <v>64</v>
      </c>
      <c r="C22" s="7">
        <v>51</v>
      </c>
      <c r="D22" s="9">
        <v>46</v>
      </c>
      <c r="E22" s="8">
        <v>5</v>
      </c>
      <c r="F22" s="7">
        <v>0.90200000000000002</v>
      </c>
    </row>
    <row r="23" spans="1:6" x14ac:dyDescent="0.3">
      <c r="A23" s="6" t="s">
        <v>28</v>
      </c>
      <c r="B23" s="7">
        <v>0</v>
      </c>
      <c r="C23" s="7">
        <v>14</v>
      </c>
      <c r="D23" s="7">
        <v>0</v>
      </c>
      <c r="E23" s="8">
        <v>14</v>
      </c>
      <c r="F23" s="7">
        <v>0</v>
      </c>
    </row>
    <row r="24" spans="1:6" x14ac:dyDescent="0.3">
      <c r="A24" s="6" t="s">
        <v>29</v>
      </c>
      <c r="B24" s="7">
        <v>0</v>
      </c>
      <c r="C24" s="7">
        <v>1</v>
      </c>
      <c r="D24" s="7">
        <v>0</v>
      </c>
      <c r="E24" s="8">
        <v>1</v>
      </c>
      <c r="F24" s="7">
        <v>0</v>
      </c>
    </row>
    <row r="25" spans="1:6" x14ac:dyDescent="0.3">
      <c r="A25" s="6" t="s">
        <v>30</v>
      </c>
      <c r="B25" s="7">
        <v>3</v>
      </c>
      <c r="C25" s="7">
        <v>3</v>
      </c>
      <c r="D25" s="9">
        <v>2</v>
      </c>
      <c r="E25" s="8">
        <v>1</v>
      </c>
      <c r="F25" s="7">
        <v>0.66669999999999996</v>
      </c>
    </row>
    <row r="26" spans="1:6" x14ac:dyDescent="0.3">
      <c r="A26" s="6" t="s">
        <v>31</v>
      </c>
      <c r="B26" s="7">
        <v>0</v>
      </c>
      <c r="C26" s="7">
        <v>1</v>
      </c>
      <c r="D26" s="7">
        <v>0</v>
      </c>
      <c r="E26" s="8">
        <v>1</v>
      </c>
      <c r="F26" s="7">
        <v>0</v>
      </c>
    </row>
    <row r="27" spans="1:6" x14ac:dyDescent="0.3">
      <c r="A27" s="6" t="s">
        <v>32</v>
      </c>
      <c r="B27" s="7">
        <v>13</v>
      </c>
      <c r="C27" s="7">
        <v>0</v>
      </c>
      <c r="D27" s="7">
        <v>0</v>
      </c>
      <c r="E27" s="7">
        <v>0</v>
      </c>
      <c r="F27" s="7">
        <v>0</v>
      </c>
    </row>
    <row r="28" spans="1:6" x14ac:dyDescent="0.3">
      <c r="A28" s="6" t="s">
        <v>33</v>
      </c>
      <c r="B28" s="7">
        <v>1</v>
      </c>
      <c r="C28" s="7">
        <v>1</v>
      </c>
      <c r="D28" s="9">
        <v>1</v>
      </c>
      <c r="E28" s="7">
        <v>0</v>
      </c>
      <c r="F28" s="7">
        <v>1</v>
      </c>
    </row>
    <row r="29" spans="1:6" x14ac:dyDescent="0.3">
      <c r="A29" s="6" t="s">
        <v>34</v>
      </c>
      <c r="B29" s="7">
        <v>1</v>
      </c>
      <c r="C29" s="7">
        <v>1</v>
      </c>
      <c r="D29" s="9">
        <v>1</v>
      </c>
      <c r="E29" s="7">
        <v>0</v>
      </c>
      <c r="F29" s="7">
        <v>1</v>
      </c>
    </row>
    <row r="30" spans="1:6" ht="15" x14ac:dyDescent="0.3">
      <c r="A30" s="10" t="s">
        <v>35</v>
      </c>
      <c r="B30" s="11">
        <v>667</v>
      </c>
      <c r="C30" s="11">
        <v>502</v>
      </c>
      <c r="D30" s="11">
        <v>358</v>
      </c>
      <c r="E30" s="11">
        <v>144</v>
      </c>
      <c r="F30" s="11">
        <v>0.71309999999999996</v>
      </c>
    </row>
  </sheetData>
  <hyperlinks>
    <hyperlink ref="A1" location="'Dashboard-R'!A1" display="⬅️ Dashboard Principal" xr:uid="{00000000-0004-0000-0000-000000000000}"/>
    <hyperlink ref="E2" location="FALTAN!A2" display="Faltan" xr:uid="{00000000-0004-0000-0000-000001000000}"/>
    <hyperlink ref="D3" location="Capturados!A2" display="Capturados!A2" xr:uid="{00000000-0004-0000-0000-000002000000}"/>
    <hyperlink ref="E3" location="FALTAN!A3" display="FALTAN!A3" xr:uid="{00000000-0004-0000-0000-000003000000}"/>
    <hyperlink ref="D4" location="Capturados!A104" display="Capturados!A104" xr:uid="{00000000-0004-0000-0000-000004000000}"/>
    <hyperlink ref="E4" location="FALTAN!A19" display="FALTAN!A19" xr:uid="{00000000-0004-0000-0000-000005000000}"/>
    <hyperlink ref="E5" location="FALTAN!A28" display="FALTAN!A28" xr:uid="{00000000-0004-0000-0000-000006000000}"/>
    <hyperlink ref="D6" location="Capturados!A135" display="Capturados!A135" xr:uid="{00000000-0004-0000-0000-000007000000}"/>
    <hyperlink ref="E6" location="FALTAN!A29" display="FALTAN!A29" xr:uid="{00000000-0004-0000-0000-000008000000}"/>
    <hyperlink ref="D7" location="Capturados!A212" display="Capturados!A212" xr:uid="{00000000-0004-0000-0000-000009000000}"/>
    <hyperlink ref="E7" location="FALTAN!A38" display="FALTAN!A38" xr:uid="{00000000-0004-0000-0000-00000A000000}"/>
    <hyperlink ref="D8" location="Capturados!A249" display="Capturados!A249" xr:uid="{00000000-0004-0000-0000-00000B000000}"/>
    <hyperlink ref="E8" location="FALTAN!A49" display="FALTAN!A49" xr:uid="{00000000-0004-0000-0000-00000C000000}"/>
    <hyperlink ref="E9" location="FALTAN!A51" display="FALTAN!A51" xr:uid="{00000000-0004-0000-0000-00000D000000}"/>
    <hyperlink ref="E10" location="FALTAN!A98" display="FALTAN!A98" xr:uid="{00000000-0004-0000-0000-00000E000000}"/>
    <hyperlink ref="D11" location="Capturados!A251" display="Capturados!A251" xr:uid="{00000000-0004-0000-0000-00000F000000}"/>
    <hyperlink ref="E12" location="FALTAN!A99" display="FALTAN!A99" xr:uid="{00000000-0004-0000-0000-000010000000}"/>
    <hyperlink ref="D13" location="Capturados!A252" display="Capturados!A252" xr:uid="{00000000-0004-0000-0000-000011000000}"/>
    <hyperlink ref="E13" location="FALTAN!A100" display="FALTAN!A100" xr:uid="{00000000-0004-0000-0000-000012000000}"/>
    <hyperlink ref="D14" location="Capturados!A254" display="Capturados!A254" xr:uid="{00000000-0004-0000-0000-000013000000}"/>
    <hyperlink ref="E14" location="FALTAN!A102" display="FALTAN!A102" xr:uid="{00000000-0004-0000-0000-000014000000}"/>
    <hyperlink ref="D15" location="Capturados!A279" display="Capturados!A279" xr:uid="{00000000-0004-0000-0000-000015000000}"/>
    <hyperlink ref="D16" location="Capturados!A281" display="Capturados!A281" xr:uid="{00000000-0004-0000-0000-000016000000}"/>
    <hyperlink ref="E16" location="FALTAN!A108" display="FALTAN!A108" xr:uid="{00000000-0004-0000-0000-000017000000}"/>
    <hyperlink ref="E17" location="FALTAN!A111" display="FALTAN!A111" xr:uid="{00000000-0004-0000-0000-000018000000}"/>
    <hyperlink ref="D18" location="Capturados!A288" display="Capturados!A288" xr:uid="{00000000-0004-0000-0000-000019000000}"/>
    <hyperlink ref="E18" location="FALTAN!A112" display="FALTAN!A112" xr:uid="{00000000-0004-0000-0000-00001A000000}"/>
    <hyperlink ref="D20" location="Capturados!A289" display="Capturados!A289" xr:uid="{00000000-0004-0000-0000-00001B000000}"/>
    <hyperlink ref="E20" location="FALTAN!A113" display="FALTAN!A113" xr:uid="{00000000-0004-0000-0000-00001C000000}"/>
    <hyperlink ref="D21" location="Capturados!A315" display="Capturados!A315" xr:uid="{00000000-0004-0000-0000-00001D000000}"/>
    <hyperlink ref="E21" location="FALTAN!A128" display="FALTAN!A128" xr:uid="{00000000-0004-0000-0000-00001E000000}"/>
    <hyperlink ref="E22" location="FALTAN!A133" display="FALTAN!A133" xr:uid="{00000000-0004-0000-0000-00001F000000}"/>
    <hyperlink ref="E23" location="FALTAN!A147" display="FALTAN!A147" xr:uid="{00000000-0004-0000-0000-000020000000}"/>
    <hyperlink ref="D24" location="Capturados!A361" display="Capturados!A361" xr:uid="{00000000-0004-0000-0000-000021000000}"/>
    <hyperlink ref="E24" location="FALTAN!A148" display="FALTAN!A148" xr:uid="{00000000-0004-0000-0000-000022000000}"/>
    <hyperlink ref="E25" location="FALTAN!A149" display="FALTAN!A149" xr:uid="{00000000-0004-0000-0000-000023000000}"/>
    <hyperlink ref="D27" location="Capturados!A363" display="Capturados!A363" xr:uid="{00000000-0004-0000-0000-000024000000}"/>
    <hyperlink ref="D28" location="Capturados!A364" display="Capturados!A364" xr:uid="{00000000-0004-0000-0000-00002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showGridLines="0" showRowColHeaders="0" tabSelected="1" workbookViewId="0">
      <selection activeCell="J10" sqref="J10"/>
    </sheetView>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6" ht="30" customHeight="1" x14ac:dyDescent="0.3">
      <c r="A1" s="1" t="s">
        <v>0</v>
      </c>
      <c r="B1" s="2"/>
      <c r="C1" s="2"/>
      <c r="D1" s="2"/>
      <c r="E1" s="2"/>
      <c r="F1" s="3" t="s">
        <v>1</v>
      </c>
    </row>
    <row r="2" spans="1:6" ht="25.05" customHeight="1" x14ac:dyDescent="0.3">
      <c r="A2" s="4" t="s">
        <v>2</v>
      </c>
      <c r="B2" s="5" t="s">
        <v>3</v>
      </c>
      <c r="C2" s="5" t="s">
        <v>4</v>
      </c>
      <c r="D2" s="5" t="s">
        <v>5</v>
      </c>
      <c r="E2" s="5" t="s">
        <v>6</v>
      </c>
      <c r="F2" s="5" t="s">
        <v>7</v>
      </c>
    </row>
    <row r="3" spans="1:6" x14ac:dyDescent="0.3">
      <c r="A3" s="6" t="s">
        <v>8</v>
      </c>
      <c r="B3" s="7">
        <v>0</v>
      </c>
      <c r="C3" s="7">
        <v>1</v>
      </c>
      <c r="D3" s="7">
        <v>1</v>
      </c>
      <c r="E3" s="8">
        <v>0</v>
      </c>
      <c r="F3" s="13">
        <v>1</v>
      </c>
    </row>
    <row r="4" spans="1:6" x14ac:dyDescent="0.3">
      <c r="A4" s="6" t="s">
        <v>9</v>
      </c>
      <c r="B4" s="7">
        <v>175</v>
      </c>
      <c r="C4" s="7">
        <v>117</v>
      </c>
      <c r="D4" s="9">
        <f>101+16</f>
        <v>117</v>
      </c>
      <c r="E4" s="8">
        <v>0</v>
      </c>
      <c r="F4" s="13">
        <v>1</v>
      </c>
    </row>
    <row r="5" spans="1:6" x14ac:dyDescent="0.3">
      <c r="A5" s="6" t="s">
        <v>10</v>
      </c>
      <c r="B5" s="7">
        <v>37</v>
      </c>
      <c r="C5" s="7">
        <v>39</v>
      </c>
      <c r="D5" s="9">
        <f>30+9</f>
        <v>39</v>
      </c>
      <c r="E5" s="8">
        <v>0</v>
      </c>
      <c r="F5" s="13">
        <v>1</v>
      </c>
    </row>
    <row r="6" spans="1:6" x14ac:dyDescent="0.3">
      <c r="A6" s="6" t="s">
        <v>11</v>
      </c>
      <c r="B6" s="7">
        <v>0</v>
      </c>
      <c r="C6" s="7">
        <v>1</v>
      </c>
      <c r="D6" s="7">
        <v>1</v>
      </c>
      <c r="E6" s="8">
        <v>0</v>
      </c>
      <c r="F6" s="13">
        <v>1</v>
      </c>
    </row>
    <row r="7" spans="1:6" x14ac:dyDescent="0.3">
      <c r="A7" s="6" t="s">
        <v>12</v>
      </c>
      <c r="B7" s="7">
        <v>155</v>
      </c>
      <c r="C7" s="7">
        <v>84</v>
      </c>
      <c r="D7" s="9">
        <f>75+9</f>
        <v>84</v>
      </c>
      <c r="E7" s="8">
        <v>0</v>
      </c>
      <c r="F7" s="13">
        <v>1</v>
      </c>
    </row>
    <row r="8" spans="1:6" x14ac:dyDescent="0.3">
      <c r="A8" s="6" t="s">
        <v>13</v>
      </c>
      <c r="B8" s="7">
        <v>127</v>
      </c>
      <c r="C8" s="7">
        <v>47</v>
      </c>
      <c r="D8" s="9">
        <f>37+10</f>
        <v>47</v>
      </c>
      <c r="E8" s="8">
        <v>0</v>
      </c>
      <c r="F8" s="13">
        <v>1</v>
      </c>
    </row>
    <row r="9" spans="1:6" x14ac:dyDescent="0.3">
      <c r="A9" s="6" t="s">
        <v>14</v>
      </c>
      <c r="B9" s="7">
        <v>1</v>
      </c>
      <c r="C9" s="7">
        <v>3</v>
      </c>
      <c r="D9" s="9">
        <v>3</v>
      </c>
      <c r="E9" s="8">
        <v>0</v>
      </c>
      <c r="F9" s="13">
        <v>1</v>
      </c>
    </row>
    <row r="10" spans="1:6" x14ac:dyDescent="0.3">
      <c r="A10" s="6" t="s">
        <v>16</v>
      </c>
      <c r="B10" s="7">
        <v>0</v>
      </c>
      <c r="C10" s="7">
        <v>1</v>
      </c>
      <c r="D10" s="7">
        <v>1</v>
      </c>
      <c r="E10" s="8">
        <v>0</v>
      </c>
      <c r="F10" s="13">
        <v>1</v>
      </c>
    </row>
    <row r="11" spans="1:6" x14ac:dyDescent="0.3">
      <c r="A11" s="6" t="s">
        <v>17</v>
      </c>
      <c r="B11" s="7">
        <v>1</v>
      </c>
      <c r="C11" s="7">
        <v>1</v>
      </c>
      <c r="D11" s="9">
        <v>1</v>
      </c>
      <c r="E11" s="7">
        <v>0</v>
      </c>
      <c r="F11" s="13">
        <v>1</v>
      </c>
    </row>
    <row r="12" spans="1:6" x14ac:dyDescent="0.3">
      <c r="A12" s="6" t="s">
        <v>18</v>
      </c>
      <c r="B12" s="7">
        <v>0</v>
      </c>
      <c r="C12" s="7">
        <v>1</v>
      </c>
      <c r="D12" s="7">
        <v>1</v>
      </c>
      <c r="E12" s="8">
        <v>0</v>
      </c>
      <c r="F12" s="13">
        <v>1</v>
      </c>
    </row>
    <row r="13" spans="1:6" x14ac:dyDescent="0.3">
      <c r="A13" s="6" t="s">
        <v>19</v>
      </c>
      <c r="B13" s="7">
        <v>4</v>
      </c>
      <c r="C13" s="7">
        <v>4</v>
      </c>
      <c r="D13" s="9">
        <v>4</v>
      </c>
      <c r="E13" s="8">
        <v>0</v>
      </c>
      <c r="F13" s="13">
        <v>1</v>
      </c>
    </row>
    <row r="14" spans="1:6" x14ac:dyDescent="0.3">
      <c r="A14" s="6" t="s">
        <v>20</v>
      </c>
      <c r="B14" s="7">
        <v>35</v>
      </c>
      <c r="C14" s="7">
        <v>30</v>
      </c>
      <c r="D14" s="9">
        <v>30</v>
      </c>
      <c r="E14" s="8">
        <v>0</v>
      </c>
      <c r="F14" s="13">
        <v>0.83330000000000004</v>
      </c>
    </row>
    <row r="15" spans="1:6" x14ac:dyDescent="0.3">
      <c r="A15" s="6" t="s">
        <v>21</v>
      </c>
      <c r="B15" s="7">
        <v>2</v>
      </c>
      <c r="C15" s="7">
        <v>2</v>
      </c>
      <c r="D15" s="9">
        <v>2</v>
      </c>
      <c r="E15" s="7">
        <v>0</v>
      </c>
      <c r="F15" s="13">
        <v>1</v>
      </c>
    </row>
    <row r="16" spans="1:6" x14ac:dyDescent="0.3">
      <c r="A16" s="6" t="s">
        <v>22</v>
      </c>
      <c r="B16" s="7">
        <v>9</v>
      </c>
      <c r="C16" s="7">
        <v>8</v>
      </c>
      <c r="D16" s="9">
        <v>8</v>
      </c>
      <c r="E16" s="8">
        <v>0</v>
      </c>
      <c r="F16" s="13">
        <v>1</v>
      </c>
    </row>
    <row r="17" spans="1:6" x14ac:dyDescent="0.3">
      <c r="A17" s="6" t="s">
        <v>23</v>
      </c>
      <c r="B17" s="7">
        <v>0</v>
      </c>
      <c r="C17" s="7">
        <v>1</v>
      </c>
      <c r="D17" s="7">
        <v>1</v>
      </c>
      <c r="E17" s="8">
        <v>0</v>
      </c>
      <c r="F17" s="13">
        <v>1</v>
      </c>
    </row>
    <row r="18" spans="1:6" x14ac:dyDescent="0.3">
      <c r="A18" s="6" t="s">
        <v>24</v>
      </c>
      <c r="B18" s="7">
        <v>2</v>
      </c>
      <c r="C18" s="7">
        <v>2</v>
      </c>
      <c r="D18" s="9">
        <v>2</v>
      </c>
      <c r="E18" s="8">
        <v>0</v>
      </c>
      <c r="F18" s="13">
        <v>1</v>
      </c>
    </row>
    <row r="19" spans="1:6" x14ac:dyDescent="0.3">
      <c r="A19" s="6" t="s">
        <v>25</v>
      </c>
      <c r="B19" s="7">
        <v>3</v>
      </c>
      <c r="C19" s="7">
        <v>0</v>
      </c>
      <c r="D19" s="7">
        <v>0</v>
      </c>
      <c r="E19" s="7">
        <v>0</v>
      </c>
      <c r="F19" s="13">
        <v>0</v>
      </c>
    </row>
    <row r="20" spans="1:6" x14ac:dyDescent="0.3">
      <c r="A20" s="6" t="s">
        <v>26</v>
      </c>
      <c r="B20" s="7">
        <v>34</v>
      </c>
      <c r="C20" s="7">
        <v>41</v>
      </c>
      <c r="D20" s="9">
        <v>26</v>
      </c>
      <c r="E20" s="8">
        <v>15</v>
      </c>
      <c r="F20" s="13">
        <v>0.6341</v>
      </c>
    </row>
    <row r="21" spans="1:6" x14ac:dyDescent="0.3">
      <c r="A21" s="6" t="s">
        <v>27</v>
      </c>
      <c r="B21" s="7">
        <v>64</v>
      </c>
      <c r="C21" s="7">
        <v>51</v>
      </c>
      <c r="D21" s="9">
        <v>46</v>
      </c>
      <c r="E21" s="8">
        <v>5</v>
      </c>
      <c r="F21" s="13">
        <v>0.90200000000000002</v>
      </c>
    </row>
    <row r="22" spans="1:6" x14ac:dyDescent="0.3">
      <c r="A22" s="6" t="s">
        <v>29</v>
      </c>
      <c r="B22" s="7">
        <v>0</v>
      </c>
      <c r="C22" s="7">
        <v>1</v>
      </c>
      <c r="D22" s="7">
        <v>0</v>
      </c>
      <c r="E22" s="8">
        <v>1</v>
      </c>
      <c r="F22" s="13">
        <v>0</v>
      </c>
    </row>
    <row r="23" spans="1:6" x14ac:dyDescent="0.3">
      <c r="A23" s="6" t="s">
        <v>30</v>
      </c>
      <c r="B23" s="7">
        <v>3</v>
      </c>
      <c r="C23" s="7">
        <v>3</v>
      </c>
      <c r="D23" s="9">
        <v>3</v>
      </c>
      <c r="E23" s="8">
        <v>0</v>
      </c>
      <c r="F23" s="13">
        <v>1</v>
      </c>
    </row>
    <row r="24" spans="1:6" x14ac:dyDescent="0.3">
      <c r="A24" s="6" t="s">
        <v>31</v>
      </c>
      <c r="B24" s="7">
        <v>0</v>
      </c>
      <c r="C24" s="7">
        <v>1</v>
      </c>
      <c r="D24" s="7">
        <v>1</v>
      </c>
      <c r="E24" s="8">
        <v>0</v>
      </c>
      <c r="F24" s="13">
        <v>1</v>
      </c>
    </row>
    <row r="25" spans="1:6" x14ac:dyDescent="0.3">
      <c r="A25" s="6" t="s">
        <v>32</v>
      </c>
      <c r="B25" s="7">
        <v>13</v>
      </c>
      <c r="C25" s="7">
        <v>0</v>
      </c>
      <c r="D25" s="7">
        <v>0</v>
      </c>
      <c r="E25" s="7">
        <v>0</v>
      </c>
      <c r="F25" s="13">
        <v>0</v>
      </c>
    </row>
    <row r="26" spans="1:6" x14ac:dyDescent="0.3">
      <c r="A26" s="6" t="s">
        <v>33</v>
      </c>
      <c r="B26" s="7">
        <v>1</v>
      </c>
      <c r="C26" s="7">
        <v>1</v>
      </c>
      <c r="D26" s="9">
        <v>1</v>
      </c>
      <c r="E26" s="7">
        <v>0</v>
      </c>
      <c r="F26" s="13">
        <v>1</v>
      </c>
    </row>
    <row r="27" spans="1:6" x14ac:dyDescent="0.3">
      <c r="A27" s="6" t="s">
        <v>34</v>
      </c>
      <c r="B27" s="7">
        <v>1</v>
      </c>
      <c r="C27" s="7">
        <v>1</v>
      </c>
      <c r="D27" s="9">
        <v>1</v>
      </c>
      <c r="E27" s="7">
        <v>0</v>
      </c>
      <c r="F27" s="13">
        <v>1</v>
      </c>
    </row>
    <row r="28" spans="1:6" x14ac:dyDescent="0.3">
      <c r="A28" s="6" t="s">
        <v>15</v>
      </c>
      <c r="B28" s="7">
        <v>0</v>
      </c>
      <c r="C28" s="7">
        <v>47</v>
      </c>
      <c r="D28" s="7">
        <v>0</v>
      </c>
      <c r="E28" s="8">
        <v>47</v>
      </c>
      <c r="F28" s="13">
        <v>0</v>
      </c>
    </row>
    <row r="29" spans="1:6" ht="15" x14ac:dyDescent="0.3">
      <c r="A29" s="10" t="s">
        <v>35</v>
      </c>
      <c r="B29" s="11">
        <v>667</v>
      </c>
      <c r="C29" s="11">
        <v>441</v>
      </c>
      <c r="D29" s="10">
        <f>SUM(D3:D28)</f>
        <v>420</v>
      </c>
      <c r="E29" s="11">
        <f>SUM(E3:E27)</f>
        <v>21</v>
      </c>
      <c r="F29" s="14">
        <f>D29/C29</f>
        <v>0.95238095238095233</v>
      </c>
    </row>
  </sheetData>
  <hyperlinks>
    <hyperlink ref="A1" location="'Dashboard-R'!A1" display="⬅️ Dashboard Principal" xr:uid="{00000000-0004-0000-0100-000000000000}"/>
    <hyperlink ref="E2" location="FALTAN!A2" display="Faltan" xr:uid="{00000000-0004-0000-0100-000001000000}"/>
    <hyperlink ref="D3" location="Capturados!A2" display="Capturados!A2" xr:uid="{00000000-0004-0000-0100-000002000000}"/>
    <hyperlink ref="E3" location="FALTAN!A3" display="FALTAN!A3" xr:uid="{00000000-0004-0000-0100-000003000000}"/>
    <hyperlink ref="D4" location="Capturados!A104" display="Capturados!A104" xr:uid="{00000000-0004-0000-0100-000004000000}"/>
    <hyperlink ref="E4" location="FALTAN!A19" display="FALTAN!A19" xr:uid="{00000000-0004-0000-0100-000005000000}"/>
    <hyperlink ref="E5" location="FALTAN!A28" display="FALTAN!A28" xr:uid="{00000000-0004-0000-0100-000006000000}"/>
    <hyperlink ref="D6" location="Capturados!A135" display="Capturados!A135" xr:uid="{00000000-0004-0000-0100-000007000000}"/>
    <hyperlink ref="E6" location="FALTAN!A29" display="FALTAN!A29" xr:uid="{00000000-0004-0000-0100-000008000000}"/>
    <hyperlink ref="D7" location="Capturados!A212" display="Capturados!A212" xr:uid="{00000000-0004-0000-0100-000009000000}"/>
    <hyperlink ref="E7" location="FALTAN!A38" display="FALTAN!A38" xr:uid="{00000000-0004-0000-0100-00000A000000}"/>
    <hyperlink ref="D8" location="Capturados!A249" display="Capturados!A249" xr:uid="{00000000-0004-0000-0100-00000B000000}"/>
    <hyperlink ref="E8" location="FALTAN!A49" display="FALTAN!A49" xr:uid="{00000000-0004-0000-0100-00000C000000}"/>
    <hyperlink ref="E9" location="FALTAN!A98" display="FALTAN!A98" xr:uid="{00000000-0004-0000-0100-00000D000000}"/>
    <hyperlink ref="D10" location="Capturados!A251" display="Capturados!A251" xr:uid="{00000000-0004-0000-0100-00000E000000}"/>
    <hyperlink ref="E11" location="FALTAN!A99" display="FALTAN!A99" xr:uid="{00000000-0004-0000-0100-00000F000000}"/>
    <hyperlink ref="D12" location="Capturados!A252" display="Capturados!A252" xr:uid="{00000000-0004-0000-0100-000010000000}"/>
    <hyperlink ref="E12" location="FALTAN!A100" display="FALTAN!A100" xr:uid="{00000000-0004-0000-0100-000011000000}"/>
    <hyperlink ref="D13" location="Capturados!A254" display="Capturados!A254" xr:uid="{00000000-0004-0000-0100-000012000000}"/>
    <hyperlink ref="E13" location="FALTAN!A102" display="FALTAN!A102" xr:uid="{00000000-0004-0000-0100-000013000000}"/>
    <hyperlink ref="D14" location="Capturados!A279" display="Capturados!A279" xr:uid="{00000000-0004-0000-0100-000014000000}"/>
    <hyperlink ref="D15" location="Capturados!A281" display="Capturados!A281" xr:uid="{00000000-0004-0000-0100-000015000000}"/>
    <hyperlink ref="E15" location="FALTAN!A108" display="FALTAN!A108" xr:uid="{00000000-0004-0000-0100-000016000000}"/>
    <hyperlink ref="E16" location="FALTAN!A111" display="FALTAN!A111" xr:uid="{00000000-0004-0000-0100-000017000000}"/>
    <hyperlink ref="D17" location="Capturados!A288" display="Capturados!A288" xr:uid="{00000000-0004-0000-0100-000018000000}"/>
    <hyperlink ref="E17" location="FALTAN!A112" display="FALTAN!A112" xr:uid="{00000000-0004-0000-0100-000019000000}"/>
    <hyperlink ref="D19" location="Capturados!A289" display="Capturados!A289" xr:uid="{00000000-0004-0000-0100-00001A000000}"/>
    <hyperlink ref="E19" location="FALTAN!A113" display="FALTAN!A113" xr:uid="{00000000-0004-0000-0100-00001B000000}"/>
    <hyperlink ref="D20" location="Capturados!A315" display="Capturados!A315" xr:uid="{00000000-0004-0000-0100-00001C000000}"/>
    <hyperlink ref="E20" location="FALTAN!A128" display="FALTAN!A128" xr:uid="{00000000-0004-0000-0100-00001D000000}"/>
    <hyperlink ref="E21" location="FALTAN!A147" display="FALTAN!A147" xr:uid="{00000000-0004-0000-0100-00001E000000}"/>
    <hyperlink ref="D22" location="Capturados!A361" display="Capturados!A361" xr:uid="{00000000-0004-0000-0100-00001F000000}"/>
    <hyperlink ref="E22" location="FALTAN!A148" display="FALTAN!A148" xr:uid="{00000000-0004-0000-0100-000020000000}"/>
    <hyperlink ref="E23" location="FALTAN!A149" display="FALTAN!A149" xr:uid="{00000000-0004-0000-0100-000021000000}"/>
    <hyperlink ref="D25" location="Capturados!A363" display="Capturados!A363" xr:uid="{00000000-0004-0000-0100-000022000000}"/>
    <hyperlink ref="D26" location="Capturados!A364" display="Capturados!A364" xr:uid="{00000000-0004-0000-0100-000023000000}"/>
    <hyperlink ref="E28" location="FALTAN!A98" display="FALTAN!A98" xr:uid="{BAE5C0F3-4054-4EA6-840D-0E2C10DD085D}"/>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showGridLines="0" showRowColHeaders="0" workbookViewId="0"/>
  </sheetViews>
  <sheetFormatPr baseColWidth="10" defaultColWidth="8.88671875" defaultRowHeight="14.4" x14ac:dyDescent="0.3"/>
  <cols>
    <col min="1" max="1" width="43" customWidth="1"/>
    <col min="2" max="3" width="18" customWidth="1"/>
    <col min="4" max="4" width="23" customWidth="1"/>
    <col min="5" max="5" width="14" customWidth="1"/>
  </cols>
  <sheetData>
    <row r="1" spans="1:5" ht="30" customHeight="1" x14ac:dyDescent="0.3">
      <c r="A1" s="1" t="s">
        <v>0</v>
      </c>
      <c r="B1" s="2"/>
      <c r="C1" s="2"/>
      <c r="D1" s="2"/>
      <c r="E1" s="3" t="s">
        <v>1</v>
      </c>
    </row>
    <row r="2" spans="1:5" ht="25.05" customHeight="1" x14ac:dyDescent="0.3">
      <c r="A2" s="4" t="s">
        <v>2</v>
      </c>
      <c r="B2" s="5" t="s">
        <v>36</v>
      </c>
      <c r="C2" s="5" t="s">
        <v>37</v>
      </c>
      <c r="D2" s="5" t="s">
        <v>38</v>
      </c>
      <c r="E2" s="5" t="s">
        <v>39</v>
      </c>
    </row>
    <row r="3" spans="1:5" x14ac:dyDescent="0.3">
      <c r="A3" s="6" t="s">
        <v>8</v>
      </c>
      <c r="B3" s="7">
        <v>1</v>
      </c>
      <c r="C3" s="7">
        <v>1</v>
      </c>
      <c r="D3" s="7">
        <v>0</v>
      </c>
      <c r="E3" s="7" t="s">
        <v>40</v>
      </c>
    </row>
    <row r="4" spans="1:5" ht="15.6" x14ac:dyDescent="0.3">
      <c r="A4" s="6" t="s">
        <v>9</v>
      </c>
      <c r="B4" s="7">
        <v>124</v>
      </c>
      <c r="C4" s="7">
        <v>118</v>
      </c>
      <c r="D4" s="12">
        <v>6</v>
      </c>
      <c r="E4" s="7" t="s">
        <v>41</v>
      </c>
    </row>
    <row r="5" spans="1:5" x14ac:dyDescent="0.3">
      <c r="A5" s="6" t="s">
        <v>10</v>
      </c>
      <c r="B5" s="7">
        <v>39</v>
      </c>
      <c r="C5" s="7">
        <v>39</v>
      </c>
      <c r="D5" s="7">
        <v>0</v>
      </c>
      <c r="E5" s="7" t="s">
        <v>40</v>
      </c>
    </row>
    <row r="6" spans="1:5" x14ac:dyDescent="0.3">
      <c r="A6" s="6" t="s">
        <v>11</v>
      </c>
      <c r="B6" s="7">
        <v>1</v>
      </c>
      <c r="C6" s="7">
        <v>1</v>
      </c>
      <c r="D6" s="7">
        <v>0</v>
      </c>
      <c r="E6" s="7" t="s">
        <v>40</v>
      </c>
    </row>
    <row r="7" spans="1:5" x14ac:dyDescent="0.3">
      <c r="A7" s="6" t="s">
        <v>12</v>
      </c>
      <c r="B7" s="7">
        <v>86</v>
      </c>
      <c r="C7" s="7">
        <v>86</v>
      </c>
      <c r="D7" s="7">
        <v>0</v>
      </c>
      <c r="E7" s="7" t="s">
        <v>40</v>
      </c>
    </row>
    <row r="8" spans="1:5" x14ac:dyDescent="0.3">
      <c r="A8" s="6" t="s">
        <v>13</v>
      </c>
      <c r="B8" s="7">
        <v>48</v>
      </c>
      <c r="C8" s="7">
        <v>48</v>
      </c>
      <c r="D8" s="7">
        <v>0</v>
      </c>
      <c r="E8" s="7" t="s">
        <v>40</v>
      </c>
    </row>
    <row r="9" spans="1:5" x14ac:dyDescent="0.3">
      <c r="A9" s="6" t="s">
        <v>14</v>
      </c>
      <c r="B9" s="7">
        <v>3</v>
      </c>
      <c r="C9" s="7">
        <v>3</v>
      </c>
      <c r="D9" s="7">
        <v>0</v>
      </c>
      <c r="E9" s="7" t="s">
        <v>40</v>
      </c>
    </row>
    <row r="10" spans="1:5" ht="15.6" x14ac:dyDescent="0.3">
      <c r="A10" s="6" t="s">
        <v>15</v>
      </c>
      <c r="B10" s="7">
        <v>65</v>
      </c>
      <c r="C10" s="7">
        <v>47</v>
      </c>
      <c r="D10" s="12">
        <v>18</v>
      </c>
      <c r="E10" s="7" t="s">
        <v>42</v>
      </c>
    </row>
    <row r="11" spans="1:5" x14ac:dyDescent="0.3">
      <c r="A11" s="6" t="s">
        <v>16</v>
      </c>
      <c r="B11" s="7">
        <v>1</v>
      </c>
      <c r="C11" s="7">
        <v>1</v>
      </c>
      <c r="D11" s="7">
        <v>0</v>
      </c>
      <c r="E11" s="7" t="s">
        <v>40</v>
      </c>
    </row>
    <row r="12" spans="1:5" x14ac:dyDescent="0.3">
      <c r="A12" s="6" t="s">
        <v>17</v>
      </c>
      <c r="B12" s="7">
        <v>1</v>
      </c>
      <c r="C12" s="7">
        <v>1</v>
      </c>
      <c r="D12" s="7">
        <v>0</v>
      </c>
      <c r="E12" s="7" t="s">
        <v>40</v>
      </c>
    </row>
    <row r="13" spans="1:5" x14ac:dyDescent="0.3">
      <c r="A13" s="6" t="s">
        <v>18</v>
      </c>
      <c r="B13" s="7">
        <v>1</v>
      </c>
      <c r="C13" s="7">
        <v>1</v>
      </c>
      <c r="D13" s="7">
        <v>0</v>
      </c>
      <c r="E13" s="7" t="s">
        <v>40</v>
      </c>
    </row>
    <row r="14" spans="1:5" x14ac:dyDescent="0.3">
      <c r="A14" s="6" t="s">
        <v>19</v>
      </c>
      <c r="B14" s="7">
        <v>4</v>
      </c>
      <c r="C14" s="7">
        <v>4</v>
      </c>
      <c r="D14" s="7">
        <v>0</v>
      </c>
      <c r="E14" s="7" t="s">
        <v>40</v>
      </c>
    </row>
    <row r="15" spans="1:5" x14ac:dyDescent="0.3">
      <c r="A15" s="6" t="s">
        <v>20</v>
      </c>
      <c r="B15" s="7">
        <v>30</v>
      </c>
      <c r="C15" s="7">
        <v>30</v>
      </c>
      <c r="D15" s="7">
        <v>0</v>
      </c>
      <c r="E15" s="7" t="s">
        <v>40</v>
      </c>
    </row>
    <row r="16" spans="1:5" x14ac:dyDescent="0.3">
      <c r="A16" s="6" t="s">
        <v>21</v>
      </c>
      <c r="B16" s="7">
        <v>2</v>
      </c>
      <c r="C16" s="7">
        <v>2</v>
      </c>
      <c r="D16" s="7">
        <v>0</v>
      </c>
      <c r="E16" s="7" t="s">
        <v>40</v>
      </c>
    </row>
    <row r="17" spans="1:5" x14ac:dyDescent="0.3">
      <c r="A17" s="6" t="s">
        <v>22</v>
      </c>
      <c r="B17" s="7">
        <v>8</v>
      </c>
      <c r="C17" s="7">
        <v>8</v>
      </c>
      <c r="D17" s="7">
        <v>0</v>
      </c>
      <c r="E17" s="7" t="s">
        <v>40</v>
      </c>
    </row>
    <row r="18" spans="1:5" x14ac:dyDescent="0.3">
      <c r="A18" s="6" t="s">
        <v>23</v>
      </c>
      <c r="B18" s="7">
        <v>1</v>
      </c>
      <c r="C18" s="7">
        <v>1</v>
      </c>
      <c r="D18" s="7">
        <v>0</v>
      </c>
      <c r="E18" s="7" t="s">
        <v>40</v>
      </c>
    </row>
    <row r="19" spans="1:5" x14ac:dyDescent="0.3">
      <c r="A19" s="6" t="s">
        <v>24</v>
      </c>
      <c r="B19" s="7">
        <v>2</v>
      </c>
      <c r="C19" s="7">
        <v>2</v>
      </c>
      <c r="D19" s="7">
        <v>0</v>
      </c>
      <c r="E19" s="7" t="s">
        <v>40</v>
      </c>
    </row>
    <row r="20" spans="1:5" x14ac:dyDescent="0.3">
      <c r="A20" s="6" t="s">
        <v>26</v>
      </c>
      <c r="B20" s="7">
        <v>41</v>
      </c>
      <c r="C20" s="7">
        <v>41</v>
      </c>
      <c r="D20" s="7">
        <v>0</v>
      </c>
      <c r="E20" s="7" t="s">
        <v>40</v>
      </c>
    </row>
    <row r="21" spans="1:5" x14ac:dyDescent="0.3">
      <c r="A21" s="6" t="s">
        <v>27</v>
      </c>
      <c r="B21" s="7">
        <v>51</v>
      </c>
      <c r="C21" s="7">
        <v>51</v>
      </c>
      <c r="D21" s="7">
        <v>0</v>
      </c>
      <c r="E21" s="7" t="s">
        <v>40</v>
      </c>
    </row>
    <row r="22" spans="1:5" x14ac:dyDescent="0.3">
      <c r="A22" s="6" t="s">
        <v>28</v>
      </c>
      <c r="B22" s="7">
        <v>14</v>
      </c>
      <c r="C22" s="7">
        <v>14</v>
      </c>
      <c r="D22" s="7">
        <v>0</v>
      </c>
      <c r="E22" s="7" t="s">
        <v>40</v>
      </c>
    </row>
    <row r="23" spans="1:5" x14ac:dyDescent="0.3">
      <c r="A23" s="6" t="s">
        <v>29</v>
      </c>
      <c r="B23" s="7">
        <v>1</v>
      </c>
      <c r="C23" s="7">
        <v>1</v>
      </c>
      <c r="D23" s="7">
        <v>0</v>
      </c>
      <c r="E23" s="7" t="s">
        <v>40</v>
      </c>
    </row>
    <row r="24" spans="1:5" x14ac:dyDescent="0.3">
      <c r="A24" s="6" t="s">
        <v>30</v>
      </c>
      <c r="B24" s="7">
        <v>3</v>
      </c>
      <c r="C24" s="7">
        <v>3</v>
      </c>
      <c r="D24" s="7">
        <v>0</v>
      </c>
      <c r="E24" s="7" t="s">
        <v>40</v>
      </c>
    </row>
    <row r="25" spans="1:5" x14ac:dyDescent="0.3">
      <c r="A25" s="6" t="s">
        <v>31</v>
      </c>
      <c r="B25" s="7">
        <v>1</v>
      </c>
      <c r="C25" s="7">
        <v>1</v>
      </c>
      <c r="D25" s="7">
        <v>0</v>
      </c>
      <c r="E25" s="7" t="s">
        <v>40</v>
      </c>
    </row>
    <row r="26" spans="1:5" x14ac:dyDescent="0.3">
      <c r="A26" s="6" t="s">
        <v>33</v>
      </c>
      <c r="B26" s="7">
        <v>1</v>
      </c>
      <c r="C26" s="7">
        <v>1</v>
      </c>
      <c r="D26" s="7">
        <v>0</v>
      </c>
      <c r="E26" s="7" t="s">
        <v>40</v>
      </c>
    </row>
    <row r="27" spans="1:5" x14ac:dyDescent="0.3">
      <c r="A27" s="6" t="s">
        <v>34</v>
      </c>
      <c r="B27" s="7">
        <v>1</v>
      </c>
      <c r="C27" s="7">
        <v>1</v>
      </c>
      <c r="D27" s="7">
        <v>0</v>
      </c>
      <c r="E27" s="7" t="s">
        <v>40</v>
      </c>
    </row>
    <row r="28" spans="1:5" ht="15" x14ac:dyDescent="0.3">
      <c r="A28" s="10" t="s">
        <v>35</v>
      </c>
      <c r="B28" s="11">
        <v>530</v>
      </c>
      <c r="C28" s="11">
        <v>506</v>
      </c>
      <c r="D28" s="11">
        <v>24</v>
      </c>
      <c r="E28" s="11" t="s">
        <v>43</v>
      </c>
    </row>
  </sheetData>
  <hyperlinks>
    <hyperlink ref="A1" location="'Dashboard-R'!A1" display="⬅️ Dashboard Principal" xr:uid="{00000000-0004-0000-0200-000000000000}"/>
    <hyperlink ref="D3" location="Registros_Eliminados!A3" display="Registros_Eliminados!A3" xr:uid="{00000000-0004-0000-0200-000001000000}"/>
    <hyperlink ref="D9" location="Registros_Eliminados!A304" display="Registros_Eliminados!A304" xr:uid="{00000000-0004-0000-02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showGridLines="0" showRowColHeaders="0" workbookViewId="0"/>
  </sheetViews>
  <sheetFormatPr baseColWidth="10" defaultColWidth="8.88671875" defaultRowHeight="14.4" x14ac:dyDescent="0.3"/>
  <cols>
    <col min="1" max="1" width="35" customWidth="1"/>
    <col min="2" max="3" width="50" customWidth="1"/>
    <col min="4" max="4" width="19" customWidth="1"/>
    <col min="5" max="5" width="25" customWidth="1"/>
    <col min="6" max="6" width="32" customWidth="1"/>
    <col min="7" max="7" width="21" customWidth="1"/>
  </cols>
  <sheetData>
    <row r="1" spans="1:7" ht="30" customHeight="1" x14ac:dyDescent="0.3">
      <c r="A1" s="1" t="s">
        <v>0</v>
      </c>
      <c r="B1" s="2"/>
      <c r="C1" s="2"/>
      <c r="D1" s="2"/>
      <c r="E1" s="2"/>
      <c r="F1" s="2"/>
      <c r="G1" s="3" t="s">
        <v>1</v>
      </c>
    </row>
    <row r="2" spans="1:7" ht="25.05" customHeight="1" x14ac:dyDescent="0.3">
      <c r="A2" s="4" t="s">
        <v>44</v>
      </c>
      <c r="B2" s="5" t="s">
        <v>45</v>
      </c>
      <c r="C2" s="5" t="s">
        <v>2</v>
      </c>
      <c r="D2" s="5" t="s">
        <v>46</v>
      </c>
      <c r="E2" s="5" t="s">
        <v>47</v>
      </c>
      <c r="F2" s="5" t="s">
        <v>48</v>
      </c>
      <c r="G2" s="5" t="s">
        <v>49</v>
      </c>
    </row>
    <row r="3" spans="1:7" ht="15.6" x14ac:dyDescent="0.3">
      <c r="A3" s="6" t="s">
        <v>50</v>
      </c>
      <c r="B3" s="7" t="s">
        <v>51</v>
      </c>
      <c r="C3" s="7" t="s">
        <v>15</v>
      </c>
      <c r="D3" s="12">
        <v>7</v>
      </c>
      <c r="E3" s="7" t="s">
        <v>52</v>
      </c>
      <c r="F3" s="7" t="s">
        <v>53</v>
      </c>
      <c r="G3" s="7" t="s">
        <v>54</v>
      </c>
    </row>
    <row r="4" spans="1:7" ht="15.6" x14ac:dyDescent="0.3">
      <c r="A4" s="6" t="s">
        <v>55</v>
      </c>
      <c r="B4" s="7" t="s">
        <v>56</v>
      </c>
      <c r="C4" s="7" t="s">
        <v>15</v>
      </c>
      <c r="D4" s="12">
        <v>7</v>
      </c>
      <c r="E4" s="7" t="s">
        <v>57</v>
      </c>
      <c r="F4" s="7" t="s">
        <v>58</v>
      </c>
      <c r="G4" s="7" t="s">
        <v>54</v>
      </c>
    </row>
    <row r="5" spans="1:7" ht="15.6" x14ac:dyDescent="0.3">
      <c r="A5" s="6" t="s">
        <v>59</v>
      </c>
      <c r="B5" s="7" t="s">
        <v>60</v>
      </c>
      <c r="C5" s="7" t="s">
        <v>15</v>
      </c>
      <c r="D5" s="12">
        <v>5</v>
      </c>
      <c r="E5" s="7" t="s">
        <v>57</v>
      </c>
      <c r="F5" s="7" t="s">
        <v>61</v>
      </c>
      <c r="G5" s="7" t="s">
        <v>54</v>
      </c>
    </row>
    <row r="6" spans="1:7" ht="15.6" x14ac:dyDescent="0.3">
      <c r="A6" s="6" t="s">
        <v>62</v>
      </c>
      <c r="B6" s="7" t="s">
        <v>63</v>
      </c>
      <c r="C6" s="7" t="s">
        <v>15</v>
      </c>
      <c r="D6" s="12">
        <v>3</v>
      </c>
      <c r="E6" s="7" t="s">
        <v>64</v>
      </c>
      <c r="F6" s="7" t="s">
        <v>65</v>
      </c>
      <c r="G6" s="7" t="s">
        <v>54</v>
      </c>
    </row>
    <row r="7" spans="1:7" ht="15.6" x14ac:dyDescent="0.3">
      <c r="A7" s="6" t="s">
        <v>66</v>
      </c>
      <c r="B7" s="7" t="s">
        <v>67</v>
      </c>
      <c r="C7" s="7" t="s">
        <v>68</v>
      </c>
      <c r="D7" s="12">
        <v>3</v>
      </c>
      <c r="E7" s="7" t="s">
        <v>69</v>
      </c>
      <c r="F7" s="7" t="s">
        <v>70</v>
      </c>
      <c r="G7" s="7" t="s">
        <v>71</v>
      </c>
    </row>
    <row r="8" spans="1:7" ht="15.6" x14ac:dyDescent="0.3">
      <c r="A8" s="6" t="s">
        <v>72</v>
      </c>
      <c r="B8" s="7" t="s">
        <v>73</v>
      </c>
      <c r="C8" s="7" t="s">
        <v>9</v>
      </c>
      <c r="D8" s="12">
        <v>3</v>
      </c>
      <c r="E8" s="7" t="s">
        <v>74</v>
      </c>
      <c r="F8" s="7" t="s">
        <v>75</v>
      </c>
      <c r="G8" s="7" t="s">
        <v>71</v>
      </c>
    </row>
    <row r="9" spans="1:7" ht="15.6" x14ac:dyDescent="0.3">
      <c r="A9" s="6" t="s">
        <v>76</v>
      </c>
      <c r="B9" s="7" t="s">
        <v>77</v>
      </c>
      <c r="C9" s="7" t="s">
        <v>9</v>
      </c>
      <c r="D9" s="12">
        <v>3</v>
      </c>
      <c r="E9" s="7" t="s">
        <v>78</v>
      </c>
      <c r="F9" s="7" t="s">
        <v>79</v>
      </c>
      <c r="G9" s="7" t="s">
        <v>54</v>
      </c>
    </row>
    <row r="10" spans="1:7" ht="15.6" x14ac:dyDescent="0.3">
      <c r="A10" s="6" t="s">
        <v>80</v>
      </c>
      <c r="B10" s="7" t="s">
        <v>81</v>
      </c>
      <c r="C10" s="7" t="s">
        <v>9</v>
      </c>
      <c r="D10" s="12">
        <v>3</v>
      </c>
      <c r="E10" s="7" t="s">
        <v>82</v>
      </c>
      <c r="F10" s="7" t="s">
        <v>83</v>
      </c>
      <c r="G10" s="7" t="s">
        <v>54</v>
      </c>
    </row>
    <row r="11" spans="1:7" ht="15.6" x14ac:dyDescent="0.3">
      <c r="A11" s="6" t="s">
        <v>84</v>
      </c>
      <c r="B11" s="7" t="s">
        <v>85</v>
      </c>
      <c r="C11" s="7" t="s">
        <v>86</v>
      </c>
      <c r="D11" s="12">
        <v>3</v>
      </c>
      <c r="E11" s="7" t="s">
        <v>87</v>
      </c>
      <c r="F11" s="7"/>
      <c r="G11" s="7" t="s">
        <v>71</v>
      </c>
    </row>
    <row r="12" spans="1:7" ht="15.6" x14ac:dyDescent="0.3">
      <c r="A12" s="6" t="s">
        <v>88</v>
      </c>
      <c r="B12" s="7" t="s">
        <v>89</v>
      </c>
      <c r="C12" s="7" t="s">
        <v>13</v>
      </c>
      <c r="D12" s="12">
        <v>2</v>
      </c>
      <c r="E12" s="7" t="s">
        <v>90</v>
      </c>
      <c r="F12" s="7" t="s">
        <v>91</v>
      </c>
      <c r="G12" s="7" t="s">
        <v>71</v>
      </c>
    </row>
    <row r="13" spans="1:7" ht="15.6" x14ac:dyDescent="0.3">
      <c r="A13" s="6" t="s">
        <v>92</v>
      </c>
      <c r="B13" s="7" t="s">
        <v>93</v>
      </c>
      <c r="C13" s="7" t="s">
        <v>12</v>
      </c>
      <c r="D13" s="12">
        <v>2</v>
      </c>
      <c r="E13" s="7" t="s">
        <v>94</v>
      </c>
      <c r="F13" s="7" t="s">
        <v>95</v>
      </c>
      <c r="G13" s="7" t="s">
        <v>71</v>
      </c>
    </row>
    <row r="14" spans="1:7" ht="15.6" x14ac:dyDescent="0.3">
      <c r="A14" s="6" t="s">
        <v>96</v>
      </c>
      <c r="B14" s="7" t="s">
        <v>97</v>
      </c>
      <c r="C14" s="7" t="s">
        <v>98</v>
      </c>
      <c r="D14" s="12">
        <v>2</v>
      </c>
      <c r="E14" s="7" t="s">
        <v>99</v>
      </c>
      <c r="F14" s="7" t="s">
        <v>100</v>
      </c>
      <c r="G14" s="7" t="s">
        <v>71</v>
      </c>
    </row>
    <row r="15" spans="1:7" ht="15.6" x14ac:dyDescent="0.3">
      <c r="A15" s="6" t="s">
        <v>101</v>
      </c>
      <c r="B15" s="7" t="s">
        <v>102</v>
      </c>
      <c r="C15" s="7" t="s">
        <v>12</v>
      </c>
      <c r="D15" s="12">
        <v>2</v>
      </c>
      <c r="E15" s="7" t="s">
        <v>74</v>
      </c>
      <c r="F15" s="7" t="s">
        <v>103</v>
      </c>
      <c r="G15" s="7" t="s">
        <v>71</v>
      </c>
    </row>
    <row r="16" spans="1:7" ht="15.6" x14ac:dyDescent="0.3">
      <c r="A16" s="6" t="s">
        <v>104</v>
      </c>
      <c r="B16" s="7" t="s">
        <v>105</v>
      </c>
      <c r="C16" s="7" t="s">
        <v>9</v>
      </c>
      <c r="D16" s="12">
        <v>2</v>
      </c>
      <c r="E16" s="7" t="s">
        <v>106</v>
      </c>
      <c r="F16" s="7" t="s">
        <v>107</v>
      </c>
      <c r="G16" s="7" t="s">
        <v>54</v>
      </c>
    </row>
    <row r="17" spans="1:7" ht="15.6" x14ac:dyDescent="0.3">
      <c r="A17" s="6" t="s">
        <v>108</v>
      </c>
      <c r="B17" s="7" t="s">
        <v>109</v>
      </c>
      <c r="C17" s="7" t="s">
        <v>110</v>
      </c>
      <c r="D17" s="12">
        <v>2</v>
      </c>
      <c r="E17" s="7" t="s">
        <v>111</v>
      </c>
      <c r="F17" s="7"/>
      <c r="G17" s="7" t="s">
        <v>54</v>
      </c>
    </row>
    <row r="18" spans="1:7" ht="15.6" x14ac:dyDescent="0.3">
      <c r="A18" s="6" t="s">
        <v>112</v>
      </c>
      <c r="B18" s="7" t="s">
        <v>113</v>
      </c>
      <c r="C18" s="7" t="s">
        <v>114</v>
      </c>
      <c r="D18" s="12">
        <v>2</v>
      </c>
      <c r="E18" s="7" t="s">
        <v>115</v>
      </c>
      <c r="F18" s="7" t="s">
        <v>116</v>
      </c>
      <c r="G18" s="7" t="s">
        <v>71</v>
      </c>
    </row>
  </sheetData>
  <hyperlinks>
    <hyperlink ref="A1" location="'Dashboard-R'!A1" display="⬅️ Dashboard Principal" xr:uid="{00000000-0004-0000-0300-000000000000}"/>
    <hyperlink ref="D2" location="Detalle_Duplicados!A47" display="Veces que aparece" xr:uid="{00000000-0004-0000-0300-000001000000}"/>
    <hyperlink ref="D3" location="Detalle_Duplicados!A59" display="Detalle_Duplicados!A59" xr:uid="{00000000-0004-0000-0300-000002000000}"/>
    <hyperlink ref="D4" location="Detalle_Duplicados!A76" display="Detalle_Duplicados!A76" xr:uid="{00000000-0004-0000-0300-000003000000}"/>
    <hyperlink ref="D5" location="Detalle_Duplicados!A71" display="Detalle_Duplicados!A71" xr:uid="{00000000-0004-0000-0300-000004000000}"/>
    <hyperlink ref="D6" location="Detalle_Duplicados!A372" display="Detalle_Duplicados!A372" xr:uid="{00000000-0004-0000-0300-000005000000}"/>
    <hyperlink ref="D7" location="Detalle_Duplicados!A271" display="Detalle_Duplicados!A271" xr:uid="{00000000-0004-0000-0300-000006000000}"/>
    <hyperlink ref="D8" location="Detalle_Duplicados!A257" display="Detalle_Duplicados!A257" xr:uid="{00000000-0004-0000-0300-000007000000}"/>
    <hyperlink ref="D9" location="Detalle_Duplicados!A248" display="Detalle_Duplicados!A248" xr:uid="{00000000-0004-0000-0300-000008000000}"/>
    <hyperlink ref="D10" location="Detalle_Duplicados!A471" display="Detalle_Duplicados!A471" xr:uid="{00000000-0004-0000-0300-000009000000}"/>
    <hyperlink ref="D11" location="Detalle_Duplicados!A103" display="Detalle_Duplicados!A103" xr:uid="{00000000-0004-0000-0300-00000A000000}"/>
    <hyperlink ref="D12" location="Detalle_Duplicados!A92" display="Detalle_Duplicados!A92" xr:uid="{00000000-0004-0000-0300-00000B000000}"/>
    <hyperlink ref="D13" location="Detalle_Duplicados!A84" display="Detalle_Duplicados!A84" xr:uid="{00000000-0004-0000-0300-00000C000000}"/>
    <hyperlink ref="D14" location="Detalle_Duplicados!A149" display="Detalle_Duplicados!A149" xr:uid="{00000000-0004-0000-0300-00000D000000}"/>
    <hyperlink ref="D15" location="Detalle_Duplicados!A336" display="Detalle_Duplicados!A336" xr:uid="{00000000-0004-0000-0300-00000E000000}"/>
    <hyperlink ref="D16" location="Detalle_Duplicados!A370" display="Detalle_Duplicados!A370" xr:uid="{00000000-0004-0000-0300-00000F000000}"/>
    <hyperlink ref="D17" location="Detalle_Duplicados!A469" display="Detalle_Duplicados!A469" xr:uid="{00000000-0004-0000-0300-00001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65"/>
  <sheetViews>
    <sheetView showGridLines="0" showRowColHeaders="0" workbookViewId="0"/>
  </sheetViews>
  <sheetFormatPr baseColWidth="10" defaultColWidth="8.88671875" defaultRowHeight="14.4" x14ac:dyDescent="0.3"/>
  <cols>
    <col min="1" max="1" width="13" customWidth="1"/>
    <col min="2" max="2" width="8" customWidth="1"/>
    <col min="3" max="3" width="9" customWidth="1"/>
    <col min="4" max="4" width="19" customWidth="1"/>
    <col min="5" max="6" width="23" customWidth="1"/>
    <col min="7" max="7" width="50" customWidth="1"/>
    <col min="8" max="8" width="16" customWidth="1"/>
    <col min="9" max="9" width="40" customWidth="1"/>
    <col min="10" max="10" width="17" customWidth="1"/>
    <col min="11" max="11" width="14" customWidth="1"/>
    <col min="12" max="12" width="13" customWidth="1"/>
  </cols>
  <sheetData>
    <row r="1" spans="1:10" ht="30" customHeight="1" x14ac:dyDescent="0.3">
      <c r="A1" s="1" t="s">
        <v>0</v>
      </c>
      <c r="B1" s="2"/>
      <c r="C1" s="2"/>
      <c r="D1" s="2"/>
      <c r="E1" s="2"/>
      <c r="F1" s="2"/>
      <c r="G1" s="2"/>
      <c r="H1" s="2"/>
      <c r="I1" s="2"/>
      <c r="J1" s="3" t="s">
        <v>1</v>
      </c>
    </row>
    <row r="2" spans="1:10" ht="25.05" customHeight="1" x14ac:dyDescent="0.3">
      <c r="A2" s="4" t="s">
        <v>117</v>
      </c>
      <c r="B2" s="5" t="s">
        <v>118</v>
      </c>
      <c r="C2" s="5" t="s">
        <v>119</v>
      </c>
      <c r="D2" s="5" t="s">
        <v>120</v>
      </c>
      <c r="E2" s="5" t="s">
        <v>121</v>
      </c>
      <c r="F2" s="5" t="s">
        <v>122</v>
      </c>
      <c r="G2" s="5" t="s">
        <v>44</v>
      </c>
      <c r="H2" s="5" t="s">
        <v>123</v>
      </c>
      <c r="I2" s="5" t="s">
        <v>124</v>
      </c>
      <c r="J2" s="5" t="s">
        <v>125</v>
      </c>
    </row>
    <row r="3" spans="1:10" x14ac:dyDescent="0.3">
      <c r="A3" s="6" t="s">
        <v>126</v>
      </c>
      <c r="B3" s="7" t="s">
        <v>127</v>
      </c>
      <c r="C3" s="7" t="s">
        <v>128</v>
      </c>
      <c r="D3" s="7" t="s">
        <v>9</v>
      </c>
      <c r="E3" s="7" t="s">
        <v>129</v>
      </c>
      <c r="F3" s="7"/>
      <c r="G3" s="7" t="s">
        <v>130</v>
      </c>
      <c r="H3" s="7">
        <v>1</v>
      </c>
      <c r="I3" s="7" t="s">
        <v>131</v>
      </c>
      <c r="J3" s="7" t="s">
        <v>132</v>
      </c>
    </row>
    <row r="4" spans="1:10" x14ac:dyDescent="0.3">
      <c r="A4" s="6" t="s">
        <v>133</v>
      </c>
      <c r="B4" s="7" t="s">
        <v>127</v>
      </c>
      <c r="C4" s="7" t="s">
        <v>128</v>
      </c>
      <c r="D4" s="7" t="s">
        <v>9</v>
      </c>
      <c r="E4" s="7" t="s">
        <v>134</v>
      </c>
      <c r="F4" s="7" t="s">
        <v>135</v>
      </c>
      <c r="G4" s="7" t="s">
        <v>136</v>
      </c>
      <c r="H4" s="7">
        <v>3</v>
      </c>
      <c r="I4" s="7" t="s">
        <v>137</v>
      </c>
      <c r="J4" s="7" t="s">
        <v>138</v>
      </c>
    </row>
    <row r="5" spans="1:10" x14ac:dyDescent="0.3">
      <c r="A5" s="6" t="s">
        <v>139</v>
      </c>
      <c r="B5" s="7" t="s">
        <v>127</v>
      </c>
      <c r="C5" s="7" t="s">
        <v>128</v>
      </c>
      <c r="D5" s="7" t="s">
        <v>9</v>
      </c>
      <c r="E5" s="7" t="s">
        <v>140</v>
      </c>
      <c r="F5" s="7"/>
      <c r="G5" s="7" t="s">
        <v>141</v>
      </c>
      <c r="H5" s="7">
        <v>1</v>
      </c>
      <c r="I5" s="7" t="s">
        <v>142</v>
      </c>
      <c r="J5" s="7" t="s">
        <v>143</v>
      </c>
    </row>
    <row r="6" spans="1:10" x14ac:dyDescent="0.3">
      <c r="A6" s="6" t="s">
        <v>144</v>
      </c>
      <c r="B6" s="7" t="s">
        <v>127</v>
      </c>
      <c r="C6" s="7" t="s">
        <v>128</v>
      </c>
      <c r="D6" s="7" t="s">
        <v>9</v>
      </c>
      <c r="E6" s="7" t="s">
        <v>145</v>
      </c>
      <c r="F6" s="7" t="s">
        <v>146</v>
      </c>
      <c r="G6" s="7" t="s">
        <v>147</v>
      </c>
      <c r="H6" s="7">
        <v>4</v>
      </c>
      <c r="I6" s="7" t="s">
        <v>148</v>
      </c>
      <c r="J6" s="7" t="s">
        <v>149</v>
      </c>
    </row>
    <row r="7" spans="1:10" x14ac:dyDescent="0.3">
      <c r="A7" s="6" t="s">
        <v>150</v>
      </c>
      <c r="B7" s="7" t="s">
        <v>127</v>
      </c>
      <c r="C7" s="7" t="s">
        <v>128</v>
      </c>
      <c r="D7" s="7" t="s">
        <v>9</v>
      </c>
      <c r="E7" s="7" t="s">
        <v>151</v>
      </c>
      <c r="F7" s="7" t="s">
        <v>152</v>
      </c>
      <c r="G7" s="7" t="s">
        <v>153</v>
      </c>
      <c r="H7" s="7">
        <v>6</v>
      </c>
      <c r="I7" s="7" t="s">
        <v>154</v>
      </c>
      <c r="J7" s="7" t="s">
        <v>155</v>
      </c>
    </row>
    <row r="8" spans="1:10" x14ac:dyDescent="0.3">
      <c r="A8" s="6" t="s">
        <v>156</v>
      </c>
      <c r="B8" s="7" t="s">
        <v>127</v>
      </c>
      <c r="C8" s="7" t="s">
        <v>128</v>
      </c>
      <c r="D8" s="7" t="s">
        <v>9</v>
      </c>
      <c r="E8" s="7" t="s">
        <v>157</v>
      </c>
      <c r="F8" s="7" t="s">
        <v>158</v>
      </c>
      <c r="G8" s="7" t="s">
        <v>159</v>
      </c>
      <c r="H8" s="7">
        <v>21</v>
      </c>
      <c r="I8" s="7" t="s">
        <v>160</v>
      </c>
      <c r="J8" s="7" t="s">
        <v>161</v>
      </c>
    </row>
    <row r="9" spans="1:10" x14ac:dyDescent="0.3">
      <c r="A9" s="6" t="s">
        <v>162</v>
      </c>
      <c r="B9" s="7" t="s">
        <v>127</v>
      </c>
      <c r="C9" s="7" t="s">
        <v>128</v>
      </c>
      <c r="D9" s="7" t="s">
        <v>9</v>
      </c>
      <c r="E9" s="7" t="s">
        <v>163</v>
      </c>
      <c r="F9" s="7"/>
      <c r="G9" s="7" t="s">
        <v>164</v>
      </c>
      <c r="H9" s="7">
        <v>89</v>
      </c>
      <c r="I9" s="7" t="s">
        <v>165</v>
      </c>
      <c r="J9" s="7" t="s">
        <v>166</v>
      </c>
    </row>
    <row r="10" spans="1:10" x14ac:dyDescent="0.3">
      <c r="A10" s="6" t="s">
        <v>167</v>
      </c>
      <c r="B10" s="7" t="s">
        <v>127</v>
      </c>
      <c r="C10" s="7" t="s">
        <v>128</v>
      </c>
      <c r="D10" s="7" t="s">
        <v>9</v>
      </c>
      <c r="E10" s="7" t="s">
        <v>168</v>
      </c>
      <c r="F10" s="7"/>
      <c r="G10" s="7" t="s">
        <v>169</v>
      </c>
      <c r="H10" s="7">
        <v>39</v>
      </c>
      <c r="I10" s="7" t="s">
        <v>170</v>
      </c>
      <c r="J10" s="7" t="s">
        <v>171</v>
      </c>
    </row>
    <row r="11" spans="1:10" x14ac:dyDescent="0.3">
      <c r="A11" s="6" t="s">
        <v>172</v>
      </c>
      <c r="B11" s="7" t="s">
        <v>127</v>
      </c>
      <c r="C11" s="7" t="s">
        <v>128</v>
      </c>
      <c r="D11" s="7" t="s">
        <v>9</v>
      </c>
      <c r="E11" s="7" t="s">
        <v>173</v>
      </c>
      <c r="F11" s="7" t="s">
        <v>174</v>
      </c>
      <c r="G11" s="7" t="s">
        <v>175</v>
      </c>
      <c r="H11" s="7">
        <v>77</v>
      </c>
      <c r="I11" s="7" t="s">
        <v>176</v>
      </c>
      <c r="J11" s="7" t="s">
        <v>161</v>
      </c>
    </row>
    <row r="12" spans="1:10" x14ac:dyDescent="0.3">
      <c r="A12" s="6" t="s">
        <v>177</v>
      </c>
      <c r="B12" s="7" t="s">
        <v>127</v>
      </c>
      <c r="C12" s="7" t="s">
        <v>128</v>
      </c>
      <c r="D12" s="7" t="s">
        <v>9</v>
      </c>
      <c r="E12" s="7" t="s">
        <v>173</v>
      </c>
      <c r="F12" s="7" t="s">
        <v>174</v>
      </c>
      <c r="G12" s="7" t="s">
        <v>178</v>
      </c>
      <c r="H12" s="7">
        <v>11</v>
      </c>
      <c r="I12" s="7" t="s">
        <v>179</v>
      </c>
      <c r="J12" s="7" t="s">
        <v>180</v>
      </c>
    </row>
    <row r="13" spans="1:10" x14ac:dyDescent="0.3">
      <c r="A13" s="6" t="s">
        <v>181</v>
      </c>
      <c r="B13" s="7" t="s">
        <v>127</v>
      </c>
      <c r="C13" s="7" t="s">
        <v>128</v>
      </c>
      <c r="D13" s="7" t="s">
        <v>9</v>
      </c>
      <c r="E13" s="7" t="s">
        <v>182</v>
      </c>
      <c r="F13" s="7" t="s">
        <v>183</v>
      </c>
      <c r="G13" s="7" t="s">
        <v>184</v>
      </c>
      <c r="H13" s="7">
        <v>16</v>
      </c>
      <c r="I13" s="7" t="s">
        <v>154</v>
      </c>
      <c r="J13" s="7" t="s">
        <v>185</v>
      </c>
    </row>
    <row r="14" spans="1:10" x14ac:dyDescent="0.3">
      <c r="A14" s="6" t="s">
        <v>186</v>
      </c>
      <c r="B14" s="7" t="s">
        <v>127</v>
      </c>
      <c r="C14" s="7" t="s">
        <v>128</v>
      </c>
      <c r="D14" s="7" t="s">
        <v>9</v>
      </c>
      <c r="E14" s="7" t="s">
        <v>182</v>
      </c>
      <c r="F14" s="7" t="s">
        <v>183</v>
      </c>
      <c r="G14" s="7" t="s">
        <v>187</v>
      </c>
      <c r="H14" s="7">
        <v>3</v>
      </c>
      <c r="I14" s="7" t="s">
        <v>188</v>
      </c>
      <c r="J14" s="7" t="s">
        <v>189</v>
      </c>
    </row>
    <row r="15" spans="1:10" x14ac:dyDescent="0.3">
      <c r="A15" s="6" t="s">
        <v>190</v>
      </c>
      <c r="B15" s="7" t="s">
        <v>127</v>
      </c>
      <c r="C15" s="7" t="s">
        <v>128</v>
      </c>
      <c r="D15" s="7" t="s">
        <v>9</v>
      </c>
      <c r="E15" s="7" t="s">
        <v>182</v>
      </c>
      <c r="F15" s="7" t="s">
        <v>183</v>
      </c>
      <c r="G15" s="7" t="s">
        <v>191</v>
      </c>
      <c r="H15" s="7">
        <v>21</v>
      </c>
      <c r="I15" s="7" t="s">
        <v>131</v>
      </c>
      <c r="J15" s="7" t="s">
        <v>192</v>
      </c>
    </row>
    <row r="16" spans="1:10" x14ac:dyDescent="0.3">
      <c r="A16" s="6" t="s">
        <v>193</v>
      </c>
      <c r="B16" s="7" t="s">
        <v>127</v>
      </c>
      <c r="C16" s="7" t="s">
        <v>128</v>
      </c>
      <c r="D16" s="7" t="s">
        <v>9</v>
      </c>
      <c r="E16" s="7" t="s">
        <v>105</v>
      </c>
      <c r="F16" s="7" t="s">
        <v>194</v>
      </c>
      <c r="G16" s="7" t="s">
        <v>195</v>
      </c>
      <c r="H16" s="7">
        <v>10</v>
      </c>
      <c r="I16" s="7" t="s">
        <v>196</v>
      </c>
      <c r="J16" s="7" t="s">
        <v>197</v>
      </c>
    </row>
    <row r="17" spans="1:10" x14ac:dyDescent="0.3">
      <c r="A17" s="6" t="s">
        <v>198</v>
      </c>
      <c r="B17" s="7" t="s">
        <v>127</v>
      </c>
      <c r="C17" s="7" t="s">
        <v>128</v>
      </c>
      <c r="D17" s="7" t="s">
        <v>9</v>
      </c>
      <c r="E17" s="7" t="s">
        <v>105</v>
      </c>
      <c r="F17" s="7" t="s">
        <v>194</v>
      </c>
      <c r="G17" s="7" t="s">
        <v>104</v>
      </c>
      <c r="H17" s="7">
        <v>50</v>
      </c>
      <c r="I17" s="7" t="s">
        <v>78</v>
      </c>
      <c r="J17" s="7" t="s">
        <v>199</v>
      </c>
    </row>
    <row r="18" spans="1:10" x14ac:dyDescent="0.3">
      <c r="A18" s="6" t="s">
        <v>200</v>
      </c>
      <c r="B18" s="7" t="s">
        <v>127</v>
      </c>
      <c r="C18" s="7" t="s">
        <v>128</v>
      </c>
      <c r="D18" s="7" t="s">
        <v>9</v>
      </c>
      <c r="E18" s="7" t="s">
        <v>201</v>
      </c>
      <c r="F18" s="7" t="s">
        <v>202</v>
      </c>
      <c r="G18" s="7" t="s">
        <v>203</v>
      </c>
      <c r="H18" s="7">
        <v>14</v>
      </c>
      <c r="I18" s="7" t="s">
        <v>204</v>
      </c>
      <c r="J18" s="7" t="s">
        <v>161</v>
      </c>
    </row>
    <row r="19" spans="1:10" x14ac:dyDescent="0.3">
      <c r="A19" s="6" t="s">
        <v>205</v>
      </c>
      <c r="B19" s="7" t="s">
        <v>127</v>
      </c>
      <c r="C19" s="7" t="s">
        <v>128</v>
      </c>
      <c r="D19" s="7" t="s">
        <v>9</v>
      </c>
      <c r="E19" s="7" t="s">
        <v>206</v>
      </c>
      <c r="F19" s="7"/>
      <c r="G19" s="7" t="s">
        <v>207</v>
      </c>
      <c r="H19" s="7">
        <v>2</v>
      </c>
      <c r="I19" s="7" t="s">
        <v>208</v>
      </c>
      <c r="J19" s="7" t="s">
        <v>209</v>
      </c>
    </row>
    <row r="20" spans="1:10" x14ac:dyDescent="0.3">
      <c r="A20" s="6" t="s">
        <v>210</v>
      </c>
      <c r="B20" s="7" t="s">
        <v>127</v>
      </c>
      <c r="C20" s="7" t="s">
        <v>128</v>
      </c>
      <c r="D20" s="7" t="s">
        <v>9</v>
      </c>
      <c r="E20" s="7" t="s">
        <v>211</v>
      </c>
      <c r="F20" s="7" t="s">
        <v>212</v>
      </c>
      <c r="G20" s="7" t="s">
        <v>213</v>
      </c>
      <c r="H20" s="7">
        <v>11</v>
      </c>
      <c r="I20" s="7" t="s">
        <v>165</v>
      </c>
      <c r="J20" s="7" t="s">
        <v>143</v>
      </c>
    </row>
    <row r="21" spans="1:10" x14ac:dyDescent="0.3">
      <c r="A21" s="6" t="s">
        <v>214</v>
      </c>
      <c r="B21" s="7" t="s">
        <v>127</v>
      </c>
      <c r="C21" s="7" t="s">
        <v>128</v>
      </c>
      <c r="D21" s="7" t="s">
        <v>9</v>
      </c>
      <c r="E21" s="7" t="s">
        <v>215</v>
      </c>
      <c r="F21" s="7" t="s">
        <v>216</v>
      </c>
      <c r="G21" s="7" t="s">
        <v>217</v>
      </c>
      <c r="H21" s="7">
        <v>24</v>
      </c>
      <c r="I21" s="7" t="s">
        <v>78</v>
      </c>
      <c r="J21" s="7" t="s">
        <v>199</v>
      </c>
    </row>
    <row r="22" spans="1:10" x14ac:dyDescent="0.3">
      <c r="A22" s="6" t="s">
        <v>218</v>
      </c>
      <c r="B22" s="7" t="s">
        <v>127</v>
      </c>
      <c r="C22" s="7" t="s">
        <v>128</v>
      </c>
      <c r="D22" s="7" t="s">
        <v>9</v>
      </c>
      <c r="E22" s="7" t="s">
        <v>219</v>
      </c>
      <c r="F22" s="7" t="s">
        <v>220</v>
      </c>
      <c r="G22" s="7" t="s">
        <v>221</v>
      </c>
      <c r="H22" s="7">
        <v>1</v>
      </c>
      <c r="I22" s="7" t="s">
        <v>222</v>
      </c>
      <c r="J22" s="7" t="s">
        <v>189</v>
      </c>
    </row>
    <row r="23" spans="1:10" x14ac:dyDescent="0.3">
      <c r="A23" s="6" t="s">
        <v>223</v>
      </c>
      <c r="B23" s="7" t="s">
        <v>127</v>
      </c>
      <c r="C23" s="7" t="s">
        <v>128</v>
      </c>
      <c r="D23" s="7" t="s">
        <v>9</v>
      </c>
      <c r="E23" s="7" t="s">
        <v>77</v>
      </c>
      <c r="F23" s="7" t="s">
        <v>224</v>
      </c>
      <c r="G23" s="7" t="s">
        <v>76</v>
      </c>
      <c r="H23" s="7">
        <v>4</v>
      </c>
      <c r="I23" s="7" t="s">
        <v>78</v>
      </c>
      <c r="J23" s="7" t="s">
        <v>199</v>
      </c>
    </row>
    <row r="24" spans="1:10" x14ac:dyDescent="0.3">
      <c r="A24" s="6" t="s">
        <v>225</v>
      </c>
      <c r="B24" s="7" t="s">
        <v>127</v>
      </c>
      <c r="C24" s="7" t="s">
        <v>128</v>
      </c>
      <c r="D24" s="7" t="s">
        <v>9</v>
      </c>
      <c r="E24" s="7" t="s">
        <v>77</v>
      </c>
      <c r="F24" s="7" t="s">
        <v>226</v>
      </c>
      <c r="G24" s="7" t="s">
        <v>227</v>
      </c>
      <c r="H24" s="7">
        <v>8</v>
      </c>
      <c r="I24" s="7" t="s">
        <v>78</v>
      </c>
      <c r="J24" s="7" t="s">
        <v>199</v>
      </c>
    </row>
    <row r="25" spans="1:10" x14ac:dyDescent="0.3">
      <c r="A25" s="6" t="s">
        <v>228</v>
      </c>
      <c r="B25" s="7" t="s">
        <v>127</v>
      </c>
      <c r="C25" s="7" t="s">
        <v>128</v>
      </c>
      <c r="D25" s="7" t="s">
        <v>9</v>
      </c>
      <c r="E25" s="7" t="s">
        <v>229</v>
      </c>
      <c r="F25" s="7" t="s">
        <v>230</v>
      </c>
      <c r="G25" s="7" t="s">
        <v>231</v>
      </c>
      <c r="H25" s="7">
        <v>7</v>
      </c>
      <c r="I25" s="7" t="s">
        <v>232</v>
      </c>
      <c r="J25" s="7" t="s">
        <v>233</v>
      </c>
    </row>
    <row r="26" spans="1:10" x14ac:dyDescent="0.3">
      <c r="A26" s="6" t="s">
        <v>234</v>
      </c>
      <c r="B26" s="7" t="s">
        <v>127</v>
      </c>
      <c r="C26" s="7" t="s">
        <v>128</v>
      </c>
      <c r="D26" s="7" t="s">
        <v>9</v>
      </c>
      <c r="E26" s="7" t="s">
        <v>235</v>
      </c>
      <c r="F26" s="7" t="s">
        <v>236</v>
      </c>
      <c r="G26" s="7" t="s">
        <v>237</v>
      </c>
      <c r="H26" s="7">
        <v>14</v>
      </c>
      <c r="I26" s="7" t="s">
        <v>238</v>
      </c>
      <c r="J26" s="7" t="s">
        <v>239</v>
      </c>
    </row>
    <row r="27" spans="1:10" x14ac:dyDescent="0.3">
      <c r="A27" s="6" t="s">
        <v>240</v>
      </c>
      <c r="B27" s="7" t="s">
        <v>127</v>
      </c>
      <c r="C27" s="7" t="s">
        <v>128</v>
      </c>
      <c r="D27" s="7" t="s">
        <v>9</v>
      </c>
      <c r="E27" s="7" t="s">
        <v>235</v>
      </c>
      <c r="F27" s="7" t="s">
        <v>236</v>
      </c>
      <c r="G27" s="7" t="s">
        <v>241</v>
      </c>
      <c r="H27" s="7">
        <v>15</v>
      </c>
      <c r="I27" s="7" t="s">
        <v>154</v>
      </c>
      <c r="J27" s="7" t="s">
        <v>242</v>
      </c>
    </row>
    <row r="28" spans="1:10" x14ac:dyDescent="0.3">
      <c r="A28" s="6" t="s">
        <v>243</v>
      </c>
      <c r="B28" s="7" t="s">
        <v>127</v>
      </c>
      <c r="C28" s="7" t="s">
        <v>128</v>
      </c>
      <c r="D28" s="7" t="s">
        <v>9</v>
      </c>
      <c r="E28" s="7" t="s">
        <v>244</v>
      </c>
      <c r="F28" s="7"/>
      <c r="G28" s="7" t="s">
        <v>245</v>
      </c>
      <c r="H28" s="7">
        <v>2</v>
      </c>
      <c r="I28" s="7" t="s">
        <v>165</v>
      </c>
      <c r="J28" s="7" t="s">
        <v>246</v>
      </c>
    </row>
    <row r="29" spans="1:10" x14ac:dyDescent="0.3">
      <c r="A29" s="6" t="s">
        <v>247</v>
      </c>
      <c r="B29" s="7" t="s">
        <v>127</v>
      </c>
      <c r="C29" s="7" t="s">
        <v>128</v>
      </c>
      <c r="D29" s="7" t="s">
        <v>9</v>
      </c>
      <c r="E29" s="7" t="s">
        <v>248</v>
      </c>
      <c r="F29" s="7"/>
      <c r="G29" s="7" t="s">
        <v>249</v>
      </c>
      <c r="H29" s="7">
        <v>6</v>
      </c>
      <c r="I29" s="7" t="s">
        <v>250</v>
      </c>
      <c r="J29" s="7" t="s">
        <v>251</v>
      </c>
    </row>
    <row r="30" spans="1:10" x14ac:dyDescent="0.3">
      <c r="A30" s="6" t="s">
        <v>252</v>
      </c>
      <c r="B30" s="7" t="s">
        <v>127</v>
      </c>
      <c r="C30" s="7" t="s">
        <v>128</v>
      </c>
      <c r="D30" s="7" t="s">
        <v>9</v>
      </c>
      <c r="E30" s="7" t="s">
        <v>253</v>
      </c>
      <c r="F30" s="7"/>
      <c r="G30" s="7" t="s">
        <v>254</v>
      </c>
      <c r="H30" s="7">
        <v>10</v>
      </c>
      <c r="I30" s="7" t="s">
        <v>255</v>
      </c>
      <c r="J30" s="7" t="s">
        <v>256</v>
      </c>
    </row>
    <row r="31" spans="1:10" x14ac:dyDescent="0.3">
      <c r="A31" s="6" t="s">
        <v>257</v>
      </c>
      <c r="B31" s="7" t="s">
        <v>127</v>
      </c>
      <c r="C31" s="7" t="s">
        <v>128</v>
      </c>
      <c r="D31" s="7" t="s">
        <v>9</v>
      </c>
      <c r="E31" s="7" t="s">
        <v>253</v>
      </c>
      <c r="F31" s="7"/>
      <c r="G31" s="7" t="s">
        <v>258</v>
      </c>
      <c r="H31" s="7">
        <v>25</v>
      </c>
      <c r="I31" s="7" t="s">
        <v>259</v>
      </c>
      <c r="J31" s="7" t="s">
        <v>260</v>
      </c>
    </row>
    <row r="32" spans="1:10" x14ac:dyDescent="0.3">
      <c r="A32" s="6" t="s">
        <v>261</v>
      </c>
      <c r="B32" s="7" t="s">
        <v>127</v>
      </c>
      <c r="C32" s="7" t="s">
        <v>128</v>
      </c>
      <c r="D32" s="7" t="s">
        <v>9</v>
      </c>
      <c r="E32" s="7" t="s">
        <v>262</v>
      </c>
      <c r="F32" s="7" t="s">
        <v>263</v>
      </c>
      <c r="G32" s="7" t="s">
        <v>264</v>
      </c>
      <c r="H32" s="7">
        <v>6</v>
      </c>
      <c r="I32" s="7" t="s">
        <v>265</v>
      </c>
      <c r="J32" s="7" t="s">
        <v>266</v>
      </c>
    </row>
    <row r="33" spans="1:10" x14ac:dyDescent="0.3">
      <c r="A33" s="6" t="s">
        <v>267</v>
      </c>
      <c r="B33" s="7" t="s">
        <v>127</v>
      </c>
      <c r="C33" s="7" t="s">
        <v>128</v>
      </c>
      <c r="D33" s="7" t="s">
        <v>9</v>
      </c>
      <c r="E33" s="7" t="s">
        <v>268</v>
      </c>
      <c r="F33" s="7"/>
      <c r="G33" s="7" t="s">
        <v>269</v>
      </c>
      <c r="H33" s="7">
        <v>5</v>
      </c>
      <c r="I33" s="7" t="s">
        <v>270</v>
      </c>
      <c r="J33" s="7" t="s">
        <v>271</v>
      </c>
    </row>
    <row r="34" spans="1:10" x14ac:dyDescent="0.3">
      <c r="A34" s="6" t="s">
        <v>272</v>
      </c>
      <c r="B34" s="7" t="s">
        <v>127</v>
      </c>
      <c r="C34" s="7" t="s">
        <v>128</v>
      </c>
      <c r="D34" s="7" t="s">
        <v>9</v>
      </c>
      <c r="E34" s="7" t="s">
        <v>273</v>
      </c>
      <c r="F34" s="7" t="s">
        <v>274</v>
      </c>
      <c r="G34" s="7" t="s">
        <v>275</v>
      </c>
      <c r="H34" s="7">
        <v>2</v>
      </c>
      <c r="I34" s="7" t="s">
        <v>99</v>
      </c>
      <c r="J34" s="7" t="s">
        <v>276</v>
      </c>
    </row>
    <row r="35" spans="1:10" x14ac:dyDescent="0.3">
      <c r="A35" s="6" t="s">
        <v>277</v>
      </c>
      <c r="B35" s="7" t="s">
        <v>127</v>
      </c>
      <c r="C35" s="7" t="s">
        <v>128</v>
      </c>
      <c r="D35" s="7" t="s">
        <v>9</v>
      </c>
      <c r="E35" s="7" t="s">
        <v>273</v>
      </c>
      <c r="F35" s="7" t="s">
        <v>274</v>
      </c>
      <c r="G35" s="7" t="s">
        <v>278</v>
      </c>
      <c r="H35" s="7">
        <v>6</v>
      </c>
      <c r="I35" s="7" t="s">
        <v>279</v>
      </c>
      <c r="J35" s="7" t="s">
        <v>280</v>
      </c>
    </row>
    <row r="36" spans="1:10" x14ac:dyDescent="0.3">
      <c r="A36" s="6" t="s">
        <v>281</v>
      </c>
      <c r="B36" s="7" t="s">
        <v>127</v>
      </c>
      <c r="C36" s="7" t="s">
        <v>128</v>
      </c>
      <c r="D36" s="7" t="s">
        <v>9</v>
      </c>
      <c r="E36" s="7" t="s">
        <v>282</v>
      </c>
      <c r="F36" s="7" t="s">
        <v>283</v>
      </c>
      <c r="G36" s="7" t="s">
        <v>284</v>
      </c>
      <c r="H36" s="7">
        <v>5</v>
      </c>
      <c r="I36" s="7" t="s">
        <v>285</v>
      </c>
      <c r="J36" s="7" t="s">
        <v>286</v>
      </c>
    </row>
    <row r="37" spans="1:10" x14ac:dyDescent="0.3">
      <c r="A37" s="6" t="s">
        <v>287</v>
      </c>
      <c r="B37" s="7" t="s">
        <v>127</v>
      </c>
      <c r="C37" s="7" t="s">
        <v>128</v>
      </c>
      <c r="D37" s="7" t="s">
        <v>9</v>
      </c>
      <c r="E37" s="7" t="s">
        <v>288</v>
      </c>
      <c r="F37" s="7"/>
      <c r="G37" s="7" t="s">
        <v>289</v>
      </c>
      <c r="H37" s="7">
        <v>20</v>
      </c>
      <c r="I37" s="7" t="s">
        <v>290</v>
      </c>
      <c r="J37" s="7" t="s">
        <v>189</v>
      </c>
    </row>
    <row r="38" spans="1:10" x14ac:dyDescent="0.3">
      <c r="A38" s="6" t="s">
        <v>291</v>
      </c>
      <c r="B38" s="7" t="s">
        <v>127</v>
      </c>
      <c r="C38" s="7" t="s">
        <v>128</v>
      </c>
      <c r="D38" s="7" t="s">
        <v>9</v>
      </c>
      <c r="E38" s="7" t="s">
        <v>292</v>
      </c>
      <c r="F38" s="7"/>
      <c r="G38" s="7" t="s">
        <v>293</v>
      </c>
      <c r="H38" s="7">
        <v>3</v>
      </c>
      <c r="I38" s="7" t="s">
        <v>82</v>
      </c>
      <c r="J38" s="7" t="s">
        <v>294</v>
      </c>
    </row>
    <row r="39" spans="1:10" x14ac:dyDescent="0.3">
      <c r="A39" s="6" t="s">
        <v>295</v>
      </c>
      <c r="B39" s="7" t="s">
        <v>127</v>
      </c>
      <c r="C39" s="7" t="s">
        <v>128</v>
      </c>
      <c r="D39" s="7" t="s">
        <v>9</v>
      </c>
      <c r="E39" s="7" t="s">
        <v>296</v>
      </c>
      <c r="F39" s="7" t="s">
        <v>297</v>
      </c>
      <c r="G39" s="7" t="s">
        <v>298</v>
      </c>
      <c r="H39" s="7">
        <v>8</v>
      </c>
      <c r="I39" s="7" t="s">
        <v>299</v>
      </c>
      <c r="J39" s="7" t="s">
        <v>300</v>
      </c>
    </row>
    <row r="40" spans="1:10" x14ac:dyDescent="0.3">
      <c r="A40" s="6" t="s">
        <v>301</v>
      </c>
      <c r="B40" s="7" t="s">
        <v>127</v>
      </c>
      <c r="C40" s="7" t="s">
        <v>128</v>
      </c>
      <c r="D40" s="7" t="s">
        <v>9</v>
      </c>
      <c r="E40" s="7" t="s">
        <v>296</v>
      </c>
      <c r="F40" s="7" t="s">
        <v>297</v>
      </c>
      <c r="G40" s="7" t="s">
        <v>302</v>
      </c>
      <c r="H40" s="7">
        <v>5</v>
      </c>
      <c r="I40" s="7" t="s">
        <v>303</v>
      </c>
      <c r="J40" s="7" t="s">
        <v>304</v>
      </c>
    </row>
    <row r="41" spans="1:10" x14ac:dyDescent="0.3">
      <c r="A41" s="6" t="s">
        <v>305</v>
      </c>
      <c r="B41" s="7" t="s">
        <v>127</v>
      </c>
      <c r="C41" s="7" t="s">
        <v>128</v>
      </c>
      <c r="D41" s="7" t="s">
        <v>9</v>
      </c>
      <c r="E41" s="7" t="s">
        <v>306</v>
      </c>
      <c r="F41" s="7"/>
      <c r="G41" s="7" t="s">
        <v>307</v>
      </c>
      <c r="H41" s="7">
        <v>3</v>
      </c>
      <c r="I41" s="7" t="s">
        <v>308</v>
      </c>
      <c r="J41" s="7" t="s">
        <v>309</v>
      </c>
    </row>
    <row r="42" spans="1:10" x14ac:dyDescent="0.3">
      <c r="A42" s="6" t="s">
        <v>310</v>
      </c>
      <c r="B42" s="7" t="s">
        <v>127</v>
      </c>
      <c r="C42" s="7" t="s">
        <v>128</v>
      </c>
      <c r="D42" s="7" t="s">
        <v>9</v>
      </c>
      <c r="E42" s="7" t="s">
        <v>311</v>
      </c>
      <c r="F42" s="7"/>
      <c r="G42" s="7" t="s">
        <v>312</v>
      </c>
      <c r="H42" s="7">
        <v>2</v>
      </c>
      <c r="I42" s="7" t="s">
        <v>313</v>
      </c>
      <c r="J42" s="7" t="s">
        <v>314</v>
      </c>
    </row>
    <row r="43" spans="1:10" x14ac:dyDescent="0.3">
      <c r="A43" s="6" t="s">
        <v>315</v>
      </c>
      <c r="B43" s="7" t="s">
        <v>127</v>
      </c>
      <c r="C43" s="7" t="s">
        <v>128</v>
      </c>
      <c r="D43" s="7" t="s">
        <v>9</v>
      </c>
      <c r="E43" s="7" t="s">
        <v>316</v>
      </c>
      <c r="F43" s="7"/>
      <c r="G43" s="7" t="s">
        <v>317</v>
      </c>
      <c r="H43" s="7">
        <v>12</v>
      </c>
      <c r="I43" s="7" t="s">
        <v>318</v>
      </c>
      <c r="J43" s="7" t="s">
        <v>319</v>
      </c>
    </row>
    <row r="44" spans="1:10" x14ac:dyDescent="0.3">
      <c r="A44" s="6" t="s">
        <v>320</v>
      </c>
      <c r="B44" s="7" t="s">
        <v>127</v>
      </c>
      <c r="C44" s="7" t="s">
        <v>128</v>
      </c>
      <c r="D44" s="7" t="s">
        <v>9</v>
      </c>
      <c r="E44" s="7" t="s">
        <v>321</v>
      </c>
      <c r="F44" s="7" t="s">
        <v>322</v>
      </c>
      <c r="G44" s="7" t="s">
        <v>323</v>
      </c>
      <c r="H44" s="7">
        <v>2</v>
      </c>
      <c r="I44" s="7" t="s">
        <v>324</v>
      </c>
      <c r="J44" s="7" t="s">
        <v>189</v>
      </c>
    </row>
    <row r="45" spans="1:10" x14ac:dyDescent="0.3">
      <c r="A45" s="6" t="s">
        <v>325</v>
      </c>
      <c r="B45" s="7" t="s">
        <v>127</v>
      </c>
      <c r="C45" s="7" t="s">
        <v>128</v>
      </c>
      <c r="D45" s="7" t="s">
        <v>9</v>
      </c>
      <c r="E45" s="7" t="s">
        <v>326</v>
      </c>
      <c r="F45" s="7"/>
      <c r="G45" s="7" t="s">
        <v>327</v>
      </c>
      <c r="H45" s="7">
        <v>5</v>
      </c>
      <c r="I45" s="7" t="s">
        <v>328</v>
      </c>
      <c r="J45" s="7" t="s">
        <v>143</v>
      </c>
    </row>
    <row r="46" spans="1:10" x14ac:dyDescent="0.3">
      <c r="A46" s="6" t="s">
        <v>329</v>
      </c>
      <c r="B46" s="7" t="s">
        <v>127</v>
      </c>
      <c r="C46" s="7" t="s">
        <v>128</v>
      </c>
      <c r="D46" s="7" t="s">
        <v>9</v>
      </c>
      <c r="E46" s="7" t="s">
        <v>330</v>
      </c>
      <c r="F46" s="7"/>
      <c r="G46" s="7" t="s">
        <v>331</v>
      </c>
      <c r="H46" s="7">
        <v>4</v>
      </c>
      <c r="I46" s="7" t="s">
        <v>270</v>
      </c>
      <c r="J46" s="7" t="s">
        <v>319</v>
      </c>
    </row>
    <row r="47" spans="1:10" x14ac:dyDescent="0.3">
      <c r="A47" s="6" t="s">
        <v>332</v>
      </c>
      <c r="B47" s="7" t="s">
        <v>127</v>
      </c>
      <c r="C47" s="7" t="s">
        <v>128</v>
      </c>
      <c r="D47" s="7" t="s">
        <v>9</v>
      </c>
      <c r="E47" s="7" t="s">
        <v>333</v>
      </c>
      <c r="F47" s="7" t="s">
        <v>334</v>
      </c>
      <c r="G47" s="7" t="s">
        <v>335</v>
      </c>
      <c r="H47" s="7">
        <v>13</v>
      </c>
      <c r="I47" s="7" t="s">
        <v>336</v>
      </c>
      <c r="J47" s="7" t="s">
        <v>161</v>
      </c>
    </row>
    <row r="48" spans="1:10" x14ac:dyDescent="0.3">
      <c r="A48" s="6" t="s">
        <v>337</v>
      </c>
      <c r="B48" s="7" t="s">
        <v>127</v>
      </c>
      <c r="C48" s="7" t="s">
        <v>128</v>
      </c>
      <c r="D48" s="7" t="s">
        <v>9</v>
      </c>
      <c r="E48" s="7" t="s">
        <v>333</v>
      </c>
      <c r="F48" s="7" t="s">
        <v>334</v>
      </c>
      <c r="G48" s="7" t="s">
        <v>338</v>
      </c>
      <c r="H48" s="7">
        <v>7</v>
      </c>
      <c r="I48" s="7" t="s">
        <v>339</v>
      </c>
      <c r="J48" s="7" t="s">
        <v>340</v>
      </c>
    </row>
    <row r="49" spans="1:10" x14ac:dyDescent="0.3">
      <c r="A49" s="6" t="s">
        <v>341</v>
      </c>
      <c r="B49" s="7" t="s">
        <v>127</v>
      </c>
      <c r="C49" s="7" t="s">
        <v>128</v>
      </c>
      <c r="D49" s="7" t="s">
        <v>9</v>
      </c>
      <c r="E49" s="7" t="s">
        <v>333</v>
      </c>
      <c r="F49" s="7" t="s">
        <v>334</v>
      </c>
      <c r="G49" s="7" t="s">
        <v>342</v>
      </c>
      <c r="H49" s="7">
        <v>12</v>
      </c>
      <c r="I49" s="7" t="s">
        <v>343</v>
      </c>
      <c r="J49" s="7" t="s">
        <v>344</v>
      </c>
    </row>
    <row r="50" spans="1:10" x14ac:dyDescent="0.3">
      <c r="A50" s="6" t="s">
        <v>345</v>
      </c>
      <c r="B50" s="7" t="s">
        <v>127</v>
      </c>
      <c r="C50" s="7" t="s">
        <v>128</v>
      </c>
      <c r="D50" s="7" t="s">
        <v>9</v>
      </c>
      <c r="E50" s="7" t="s">
        <v>333</v>
      </c>
      <c r="F50" s="7" t="s">
        <v>334</v>
      </c>
      <c r="G50" s="7" t="s">
        <v>346</v>
      </c>
      <c r="H50" s="7">
        <v>11</v>
      </c>
      <c r="I50" s="7" t="s">
        <v>347</v>
      </c>
      <c r="J50" s="7" t="s">
        <v>348</v>
      </c>
    </row>
    <row r="51" spans="1:10" x14ac:dyDescent="0.3">
      <c r="A51" s="6" t="s">
        <v>349</v>
      </c>
      <c r="B51" s="7" t="s">
        <v>127</v>
      </c>
      <c r="C51" s="7" t="s">
        <v>128</v>
      </c>
      <c r="D51" s="7" t="s">
        <v>9</v>
      </c>
      <c r="E51" s="7" t="s">
        <v>333</v>
      </c>
      <c r="F51" s="7" t="s">
        <v>334</v>
      </c>
      <c r="G51" s="7" t="s">
        <v>350</v>
      </c>
      <c r="H51" s="7">
        <v>9</v>
      </c>
      <c r="I51" s="7" t="s">
        <v>154</v>
      </c>
      <c r="J51" s="7" t="s">
        <v>189</v>
      </c>
    </row>
    <row r="52" spans="1:10" x14ac:dyDescent="0.3">
      <c r="A52" s="6" t="s">
        <v>351</v>
      </c>
      <c r="B52" s="7" t="s">
        <v>127</v>
      </c>
      <c r="C52" s="7" t="s">
        <v>128</v>
      </c>
      <c r="D52" s="7" t="s">
        <v>9</v>
      </c>
      <c r="E52" s="7" t="s">
        <v>333</v>
      </c>
      <c r="F52" s="7" t="s">
        <v>334</v>
      </c>
      <c r="G52" s="7" t="s">
        <v>352</v>
      </c>
      <c r="H52" s="7">
        <v>36</v>
      </c>
      <c r="I52" s="7" t="s">
        <v>270</v>
      </c>
      <c r="J52" s="7" t="s">
        <v>319</v>
      </c>
    </row>
    <row r="53" spans="1:10" x14ac:dyDescent="0.3">
      <c r="A53" s="6" t="s">
        <v>353</v>
      </c>
      <c r="B53" s="7" t="s">
        <v>127</v>
      </c>
      <c r="C53" s="7" t="s">
        <v>128</v>
      </c>
      <c r="D53" s="7" t="s">
        <v>9</v>
      </c>
      <c r="E53" s="7" t="s">
        <v>333</v>
      </c>
      <c r="F53" s="7" t="s">
        <v>334</v>
      </c>
      <c r="G53" s="7" t="s">
        <v>354</v>
      </c>
      <c r="H53" s="7">
        <v>10</v>
      </c>
      <c r="I53" s="7" t="s">
        <v>355</v>
      </c>
      <c r="J53" s="7" t="s">
        <v>356</v>
      </c>
    </row>
    <row r="54" spans="1:10" x14ac:dyDescent="0.3">
      <c r="A54" s="6" t="s">
        <v>357</v>
      </c>
      <c r="B54" s="7" t="s">
        <v>127</v>
      </c>
      <c r="C54" s="7" t="s">
        <v>128</v>
      </c>
      <c r="D54" s="7" t="s">
        <v>9</v>
      </c>
      <c r="E54" s="7" t="s">
        <v>358</v>
      </c>
      <c r="F54" s="7"/>
      <c r="G54" s="7" t="s">
        <v>359</v>
      </c>
      <c r="H54" s="7">
        <v>1</v>
      </c>
      <c r="I54" s="7" t="s">
        <v>360</v>
      </c>
      <c r="J54" s="7" t="s">
        <v>361</v>
      </c>
    </row>
    <row r="55" spans="1:10" x14ac:dyDescent="0.3">
      <c r="A55" s="6" t="s">
        <v>362</v>
      </c>
      <c r="B55" s="7" t="s">
        <v>127</v>
      </c>
      <c r="C55" s="7" t="s">
        <v>128</v>
      </c>
      <c r="D55" s="7" t="s">
        <v>9</v>
      </c>
      <c r="E55" s="7" t="s">
        <v>363</v>
      </c>
      <c r="F55" s="7" t="s">
        <v>364</v>
      </c>
      <c r="G55" s="7" t="s">
        <v>365</v>
      </c>
      <c r="H55" s="7">
        <v>37</v>
      </c>
      <c r="I55" s="7" t="s">
        <v>366</v>
      </c>
      <c r="J55" s="7" t="s">
        <v>367</v>
      </c>
    </row>
    <row r="56" spans="1:10" x14ac:dyDescent="0.3">
      <c r="A56" s="6" t="s">
        <v>368</v>
      </c>
      <c r="B56" s="7" t="s">
        <v>127</v>
      </c>
      <c r="C56" s="7" t="s">
        <v>128</v>
      </c>
      <c r="D56" s="7" t="s">
        <v>9</v>
      </c>
      <c r="E56" s="7" t="s">
        <v>363</v>
      </c>
      <c r="F56" s="7" t="s">
        <v>364</v>
      </c>
      <c r="G56" s="7" t="s">
        <v>369</v>
      </c>
      <c r="H56" s="7">
        <v>9</v>
      </c>
      <c r="I56" s="7" t="s">
        <v>370</v>
      </c>
      <c r="J56" s="7" t="s">
        <v>371</v>
      </c>
    </row>
    <row r="57" spans="1:10" x14ac:dyDescent="0.3">
      <c r="A57" s="6" t="s">
        <v>372</v>
      </c>
      <c r="B57" s="7" t="s">
        <v>127</v>
      </c>
      <c r="C57" s="7" t="s">
        <v>128</v>
      </c>
      <c r="D57" s="7" t="s">
        <v>9</v>
      </c>
      <c r="E57" s="7" t="s">
        <v>373</v>
      </c>
      <c r="F57" s="7"/>
      <c r="G57" s="7" t="s">
        <v>374</v>
      </c>
      <c r="H57" s="7">
        <v>12</v>
      </c>
      <c r="I57" s="7" t="s">
        <v>99</v>
      </c>
      <c r="J57" s="7" t="s">
        <v>375</v>
      </c>
    </row>
    <row r="58" spans="1:10" x14ac:dyDescent="0.3">
      <c r="A58" s="6" t="s">
        <v>376</v>
      </c>
      <c r="B58" s="7" t="s">
        <v>127</v>
      </c>
      <c r="C58" s="7" t="s">
        <v>128</v>
      </c>
      <c r="D58" s="7" t="s">
        <v>9</v>
      </c>
      <c r="E58" s="7" t="s">
        <v>81</v>
      </c>
      <c r="F58" s="7" t="s">
        <v>377</v>
      </c>
      <c r="G58" s="7" t="s">
        <v>378</v>
      </c>
      <c r="H58" s="7">
        <v>14</v>
      </c>
      <c r="I58" s="7" t="s">
        <v>379</v>
      </c>
      <c r="J58" s="7" t="s">
        <v>380</v>
      </c>
    </row>
    <row r="59" spans="1:10" x14ac:dyDescent="0.3">
      <c r="A59" s="6" t="s">
        <v>381</v>
      </c>
      <c r="B59" s="7" t="s">
        <v>127</v>
      </c>
      <c r="C59" s="7" t="s">
        <v>128</v>
      </c>
      <c r="D59" s="7" t="s">
        <v>9</v>
      </c>
      <c r="E59" s="7" t="s">
        <v>382</v>
      </c>
      <c r="F59" s="7" t="s">
        <v>383</v>
      </c>
      <c r="G59" s="7" t="s">
        <v>384</v>
      </c>
      <c r="H59" s="7">
        <v>32</v>
      </c>
      <c r="I59" s="7" t="s">
        <v>111</v>
      </c>
      <c r="J59" s="7" t="s">
        <v>294</v>
      </c>
    </row>
    <row r="60" spans="1:10" x14ac:dyDescent="0.3">
      <c r="A60" s="6" t="s">
        <v>385</v>
      </c>
      <c r="B60" s="7" t="s">
        <v>127</v>
      </c>
      <c r="C60" s="7" t="s">
        <v>128</v>
      </c>
      <c r="D60" s="7" t="s">
        <v>9</v>
      </c>
      <c r="E60" s="7" t="s">
        <v>386</v>
      </c>
      <c r="F60" s="7" t="s">
        <v>387</v>
      </c>
      <c r="G60" s="7" t="s">
        <v>388</v>
      </c>
      <c r="H60" s="7">
        <v>5</v>
      </c>
      <c r="I60" s="7" t="s">
        <v>389</v>
      </c>
      <c r="J60" s="7" t="s">
        <v>246</v>
      </c>
    </row>
    <row r="61" spans="1:10" x14ac:dyDescent="0.3">
      <c r="A61" s="6" t="s">
        <v>390</v>
      </c>
      <c r="B61" s="7" t="s">
        <v>127</v>
      </c>
      <c r="C61" s="7" t="s">
        <v>128</v>
      </c>
      <c r="D61" s="7" t="s">
        <v>9</v>
      </c>
      <c r="E61" s="7" t="s">
        <v>391</v>
      </c>
      <c r="F61" s="7" t="s">
        <v>392</v>
      </c>
      <c r="G61" s="7" t="s">
        <v>393</v>
      </c>
      <c r="H61" s="7">
        <v>2</v>
      </c>
      <c r="I61" s="7" t="s">
        <v>394</v>
      </c>
      <c r="J61" s="7" t="s">
        <v>189</v>
      </c>
    </row>
    <row r="62" spans="1:10" x14ac:dyDescent="0.3">
      <c r="A62" s="6" t="s">
        <v>395</v>
      </c>
      <c r="B62" s="7" t="s">
        <v>127</v>
      </c>
      <c r="C62" s="7" t="s">
        <v>128</v>
      </c>
      <c r="D62" s="7" t="s">
        <v>9</v>
      </c>
      <c r="E62" s="7" t="s">
        <v>396</v>
      </c>
      <c r="F62" s="7"/>
      <c r="G62" s="7" t="s">
        <v>397</v>
      </c>
      <c r="H62" s="7">
        <v>7</v>
      </c>
      <c r="I62" s="7" t="s">
        <v>131</v>
      </c>
      <c r="J62" s="7" t="s">
        <v>398</v>
      </c>
    </row>
    <row r="63" spans="1:10" x14ac:dyDescent="0.3">
      <c r="A63" s="6" t="s">
        <v>399</v>
      </c>
      <c r="B63" s="7" t="s">
        <v>127</v>
      </c>
      <c r="C63" s="7" t="s">
        <v>128</v>
      </c>
      <c r="D63" s="7" t="s">
        <v>9</v>
      </c>
      <c r="E63" s="7" t="s">
        <v>400</v>
      </c>
      <c r="F63" s="7" t="s">
        <v>401</v>
      </c>
      <c r="G63" s="7" t="s">
        <v>402</v>
      </c>
      <c r="H63" s="7">
        <v>47</v>
      </c>
      <c r="I63" s="7" t="s">
        <v>403</v>
      </c>
      <c r="J63" s="7" t="s">
        <v>404</v>
      </c>
    </row>
    <row r="64" spans="1:10" x14ac:dyDescent="0.3">
      <c r="A64" s="6" t="s">
        <v>405</v>
      </c>
      <c r="B64" s="7" t="s">
        <v>127</v>
      </c>
      <c r="C64" s="7" t="s">
        <v>128</v>
      </c>
      <c r="D64" s="7" t="s">
        <v>9</v>
      </c>
      <c r="E64" s="7" t="s">
        <v>400</v>
      </c>
      <c r="F64" s="7" t="s">
        <v>401</v>
      </c>
      <c r="G64" s="7" t="s">
        <v>406</v>
      </c>
      <c r="H64" s="7">
        <v>35</v>
      </c>
      <c r="I64" s="7" t="s">
        <v>407</v>
      </c>
      <c r="J64" s="7" t="s">
        <v>408</v>
      </c>
    </row>
    <row r="65" spans="1:10" x14ac:dyDescent="0.3">
      <c r="A65" s="6" t="s">
        <v>409</v>
      </c>
      <c r="B65" s="7" t="s">
        <v>127</v>
      </c>
      <c r="C65" s="7" t="s">
        <v>128</v>
      </c>
      <c r="D65" s="7" t="s">
        <v>9</v>
      </c>
      <c r="E65" s="7" t="s">
        <v>410</v>
      </c>
      <c r="F65" s="7" t="s">
        <v>411</v>
      </c>
      <c r="G65" s="7" t="s">
        <v>412</v>
      </c>
      <c r="H65" s="7">
        <v>9</v>
      </c>
      <c r="I65" s="7" t="s">
        <v>328</v>
      </c>
      <c r="J65" s="7" t="s">
        <v>166</v>
      </c>
    </row>
    <row r="66" spans="1:10" x14ac:dyDescent="0.3">
      <c r="A66" s="6" t="s">
        <v>413</v>
      </c>
      <c r="B66" s="7" t="s">
        <v>127</v>
      </c>
      <c r="C66" s="7" t="s">
        <v>128</v>
      </c>
      <c r="D66" s="7" t="s">
        <v>9</v>
      </c>
      <c r="E66" s="7" t="s">
        <v>414</v>
      </c>
      <c r="F66" s="7" t="s">
        <v>415</v>
      </c>
      <c r="G66" s="7" t="s">
        <v>416</v>
      </c>
      <c r="H66" s="7">
        <v>64</v>
      </c>
      <c r="I66" s="7" t="s">
        <v>417</v>
      </c>
      <c r="J66" s="7" t="s">
        <v>418</v>
      </c>
    </row>
    <row r="67" spans="1:10" x14ac:dyDescent="0.3">
      <c r="A67" s="6" t="s">
        <v>419</v>
      </c>
      <c r="B67" s="7" t="s">
        <v>127</v>
      </c>
      <c r="C67" s="7" t="s">
        <v>128</v>
      </c>
      <c r="D67" s="7" t="s">
        <v>9</v>
      </c>
      <c r="E67" s="7" t="s">
        <v>420</v>
      </c>
      <c r="F67" s="7" t="s">
        <v>421</v>
      </c>
      <c r="G67" s="7" t="s">
        <v>422</v>
      </c>
      <c r="H67" s="7">
        <v>3</v>
      </c>
      <c r="I67" s="7" t="s">
        <v>423</v>
      </c>
      <c r="J67" s="7" t="s">
        <v>424</v>
      </c>
    </row>
    <row r="68" spans="1:10" x14ac:dyDescent="0.3">
      <c r="A68" s="6" t="s">
        <v>425</v>
      </c>
      <c r="B68" s="7" t="s">
        <v>127</v>
      </c>
      <c r="C68" s="7" t="s">
        <v>128</v>
      </c>
      <c r="D68" s="7" t="s">
        <v>9</v>
      </c>
      <c r="E68" s="7" t="s">
        <v>426</v>
      </c>
      <c r="F68" s="7"/>
      <c r="G68" s="7" t="s">
        <v>427</v>
      </c>
      <c r="H68" s="7">
        <v>16</v>
      </c>
      <c r="I68" s="7" t="s">
        <v>148</v>
      </c>
      <c r="J68" s="7" t="s">
        <v>149</v>
      </c>
    </row>
    <row r="69" spans="1:10" x14ac:dyDescent="0.3">
      <c r="A69" s="6" t="s">
        <v>428</v>
      </c>
      <c r="B69" s="7" t="s">
        <v>127</v>
      </c>
      <c r="C69" s="7" t="s">
        <v>128</v>
      </c>
      <c r="D69" s="7" t="s">
        <v>9</v>
      </c>
      <c r="E69" s="7" t="s">
        <v>429</v>
      </c>
      <c r="F69" s="7" t="s">
        <v>430</v>
      </c>
      <c r="G69" s="7" t="s">
        <v>72</v>
      </c>
      <c r="H69" s="7">
        <v>344</v>
      </c>
      <c r="I69" s="7" t="s">
        <v>74</v>
      </c>
      <c r="J69" s="7" t="s">
        <v>348</v>
      </c>
    </row>
    <row r="70" spans="1:10" x14ac:dyDescent="0.3">
      <c r="A70" s="6" t="s">
        <v>431</v>
      </c>
      <c r="B70" s="7" t="s">
        <v>127</v>
      </c>
      <c r="C70" s="7" t="s">
        <v>128</v>
      </c>
      <c r="D70" s="7" t="s">
        <v>9</v>
      </c>
      <c r="E70" s="7" t="s">
        <v>432</v>
      </c>
      <c r="F70" s="7" t="s">
        <v>433</v>
      </c>
      <c r="G70" s="7" t="s">
        <v>72</v>
      </c>
      <c r="H70" s="7">
        <v>128</v>
      </c>
      <c r="I70" s="7" t="s">
        <v>74</v>
      </c>
      <c r="J70" s="7" t="s">
        <v>348</v>
      </c>
    </row>
    <row r="71" spans="1:10" x14ac:dyDescent="0.3">
      <c r="A71" s="6" t="s">
        <v>434</v>
      </c>
      <c r="B71" s="7" t="s">
        <v>127</v>
      </c>
      <c r="C71" s="7" t="s">
        <v>128</v>
      </c>
      <c r="D71" s="7" t="s">
        <v>9</v>
      </c>
      <c r="E71" s="7" t="s">
        <v>435</v>
      </c>
      <c r="F71" s="7"/>
      <c r="G71" s="7" t="s">
        <v>436</v>
      </c>
      <c r="H71" s="7">
        <v>45</v>
      </c>
      <c r="I71" s="7" t="s">
        <v>437</v>
      </c>
      <c r="J71" s="7" t="s">
        <v>438</v>
      </c>
    </row>
    <row r="72" spans="1:10" x14ac:dyDescent="0.3">
      <c r="A72" s="6" t="s">
        <v>439</v>
      </c>
      <c r="B72" s="7" t="s">
        <v>127</v>
      </c>
      <c r="C72" s="7" t="s">
        <v>128</v>
      </c>
      <c r="D72" s="7" t="s">
        <v>9</v>
      </c>
      <c r="E72" s="7" t="s">
        <v>440</v>
      </c>
      <c r="F72" s="7"/>
      <c r="G72" s="7" t="s">
        <v>441</v>
      </c>
      <c r="H72" s="7">
        <v>3</v>
      </c>
      <c r="I72" s="7" t="s">
        <v>328</v>
      </c>
      <c r="J72" s="7" t="s">
        <v>166</v>
      </c>
    </row>
    <row r="73" spans="1:10" x14ac:dyDescent="0.3">
      <c r="A73" s="6" t="s">
        <v>442</v>
      </c>
      <c r="B73" s="7" t="s">
        <v>127</v>
      </c>
      <c r="C73" s="7" t="s">
        <v>128</v>
      </c>
      <c r="D73" s="7" t="s">
        <v>9</v>
      </c>
      <c r="E73" s="7" t="s">
        <v>443</v>
      </c>
      <c r="F73" s="7"/>
      <c r="G73" s="7" t="s">
        <v>444</v>
      </c>
      <c r="H73" s="7">
        <v>17</v>
      </c>
      <c r="I73" s="7" t="s">
        <v>424</v>
      </c>
      <c r="J73" s="7" t="s">
        <v>143</v>
      </c>
    </row>
    <row r="74" spans="1:10" x14ac:dyDescent="0.3">
      <c r="A74" s="6" t="s">
        <v>445</v>
      </c>
      <c r="B74" s="7" t="s">
        <v>127</v>
      </c>
      <c r="C74" s="7" t="s">
        <v>128</v>
      </c>
      <c r="D74" s="7" t="s">
        <v>9</v>
      </c>
      <c r="E74" s="7" t="s">
        <v>446</v>
      </c>
      <c r="F74" s="7" t="s">
        <v>447</v>
      </c>
      <c r="G74" s="7" t="s">
        <v>448</v>
      </c>
      <c r="H74" s="7">
        <v>24</v>
      </c>
      <c r="I74" s="7" t="s">
        <v>407</v>
      </c>
      <c r="J74" s="7" t="s">
        <v>408</v>
      </c>
    </row>
    <row r="75" spans="1:10" x14ac:dyDescent="0.3">
      <c r="A75" s="6" t="s">
        <v>449</v>
      </c>
      <c r="B75" s="7" t="s">
        <v>127</v>
      </c>
      <c r="C75" s="7" t="s">
        <v>128</v>
      </c>
      <c r="D75" s="7" t="s">
        <v>9</v>
      </c>
      <c r="E75" s="7" t="s">
        <v>450</v>
      </c>
      <c r="F75" s="7"/>
      <c r="G75" s="7" t="s">
        <v>451</v>
      </c>
      <c r="H75" s="7">
        <v>3</v>
      </c>
      <c r="I75" s="7" t="s">
        <v>452</v>
      </c>
      <c r="J75" s="7" t="s">
        <v>314</v>
      </c>
    </row>
    <row r="76" spans="1:10" x14ac:dyDescent="0.3">
      <c r="A76" s="6" t="s">
        <v>453</v>
      </c>
      <c r="B76" s="7" t="s">
        <v>127</v>
      </c>
      <c r="C76" s="7" t="s">
        <v>128</v>
      </c>
      <c r="D76" s="7" t="s">
        <v>9</v>
      </c>
      <c r="E76" s="7" t="s">
        <v>454</v>
      </c>
      <c r="F76" s="7" t="s">
        <v>455</v>
      </c>
      <c r="G76" s="7" t="s">
        <v>456</v>
      </c>
      <c r="H76" s="7">
        <v>7</v>
      </c>
      <c r="I76" s="7" t="s">
        <v>160</v>
      </c>
      <c r="J76" s="7" t="s">
        <v>457</v>
      </c>
    </row>
    <row r="77" spans="1:10" x14ac:dyDescent="0.3">
      <c r="A77" s="6" t="s">
        <v>458</v>
      </c>
      <c r="B77" s="7" t="s">
        <v>127</v>
      </c>
      <c r="C77" s="7" t="s">
        <v>128</v>
      </c>
      <c r="D77" s="7" t="s">
        <v>9</v>
      </c>
      <c r="E77" s="7" t="s">
        <v>459</v>
      </c>
      <c r="F77" s="7" t="s">
        <v>460</v>
      </c>
      <c r="G77" s="7" t="s">
        <v>461</v>
      </c>
      <c r="H77" s="7">
        <v>15</v>
      </c>
      <c r="I77" s="7" t="s">
        <v>111</v>
      </c>
      <c r="J77" s="7" t="s">
        <v>462</v>
      </c>
    </row>
    <row r="78" spans="1:10" x14ac:dyDescent="0.3">
      <c r="A78" s="6" t="s">
        <v>463</v>
      </c>
      <c r="B78" s="7" t="s">
        <v>127</v>
      </c>
      <c r="C78" s="7" t="s">
        <v>128</v>
      </c>
      <c r="D78" s="7" t="s">
        <v>9</v>
      </c>
      <c r="E78" s="7" t="s">
        <v>464</v>
      </c>
      <c r="F78" s="7"/>
      <c r="G78" s="7" t="s">
        <v>465</v>
      </c>
      <c r="H78" s="7">
        <v>2</v>
      </c>
      <c r="I78" s="7" t="s">
        <v>466</v>
      </c>
      <c r="J78" s="7" t="s">
        <v>467</v>
      </c>
    </row>
    <row r="79" spans="1:10" x14ac:dyDescent="0.3">
      <c r="A79" s="6" t="s">
        <v>468</v>
      </c>
      <c r="B79" s="7" t="s">
        <v>127</v>
      </c>
      <c r="C79" s="7" t="s">
        <v>128</v>
      </c>
      <c r="D79" s="7" t="s">
        <v>9</v>
      </c>
      <c r="E79" s="7" t="s">
        <v>469</v>
      </c>
      <c r="F79" s="7" t="s">
        <v>470</v>
      </c>
      <c r="G79" s="7" t="s">
        <v>471</v>
      </c>
      <c r="H79" s="7">
        <v>26</v>
      </c>
      <c r="I79" s="7" t="s">
        <v>472</v>
      </c>
      <c r="J79" s="7" t="s">
        <v>473</v>
      </c>
    </row>
    <row r="80" spans="1:10" x14ac:dyDescent="0.3">
      <c r="A80" s="6" t="s">
        <v>474</v>
      </c>
      <c r="B80" s="7" t="s">
        <v>127</v>
      </c>
      <c r="C80" s="7" t="s">
        <v>128</v>
      </c>
      <c r="D80" s="7" t="s">
        <v>9</v>
      </c>
      <c r="E80" s="7" t="s">
        <v>475</v>
      </c>
      <c r="F80" s="7"/>
      <c r="G80" s="7" t="s">
        <v>476</v>
      </c>
      <c r="H80" s="7">
        <v>9</v>
      </c>
      <c r="I80" s="7" t="s">
        <v>477</v>
      </c>
      <c r="J80" s="7" t="s">
        <v>478</v>
      </c>
    </row>
    <row r="81" spans="1:10" x14ac:dyDescent="0.3">
      <c r="A81" s="6" t="s">
        <v>479</v>
      </c>
      <c r="B81" s="7" t="s">
        <v>127</v>
      </c>
      <c r="C81" s="7" t="s">
        <v>128</v>
      </c>
      <c r="D81" s="7" t="s">
        <v>9</v>
      </c>
      <c r="E81" s="7" t="s">
        <v>480</v>
      </c>
      <c r="F81" s="7"/>
      <c r="G81" s="7" t="s">
        <v>481</v>
      </c>
      <c r="H81" s="7">
        <v>19</v>
      </c>
      <c r="I81" s="7" t="s">
        <v>482</v>
      </c>
      <c r="J81" s="7" t="s">
        <v>483</v>
      </c>
    </row>
    <row r="82" spans="1:10" x14ac:dyDescent="0.3">
      <c r="A82" s="6" t="s">
        <v>484</v>
      </c>
      <c r="B82" s="7" t="s">
        <v>127</v>
      </c>
      <c r="C82" s="7" t="s">
        <v>128</v>
      </c>
      <c r="D82" s="7" t="s">
        <v>9</v>
      </c>
      <c r="E82" s="7" t="s">
        <v>485</v>
      </c>
      <c r="F82" s="7"/>
      <c r="G82" s="7" t="s">
        <v>486</v>
      </c>
      <c r="H82" s="7">
        <v>60</v>
      </c>
      <c r="I82" s="7" t="s">
        <v>487</v>
      </c>
      <c r="J82" s="7" t="s">
        <v>488</v>
      </c>
    </row>
    <row r="83" spans="1:10" x14ac:dyDescent="0.3">
      <c r="A83" s="6" t="s">
        <v>489</v>
      </c>
      <c r="B83" s="7" t="s">
        <v>127</v>
      </c>
      <c r="C83" s="7" t="s">
        <v>128</v>
      </c>
      <c r="D83" s="7" t="s">
        <v>9</v>
      </c>
      <c r="E83" s="7" t="s">
        <v>490</v>
      </c>
      <c r="F83" s="7"/>
      <c r="G83" s="7" t="s">
        <v>491</v>
      </c>
      <c r="H83" s="7">
        <v>1</v>
      </c>
      <c r="I83" s="7" t="s">
        <v>492</v>
      </c>
      <c r="J83" s="7" t="s">
        <v>280</v>
      </c>
    </row>
    <row r="84" spans="1:10" x14ac:dyDescent="0.3">
      <c r="A84" s="6" t="s">
        <v>493</v>
      </c>
      <c r="B84" s="7" t="s">
        <v>127</v>
      </c>
      <c r="C84" s="7" t="s">
        <v>128</v>
      </c>
      <c r="D84" s="7" t="s">
        <v>9</v>
      </c>
      <c r="E84" s="7" t="s">
        <v>494</v>
      </c>
      <c r="F84" s="7"/>
      <c r="G84" s="7" t="s">
        <v>495</v>
      </c>
      <c r="H84" s="7">
        <v>3</v>
      </c>
      <c r="I84" s="7" t="s">
        <v>496</v>
      </c>
      <c r="J84" s="7" t="s">
        <v>497</v>
      </c>
    </row>
    <row r="85" spans="1:10" x14ac:dyDescent="0.3">
      <c r="A85" s="6" t="s">
        <v>498</v>
      </c>
      <c r="B85" s="7" t="s">
        <v>127</v>
      </c>
      <c r="C85" s="7" t="s">
        <v>128</v>
      </c>
      <c r="D85" s="7" t="s">
        <v>9</v>
      </c>
      <c r="E85" s="7" t="s">
        <v>499</v>
      </c>
      <c r="F85" s="7" t="s">
        <v>500</v>
      </c>
      <c r="G85" s="7" t="s">
        <v>501</v>
      </c>
      <c r="H85" s="7">
        <v>5</v>
      </c>
      <c r="I85" s="7" t="s">
        <v>403</v>
      </c>
      <c r="J85" s="7" t="s">
        <v>404</v>
      </c>
    </row>
    <row r="86" spans="1:10" x14ac:dyDescent="0.3">
      <c r="A86" s="6" t="s">
        <v>502</v>
      </c>
      <c r="B86" s="7" t="s">
        <v>127</v>
      </c>
      <c r="C86" s="7" t="s">
        <v>128</v>
      </c>
      <c r="D86" s="7" t="s">
        <v>9</v>
      </c>
      <c r="E86" s="7" t="s">
        <v>499</v>
      </c>
      <c r="F86" s="7" t="s">
        <v>500</v>
      </c>
      <c r="G86" s="7" t="s">
        <v>503</v>
      </c>
      <c r="H86" s="7">
        <v>4</v>
      </c>
      <c r="I86" s="7" t="s">
        <v>504</v>
      </c>
      <c r="J86" s="7" t="s">
        <v>505</v>
      </c>
    </row>
    <row r="87" spans="1:10" x14ac:dyDescent="0.3">
      <c r="A87" s="6" t="s">
        <v>506</v>
      </c>
      <c r="B87" s="7" t="s">
        <v>127</v>
      </c>
      <c r="C87" s="7" t="s">
        <v>128</v>
      </c>
      <c r="D87" s="7" t="s">
        <v>9</v>
      </c>
      <c r="E87" s="7" t="s">
        <v>499</v>
      </c>
      <c r="F87" s="7" t="s">
        <v>500</v>
      </c>
      <c r="G87" s="7" t="s">
        <v>507</v>
      </c>
      <c r="H87" s="7">
        <v>11</v>
      </c>
      <c r="I87" s="7" t="s">
        <v>508</v>
      </c>
      <c r="J87" s="7" t="s">
        <v>509</v>
      </c>
    </row>
    <row r="88" spans="1:10" x14ac:dyDescent="0.3">
      <c r="A88" s="6" t="s">
        <v>510</v>
      </c>
      <c r="B88" s="7" t="s">
        <v>127</v>
      </c>
      <c r="C88" s="7" t="s">
        <v>128</v>
      </c>
      <c r="D88" s="7" t="s">
        <v>9</v>
      </c>
      <c r="E88" s="7" t="s">
        <v>511</v>
      </c>
      <c r="F88" s="7"/>
      <c r="G88" s="7" t="s">
        <v>512</v>
      </c>
      <c r="H88" s="7">
        <v>4</v>
      </c>
      <c r="I88" s="7" t="s">
        <v>513</v>
      </c>
      <c r="J88" s="7" t="s">
        <v>424</v>
      </c>
    </row>
    <row r="89" spans="1:10" x14ac:dyDescent="0.3">
      <c r="A89" s="6" t="s">
        <v>514</v>
      </c>
      <c r="B89" s="7" t="s">
        <v>127</v>
      </c>
      <c r="C89" s="7" t="s">
        <v>128</v>
      </c>
      <c r="D89" s="7" t="s">
        <v>9</v>
      </c>
      <c r="E89" s="7" t="s">
        <v>515</v>
      </c>
      <c r="F89" s="7" t="s">
        <v>516</v>
      </c>
      <c r="G89" s="7" t="s">
        <v>517</v>
      </c>
      <c r="H89" s="7">
        <v>2</v>
      </c>
      <c r="I89" s="7" t="s">
        <v>518</v>
      </c>
      <c r="J89" s="7" t="s">
        <v>294</v>
      </c>
    </row>
    <row r="90" spans="1:10" x14ac:dyDescent="0.3">
      <c r="A90" s="6" t="s">
        <v>519</v>
      </c>
      <c r="B90" s="7" t="s">
        <v>127</v>
      </c>
      <c r="C90" s="7" t="s">
        <v>128</v>
      </c>
      <c r="D90" s="7" t="s">
        <v>9</v>
      </c>
      <c r="E90" s="7" t="s">
        <v>520</v>
      </c>
      <c r="F90" s="7"/>
      <c r="G90" s="7" t="s">
        <v>521</v>
      </c>
      <c r="H90" s="7">
        <v>3</v>
      </c>
      <c r="I90" s="7" t="s">
        <v>522</v>
      </c>
      <c r="J90" s="7" t="s">
        <v>523</v>
      </c>
    </row>
    <row r="91" spans="1:10" x14ac:dyDescent="0.3">
      <c r="A91" s="6" t="s">
        <v>524</v>
      </c>
      <c r="B91" s="7" t="s">
        <v>127</v>
      </c>
      <c r="C91" s="7" t="s">
        <v>128</v>
      </c>
      <c r="D91" s="7" t="s">
        <v>9</v>
      </c>
      <c r="E91" s="7" t="s">
        <v>525</v>
      </c>
      <c r="F91" s="7"/>
      <c r="G91" s="7" t="s">
        <v>526</v>
      </c>
      <c r="H91" s="7">
        <v>3</v>
      </c>
      <c r="I91" s="7" t="s">
        <v>527</v>
      </c>
      <c r="J91" s="7" t="s">
        <v>528</v>
      </c>
    </row>
    <row r="92" spans="1:10" x14ac:dyDescent="0.3">
      <c r="A92" s="6" t="s">
        <v>529</v>
      </c>
      <c r="B92" s="7" t="s">
        <v>127</v>
      </c>
      <c r="C92" s="7" t="s">
        <v>128</v>
      </c>
      <c r="D92" s="7" t="s">
        <v>9</v>
      </c>
      <c r="E92" s="7" t="s">
        <v>530</v>
      </c>
      <c r="F92" s="7" t="s">
        <v>531</v>
      </c>
      <c r="G92" s="7" t="s">
        <v>532</v>
      </c>
      <c r="H92" s="7">
        <v>3</v>
      </c>
      <c r="I92" s="7" t="s">
        <v>270</v>
      </c>
      <c r="J92" s="7" t="s">
        <v>189</v>
      </c>
    </row>
    <row r="93" spans="1:10" x14ac:dyDescent="0.3">
      <c r="A93" s="6" t="s">
        <v>533</v>
      </c>
      <c r="B93" s="7" t="s">
        <v>127</v>
      </c>
      <c r="C93" s="7" t="s">
        <v>128</v>
      </c>
      <c r="D93" s="7" t="s">
        <v>9</v>
      </c>
      <c r="E93" s="7" t="s">
        <v>534</v>
      </c>
      <c r="F93" s="7" t="s">
        <v>535</v>
      </c>
      <c r="G93" s="7" t="s">
        <v>536</v>
      </c>
      <c r="H93" s="7">
        <v>5</v>
      </c>
      <c r="I93" s="7" t="s">
        <v>99</v>
      </c>
      <c r="J93" s="7" t="s">
        <v>537</v>
      </c>
    </row>
    <row r="94" spans="1:10" x14ac:dyDescent="0.3">
      <c r="A94" s="6" t="s">
        <v>538</v>
      </c>
      <c r="B94" s="7" t="s">
        <v>127</v>
      </c>
      <c r="C94" s="7" t="s">
        <v>128</v>
      </c>
      <c r="D94" s="7" t="s">
        <v>9</v>
      </c>
      <c r="E94" s="7" t="s">
        <v>539</v>
      </c>
      <c r="F94" s="7"/>
      <c r="G94" s="7" t="s">
        <v>540</v>
      </c>
      <c r="H94" s="7">
        <v>5</v>
      </c>
      <c r="I94" s="7" t="s">
        <v>541</v>
      </c>
      <c r="J94" s="7" t="s">
        <v>542</v>
      </c>
    </row>
    <row r="95" spans="1:10" x14ac:dyDescent="0.3">
      <c r="A95" s="6" t="s">
        <v>543</v>
      </c>
      <c r="B95" s="7" t="s">
        <v>127</v>
      </c>
      <c r="C95" s="7" t="s">
        <v>128</v>
      </c>
      <c r="D95" s="7" t="s">
        <v>9</v>
      </c>
      <c r="E95" s="7" t="s">
        <v>544</v>
      </c>
      <c r="F95" s="7"/>
      <c r="G95" s="7" t="s">
        <v>545</v>
      </c>
      <c r="H95" s="7">
        <v>5</v>
      </c>
      <c r="I95" s="7" t="s">
        <v>546</v>
      </c>
      <c r="J95" s="7" t="s">
        <v>547</v>
      </c>
    </row>
    <row r="96" spans="1:10" x14ac:dyDescent="0.3">
      <c r="A96" s="6" t="s">
        <v>548</v>
      </c>
      <c r="B96" s="7" t="s">
        <v>127</v>
      </c>
      <c r="C96" s="7" t="s">
        <v>128</v>
      </c>
      <c r="D96" s="7" t="s">
        <v>9</v>
      </c>
      <c r="E96" s="7" t="s">
        <v>549</v>
      </c>
      <c r="F96" s="7" t="s">
        <v>550</v>
      </c>
      <c r="G96" s="7" t="s">
        <v>551</v>
      </c>
      <c r="H96" s="7">
        <v>4</v>
      </c>
      <c r="I96" s="7" t="s">
        <v>552</v>
      </c>
      <c r="J96" s="7" t="s">
        <v>553</v>
      </c>
    </row>
    <row r="97" spans="1:10" x14ac:dyDescent="0.3">
      <c r="A97" s="6" t="s">
        <v>554</v>
      </c>
      <c r="B97" s="7" t="s">
        <v>127</v>
      </c>
      <c r="C97" s="7" t="s">
        <v>128</v>
      </c>
      <c r="D97" s="7" t="s">
        <v>9</v>
      </c>
      <c r="E97" s="7" t="s">
        <v>555</v>
      </c>
      <c r="F97" s="7" t="s">
        <v>556</v>
      </c>
      <c r="G97" s="7" t="s">
        <v>557</v>
      </c>
      <c r="H97" s="7">
        <v>12</v>
      </c>
      <c r="I97" s="7" t="s">
        <v>558</v>
      </c>
      <c r="J97" s="7" t="s">
        <v>300</v>
      </c>
    </row>
    <row r="98" spans="1:10" x14ac:dyDescent="0.3">
      <c r="A98" s="6" t="s">
        <v>559</v>
      </c>
      <c r="B98" s="7" t="s">
        <v>127</v>
      </c>
      <c r="C98" s="7" t="s">
        <v>128</v>
      </c>
      <c r="D98" s="7" t="s">
        <v>9</v>
      </c>
      <c r="E98" s="7" t="s">
        <v>560</v>
      </c>
      <c r="F98" s="7"/>
      <c r="G98" s="7" t="s">
        <v>561</v>
      </c>
      <c r="H98" s="7">
        <v>37</v>
      </c>
      <c r="I98" s="7" t="s">
        <v>562</v>
      </c>
      <c r="J98" s="7" t="s">
        <v>563</v>
      </c>
    </row>
    <row r="99" spans="1:10" x14ac:dyDescent="0.3">
      <c r="A99" s="6" t="s">
        <v>564</v>
      </c>
      <c r="B99" s="7" t="s">
        <v>127</v>
      </c>
      <c r="C99" s="7" t="s">
        <v>128</v>
      </c>
      <c r="D99" s="7" t="s">
        <v>9</v>
      </c>
      <c r="E99" s="7" t="s">
        <v>565</v>
      </c>
      <c r="F99" s="7" t="s">
        <v>566</v>
      </c>
      <c r="G99" s="7" t="s">
        <v>567</v>
      </c>
      <c r="H99" s="7">
        <v>8</v>
      </c>
      <c r="I99" s="7" t="s">
        <v>568</v>
      </c>
      <c r="J99" s="7" t="s">
        <v>478</v>
      </c>
    </row>
    <row r="100" spans="1:10" x14ac:dyDescent="0.3">
      <c r="A100" s="6" t="s">
        <v>569</v>
      </c>
      <c r="B100" s="7" t="s">
        <v>127</v>
      </c>
      <c r="C100" s="7" t="s">
        <v>128</v>
      </c>
      <c r="D100" s="7" t="s">
        <v>9</v>
      </c>
      <c r="E100" s="7" t="s">
        <v>570</v>
      </c>
      <c r="F100" s="7" t="s">
        <v>571</v>
      </c>
      <c r="G100" s="7" t="s">
        <v>572</v>
      </c>
      <c r="H100" s="7">
        <v>2</v>
      </c>
      <c r="I100" s="7" t="s">
        <v>573</v>
      </c>
      <c r="J100" s="7" t="s">
        <v>294</v>
      </c>
    </row>
    <row r="101" spans="1:10" x14ac:dyDescent="0.3">
      <c r="A101" s="6" t="s">
        <v>574</v>
      </c>
      <c r="B101" s="7" t="s">
        <v>127</v>
      </c>
      <c r="C101" s="7" t="s">
        <v>128</v>
      </c>
      <c r="D101" s="7" t="s">
        <v>9</v>
      </c>
      <c r="E101" s="7" t="s">
        <v>575</v>
      </c>
      <c r="F101" s="7"/>
      <c r="G101" s="7" t="s">
        <v>576</v>
      </c>
      <c r="H101" s="7">
        <v>21</v>
      </c>
      <c r="I101" s="7" t="s">
        <v>577</v>
      </c>
      <c r="J101" s="7" t="s">
        <v>155</v>
      </c>
    </row>
    <row r="102" spans="1:10" x14ac:dyDescent="0.3">
      <c r="A102" s="6" t="s">
        <v>578</v>
      </c>
      <c r="B102" s="7" t="s">
        <v>127</v>
      </c>
      <c r="C102" s="7" t="s">
        <v>128</v>
      </c>
      <c r="D102" s="7" t="s">
        <v>9</v>
      </c>
      <c r="E102" s="7" t="s">
        <v>579</v>
      </c>
      <c r="F102" s="7"/>
      <c r="G102" s="7" t="s">
        <v>580</v>
      </c>
      <c r="H102" s="7">
        <v>25</v>
      </c>
      <c r="I102" s="7" t="s">
        <v>111</v>
      </c>
      <c r="J102" s="7" t="s">
        <v>294</v>
      </c>
    </row>
    <row r="103" spans="1:10" x14ac:dyDescent="0.3">
      <c r="A103" s="6" t="s">
        <v>581</v>
      </c>
      <c r="B103" s="7" t="s">
        <v>127</v>
      </c>
      <c r="C103" s="7" t="s">
        <v>128</v>
      </c>
      <c r="D103" s="7" t="s">
        <v>9</v>
      </c>
      <c r="E103" s="7" t="s">
        <v>582</v>
      </c>
      <c r="F103" s="7"/>
      <c r="G103" s="7" t="s">
        <v>583</v>
      </c>
      <c r="H103" s="7">
        <v>50</v>
      </c>
      <c r="I103" s="7" t="s">
        <v>584</v>
      </c>
      <c r="J103" s="7" t="s">
        <v>304</v>
      </c>
    </row>
    <row r="104" spans="1:10" x14ac:dyDescent="0.3">
      <c r="A104" s="6" t="s">
        <v>585</v>
      </c>
      <c r="B104" s="7" t="s">
        <v>127</v>
      </c>
      <c r="C104" s="7" t="s">
        <v>128</v>
      </c>
      <c r="D104" s="7" t="s">
        <v>9</v>
      </c>
      <c r="E104" s="7" t="s">
        <v>586</v>
      </c>
      <c r="F104" s="7"/>
      <c r="G104" s="7" t="s">
        <v>587</v>
      </c>
      <c r="H104" s="7">
        <v>15</v>
      </c>
      <c r="I104" s="7" t="s">
        <v>69</v>
      </c>
      <c r="J104" s="7" t="s">
        <v>161</v>
      </c>
    </row>
    <row r="105" spans="1:10" x14ac:dyDescent="0.3">
      <c r="A105" s="6" t="s">
        <v>588</v>
      </c>
      <c r="B105" s="7" t="s">
        <v>127</v>
      </c>
      <c r="C105" s="7" t="s">
        <v>589</v>
      </c>
      <c r="D105" s="7" t="s">
        <v>10</v>
      </c>
      <c r="E105" s="7" t="s">
        <v>590</v>
      </c>
      <c r="F105" s="7" t="s">
        <v>591</v>
      </c>
      <c r="G105" s="7" t="s">
        <v>592</v>
      </c>
      <c r="H105" s="7">
        <v>5</v>
      </c>
      <c r="I105" s="7" t="s">
        <v>99</v>
      </c>
      <c r="J105" s="7" t="s">
        <v>593</v>
      </c>
    </row>
    <row r="106" spans="1:10" x14ac:dyDescent="0.3">
      <c r="A106" s="6" t="s">
        <v>594</v>
      </c>
      <c r="B106" s="7" t="s">
        <v>127</v>
      </c>
      <c r="C106" s="7" t="s">
        <v>589</v>
      </c>
      <c r="D106" s="7" t="s">
        <v>10</v>
      </c>
      <c r="E106" s="7" t="s">
        <v>595</v>
      </c>
      <c r="F106" s="7" t="s">
        <v>596</v>
      </c>
      <c r="G106" s="7" t="s">
        <v>597</v>
      </c>
      <c r="H106" s="7">
        <v>34</v>
      </c>
      <c r="I106" s="7" t="s">
        <v>598</v>
      </c>
      <c r="J106" s="7" t="s">
        <v>599</v>
      </c>
    </row>
    <row r="107" spans="1:10" x14ac:dyDescent="0.3">
      <c r="A107" s="6" t="s">
        <v>600</v>
      </c>
      <c r="B107" s="7" t="s">
        <v>127</v>
      </c>
      <c r="C107" s="7" t="s">
        <v>589</v>
      </c>
      <c r="D107" s="7" t="s">
        <v>10</v>
      </c>
      <c r="E107" s="7" t="s">
        <v>601</v>
      </c>
      <c r="F107" s="7" t="s">
        <v>602</v>
      </c>
      <c r="G107" s="7" t="s">
        <v>603</v>
      </c>
      <c r="H107" s="7">
        <v>4</v>
      </c>
      <c r="I107" s="7" t="s">
        <v>604</v>
      </c>
      <c r="J107" s="7" t="s">
        <v>605</v>
      </c>
    </row>
    <row r="108" spans="1:10" x14ac:dyDescent="0.3">
      <c r="A108" s="6" t="s">
        <v>606</v>
      </c>
      <c r="B108" s="7" t="s">
        <v>127</v>
      </c>
      <c r="C108" s="7" t="s">
        <v>589</v>
      </c>
      <c r="D108" s="7" t="s">
        <v>10</v>
      </c>
      <c r="E108" s="7" t="s">
        <v>163</v>
      </c>
      <c r="F108" s="7" t="s">
        <v>607</v>
      </c>
      <c r="G108" s="7" t="s">
        <v>608</v>
      </c>
      <c r="H108" s="7">
        <v>14</v>
      </c>
      <c r="I108" s="7" t="s">
        <v>339</v>
      </c>
      <c r="J108" s="7" t="s">
        <v>609</v>
      </c>
    </row>
    <row r="109" spans="1:10" x14ac:dyDescent="0.3">
      <c r="A109" s="6" t="s">
        <v>610</v>
      </c>
      <c r="B109" s="7" t="s">
        <v>127</v>
      </c>
      <c r="C109" s="7" t="s">
        <v>589</v>
      </c>
      <c r="D109" s="7" t="s">
        <v>10</v>
      </c>
      <c r="E109" s="7" t="s">
        <v>163</v>
      </c>
      <c r="F109" s="7" t="s">
        <v>607</v>
      </c>
      <c r="G109" s="7" t="s">
        <v>611</v>
      </c>
      <c r="H109" s="7">
        <v>36</v>
      </c>
      <c r="I109" s="7" t="s">
        <v>394</v>
      </c>
      <c r="J109" s="7" t="s">
        <v>612</v>
      </c>
    </row>
    <row r="110" spans="1:10" x14ac:dyDescent="0.3">
      <c r="A110" s="6" t="s">
        <v>613</v>
      </c>
      <c r="B110" s="7" t="s">
        <v>127</v>
      </c>
      <c r="C110" s="7" t="s">
        <v>589</v>
      </c>
      <c r="D110" s="7" t="s">
        <v>10</v>
      </c>
      <c r="E110" s="7" t="s">
        <v>614</v>
      </c>
      <c r="F110" s="7" t="s">
        <v>615</v>
      </c>
      <c r="G110" s="7" t="s">
        <v>616</v>
      </c>
      <c r="H110" s="7">
        <v>13</v>
      </c>
      <c r="I110" s="7" t="s">
        <v>546</v>
      </c>
      <c r="J110" s="7" t="s">
        <v>404</v>
      </c>
    </row>
    <row r="111" spans="1:10" x14ac:dyDescent="0.3">
      <c r="A111" s="6" t="s">
        <v>617</v>
      </c>
      <c r="B111" s="7" t="s">
        <v>127</v>
      </c>
      <c r="C111" s="7" t="s">
        <v>589</v>
      </c>
      <c r="D111" s="7" t="s">
        <v>10</v>
      </c>
      <c r="E111" s="7" t="s">
        <v>618</v>
      </c>
      <c r="F111" s="7" t="s">
        <v>619</v>
      </c>
      <c r="G111" s="7" t="s">
        <v>620</v>
      </c>
      <c r="H111" s="7">
        <v>14</v>
      </c>
      <c r="I111" s="7" t="s">
        <v>621</v>
      </c>
      <c r="J111" s="7" t="s">
        <v>622</v>
      </c>
    </row>
    <row r="112" spans="1:10" x14ac:dyDescent="0.3">
      <c r="A112" s="6" t="s">
        <v>623</v>
      </c>
      <c r="B112" s="7" t="s">
        <v>127</v>
      </c>
      <c r="C112" s="7" t="s">
        <v>589</v>
      </c>
      <c r="D112" s="7" t="s">
        <v>10</v>
      </c>
      <c r="E112" s="7" t="s">
        <v>618</v>
      </c>
      <c r="F112" s="7" t="s">
        <v>619</v>
      </c>
      <c r="G112" s="7" t="s">
        <v>624</v>
      </c>
      <c r="H112" s="7">
        <v>46</v>
      </c>
      <c r="I112" s="7" t="s">
        <v>625</v>
      </c>
      <c r="J112" s="7" t="s">
        <v>622</v>
      </c>
    </row>
    <row r="113" spans="1:10" x14ac:dyDescent="0.3">
      <c r="A113" s="6" t="s">
        <v>626</v>
      </c>
      <c r="B113" s="7" t="s">
        <v>127</v>
      </c>
      <c r="C113" s="7" t="s">
        <v>589</v>
      </c>
      <c r="D113" s="7" t="s">
        <v>10</v>
      </c>
      <c r="E113" s="7" t="s">
        <v>627</v>
      </c>
      <c r="F113" s="7" t="s">
        <v>628</v>
      </c>
      <c r="G113" s="7" t="s">
        <v>629</v>
      </c>
      <c r="H113" s="7">
        <v>10</v>
      </c>
      <c r="I113" s="7" t="s">
        <v>630</v>
      </c>
      <c r="J113" s="7" t="s">
        <v>404</v>
      </c>
    </row>
    <row r="114" spans="1:10" x14ac:dyDescent="0.3">
      <c r="A114" s="6" t="s">
        <v>631</v>
      </c>
      <c r="B114" s="7" t="s">
        <v>127</v>
      </c>
      <c r="C114" s="7" t="s">
        <v>589</v>
      </c>
      <c r="D114" s="7" t="s">
        <v>10</v>
      </c>
      <c r="E114" s="7" t="s">
        <v>632</v>
      </c>
      <c r="F114" s="7" t="s">
        <v>633</v>
      </c>
      <c r="G114" s="7" t="s">
        <v>634</v>
      </c>
      <c r="H114" s="7">
        <v>6</v>
      </c>
      <c r="I114" s="7" t="s">
        <v>160</v>
      </c>
      <c r="J114" s="7" t="s">
        <v>635</v>
      </c>
    </row>
    <row r="115" spans="1:10" x14ac:dyDescent="0.3">
      <c r="A115" s="6" t="s">
        <v>636</v>
      </c>
      <c r="B115" s="7" t="s">
        <v>127</v>
      </c>
      <c r="C115" s="7" t="s">
        <v>589</v>
      </c>
      <c r="D115" s="7" t="s">
        <v>10</v>
      </c>
      <c r="E115" s="7" t="s">
        <v>637</v>
      </c>
      <c r="F115" s="7" t="s">
        <v>638</v>
      </c>
      <c r="G115" s="7" t="s">
        <v>639</v>
      </c>
      <c r="H115" s="7">
        <v>0</v>
      </c>
      <c r="I115" s="7" t="s">
        <v>568</v>
      </c>
      <c r="J115" s="7" t="s">
        <v>640</v>
      </c>
    </row>
    <row r="116" spans="1:10" x14ac:dyDescent="0.3">
      <c r="A116" s="6" t="s">
        <v>641</v>
      </c>
      <c r="B116" s="7" t="s">
        <v>127</v>
      </c>
      <c r="C116" s="7" t="s">
        <v>589</v>
      </c>
      <c r="D116" s="7" t="s">
        <v>10</v>
      </c>
      <c r="E116" s="7" t="s">
        <v>642</v>
      </c>
      <c r="F116" s="7" t="s">
        <v>643</v>
      </c>
      <c r="G116" s="7" t="s">
        <v>644</v>
      </c>
      <c r="H116" s="7">
        <v>41</v>
      </c>
      <c r="I116" s="7" t="s">
        <v>645</v>
      </c>
      <c r="J116" s="7" t="s">
        <v>646</v>
      </c>
    </row>
    <row r="117" spans="1:10" x14ac:dyDescent="0.3">
      <c r="A117" s="6" t="s">
        <v>647</v>
      </c>
      <c r="B117" s="7" t="s">
        <v>127</v>
      </c>
      <c r="C117" s="7" t="s">
        <v>589</v>
      </c>
      <c r="D117" s="7" t="s">
        <v>10</v>
      </c>
      <c r="E117" s="7" t="s">
        <v>648</v>
      </c>
      <c r="F117" s="7" t="s">
        <v>649</v>
      </c>
      <c r="G117" s="7" t="s">
        <v>66</v>
      </c>
      <c r="H117" s="7">
        <v>31</v>
      </c>
      <c r="I117" s="7" t="s">
        <v>69</v>
      </c>
      <c r="J117" s="7" t="s">
        <v>348</v>
      </c>
    </row>
    <row r="118" spans="1:10" x14ac:dyDescent="0.3">
      <c r="A118" s="6" t="s">
        <v>650</v>
      </c>
      <c r="B118" s="7" t="s">
        <v>127</v>
      </c>
      <c r="C118" s="7" t="s">
        <v>589</v>
      </c>
      <c r="D118" s="7" t="s">
        <v>10</v>
      </c>
      <c r="E118" s="7" t="s">
        <v>651</v>
      </c>
      <c r="F118" s="7" t="s">
        <v>652</v>
      </c>
      <c r="G118" s="7" t="s">
        <v>653</v>
      </c>
      <c r="H118" s="7">
        <v>0</v>
      </c>
      <c r="I118" s="7" t="s">
        <v>270</v>
      </c>
      <c r="J118" s="7" t="s">
        <v>189</v>
      </c>
    </row>
    <row r="119" spans="1:10" x14ac:dyDescent="0.3">
      <c r="A119" s="6" t="s">
        <v>654</v>
      </c>
      <c r="B119" s="7" t="s">
        <v>127</v>
      </c>
      <c r="C119" s="7" t="s">
        <v>589</v>
      </c>
      <c r="D119" s="7" t="s">
        <v>10</v>
      </c>
      <c r="E119" s="7" t="s">
        <v>651</v>
      </c>
      <c r="F119" s="7" t="s">
        <v>652</v>
      </c>
      <c r="G119" s="7" t="s">
        <v>655</v>
      </c>
      <c r="H119" s="7">
        <v>0</v>
      </c>
      <c r="I119" s="7" t="s">
        <v>255</v>
      </c>
      <c r="J119" s="7" t="s">
        <v>612</v>
      </c>
    </row>
    <row r="120" spans="1:10" x14ac:dyDescent="0.3">
      <c r="A120" s="6" t="s">
        <v>656</v>
      </c>
      <c r="B120" s="7" t="s">
        <v>127</v>
      </c>
      <c r="C120" s="7" t="s">
        <v>589</v>
      </c>
      <c r="D120" s="7" t="s">
        <v>10</v>
      </c>
      <c r="E120" s="7" t="s">
        <v>657</v>
      </c>
      <c r="F120" s="7" t="s">
        <v>658</v>
      </c>
      <c r="G120" s="7" t="s">
        <v>659</v>
      </c>
      <c r="H120" s="7">
        <v>6</v>
      </c>
      <c r="I120" s="7" t="s">
        <v>660</v>
      </c>
      <c r="J120" s="7" t="s">
        <v>661</v>
      </c>
    </row>
    <row r="121" spans="1:10" x14ac:dyDescent="0.3">
      <c r="A121" s="6" t="s">
        <v>662</v>
      </c>
      <c r="B121" s="7" t="s">
        <v>127</v>
      </c>
      <c r="C121" s="7" t="s">
        <v>589</v>
      </c>
      <c r="D121" s="7" t="s">
        <v>10</v>
      </c>
      <c r="E121" s="7" t="s">
        <v>663</v>
      </c>
      <c r="F121" s="7" t="s">
        <v>664</v>
      </c>
      <c r="G121" s="7" t="s">
        <v>665</v>
      </c>
      <c r="H121" s="7">
        <v>7</v>
      </c>
      <c r="I121" s="7" t="s">
        <v>407</v>
      </c>
      <c r="J121" s="7" t="s">
        <v>666</v>
      </c>
    </row>
    <row r="122" spans="1:10" x14ac:dyDescent="0.3">
      <c r="A122" s="6" t="s">
        <v>667</v>
      </c>
      <c r="B122" s="7" t="s">
        <v>127</v>
      </c>
      <c r="C122" s="7" t="s">
        <v>589</v>
      </c>
      <c r="D122" s="7" t="s">
        <v>10</v>
      </c>
      <c r="E122" s="7" t="s">
        <v>668</v>
      </c>
      <c r="F122" s="7" t="s">
        <v>669</v>
      </c>
      <c r="G122" s="7" t="s">
        <v>670</v>
      </c>
      <c r="H122" s="7">
        <v>0</v>
      </c>
      <c r="I122" s="7" t="s">
        <v>308</v>
      </c>
      <c r="J122" s="7" t="s">
        <v>671</v>
      </c>
    </row>
    <row r="123" spans="1:10" x14ac:dyDescent="0.3">
      <c r="A123" s="6" t="s">
        <v>672</v>
      </c>
      <c r="B123" s="7" t="s">
        <v>127</v>
      </c>
      <c r="C123" s="7" t="s">
        <v>589</v>
      </c>
      <c r="D123" s="7" t="s">
        <v>10</v>
      </c>
      <c r="E123" s="7" t="s">
        <v>673</v>
      </c>
      <c r="F123" s="7" t="s">
        <v>674</v>
      </c>
      <c r="G123" s="7" t="s">
        <v>675</v>
      </c>
      <c r="H123" s="7">
        <v>9</v>
      </c>
      <c r="I123" s="7" t="s">
        <v>196</v>
      </c>
      <c r="J123" s="7" t="s">
        <v>676</v>
      </c>
    </row>
    <row r="124" spans="1:10" x14ac:dyDescent="0.3">
      <c r="A124" s="6" t="s">
        <v>677</v>
      </c>
      <c r="B124" s="7" t="s">
        <v>127</v>
      </c>
      <c r="C124" s="7" t="s">
        <v>589</v>
      </c>
      <c r="D124" s="7" t="s">
        <v>10</v>
      </c>
      <c r="E124" s="7" t="s">
        <v>673</v>
      </c>
      <c r="F124" s="7" t="s">
        <v>674</v>
      </c>
      <c r="G124" s="7" t="s">
        <v>678</v>
      </c>
      <c r="H124" s="7">
        <v>27</v>
      </c>
      <c r="I124" s="7" t="s">
        <v>196</v>
      </c>
      <c r="J124" s="7" t="s">
        <v>676</v>
      </c>
    </row>
    <row r="125" spans="1:10" x14ac:dyDescent="0.3">
      <c r="A125" s="6" t="s">
        <v>679</v>
      </c>
      <c r="B125" s="7" t="s">
        <v>127</v>
      </c>
      <c r="C125" s="7" t="s">
        <v>589</v>
      </c>
      <c r="D125" s="7" t="s">
        <v>10</v>
      </c>
      <c r="E125" s="7" t="s">
        <v>680</v>
      </c>
      <c r="F125" s="7" t="s">
        <v>681</v>
      </c>
      <c r="G125" s="7" t="s">
        <v>112</v>
      </c>
      <c r="H125" s="7">
        <v>0</v>
      </c>
      <c r="I125" s="7" t="s">
        <v>682</v>
      </c>
      <c r="J125" s="7" t="s">
        <v>683</v>
      </c>
    </row>
    <row r="126" spans="1:10" x14ac:dyDescent="0.3">
      <c r="A126" s="6" t="s">
        <v>684</v>
      </c>
      <c r="B126" s="7" t="s">
        <v>127</v>
      </c>
      <c r="C126" s="7" t="s">
        <v>589</v>
      </c>
      <c r="D126" s="7" t="s">
        <v>10</v>
      </c>
      <c r="E126" s="7" t="s">
        <v>685</v>
      </c>
      <c r="F126" s="7" t="s">
        <v>686</v>
      </c>
      <c r="G126" s="7" t="s">
        <v>687</v>
      </c>
      <c r="H126" s="7">
        <v>48</v>
      </c>
      <c r="I126" s="7" t="s">
        <v>688</v>
      </c>
      <c r="J126" s="7" t="s">
        <v>683</v>
      </c>
    </row>
    <row r="127" spans="1:10" x14ac:dyDescent="0.3">
      <c r="A127" s="6" t="s">
        <v>689</v>
      </c>
      <c r="B127" s="7" t="s">
        <v>127</v>
      </c>
      <c r="C127" s="7" t="s">
        <v>589</v>
      </c>
      <c r="D127" s="7" t="s">
        <v>10</v>
      </c>
      <c r="E127" s="7" t="s">
        <v>690</v>
      </c>
      <c r="F127" s="7" t="s">
        <v>516</v>
      </c>
      <c r="G127" s="7" t="s">
        <v>691</v>
      </c>
      <c r="H127" s="7">
        <v>4</v>
      </c>
      <c r="I127" s="7" t="s">
        <v>324</v>
      </c>
      <c r="J127" s="7" t="s">
        <v>294</v>
      </c>
    </row>
    <row r="128" spans="1:10" x14ac:dyDescent="0.3">
      <c r="A128" s="6" t="s">
        <v>692</v>
      </c>
      <c r="B128" s="7" t="s">
        <v>127</v>
      </c>
      <c r="C128" s="7" t="s">
        <v>589</v>
      </c>
      <c r="D128" s="7" t="s">
        <v>10</v>
      </c>
      <c r="E128" s="7" t="s">
        <v>693</v>
      </c>
      <c r="F128" s="7" t="s">
        <v>694</v>
      </c>
      <c r="G128" s="7" t="s">
        <v>695</v>
      </c>
      <c r="H128" s="7">
        <v>11</v>
      </c>
      <c r="I128" s="7" t="s">
        <v>568</v>
      </c>
      <c r="J128" s="7" t="s">
        <v>696</v>
      </c>
    </row>
    <row r="129" spans="1:10" x14ac:dyDescent="0.3">
      <c r="A129" s="6" t="s">
        <v>697</v>
      </c>
      <c r="B129" s="7" t="s">
        <v>127</v>
      </c>
      <c r="C129" s="7" t="s">
        <v>589</v>
      </c>
      <c r="D129" s="7" t="s">
        <v>10</v>
      </c>
      <c r="E129" s="7" t="s">
        <v>698</v>
      </c>
      <c r="F129" s="7" t="s">
        <v>699</v>
      </c>
      <c r="G129" s="7" t="s">
        <v>700</v>
      </c>
      <c r="H129" s="7">
        <v>103</v>
      </c>
      <c r="I129" s="7" t="s">
        <v>625</v>
      </c>
      <c r="J129" s="7" t="s">
        <v>701</v>
      </c>
    </row>
    <row r="130" spans="1:10" x14ac:dyDescent="0.3">
      <c r="A130" s="6" t="s">
        <v>702</v>
      </c>
      <c r="B130" s="7" t="s">
        <v>127</v>
      </c>
      <c r="C130" s="7" t="s">
        <v>589</v>
      </c>
      <c r="D130" s="7" t="s">
        <v>10</v>
      </c>
      <c r="E130" s="7" t="s">
        <v>703</v>
      </c>
      <c r="F130" s="7" t="s">
        <v>704</v>
      </c>
      <c r="G130" s="7" t="s">
        <v>705</v>
      </c>
      <c r="H130" s="7">
        <v>6</v>
      </c>
      <c r="I130" s="7" t="s">
        <v>99</v>
      </c>
      <c r="J130" s="7" t="s">
        <v>593</v>
      </c>
    </row>
    <row r="131" spans="1:10" x14ac:dyDescent="0.3">
      <c r="A131" s="6" t="s">
        <v>706</v>
      </c>
      <c r="B131" s="7" t="s">
        <v>127</v>
      </c>
      <c r="C131" s="7" t="s">
        <v>589</v>
      </c>
      <c r="D131" s="7" t="s">
        <v>10</v>
      </c>
      <c r="E131" s="7" t="s">
        <v>703</v>
      </c>
      <c r="F131" s="7" t="s">
        <v>704</v>
      </c>
      <c r="G131" s="7" t="s">
        <v>707</v>
      </c>
      <c r="H131" s="7">
        <v>9</v>
      </c>
      <c r="I131" s="7" t="s">
        <v>324</v>
      </c>
      <c r="J131" s="7" t="s">
        <v>294</v>
      </c>
    </row>
    <row r="132" spans="1:10" x14ac:dyDescent="0.3">
      <c r="A132" s="6" t="s">
        <v>708</v>
      </c>
      <c r="B132" s="7" t="s">
        <v>127</v>
      </c>
      <c r="C132" s="7" t="s">
        <v>589</v>
      </c>
      <c r="D132" s="7" t="s">
        <v>10</v>
      </c>
      <c r="E132" s="7" t="s">
        <v>709</v>
      </c>
      <c r="F132" s="7" t="s">
        <v>710</v>
      </c>
      <c r="G132" s="7" t="s">
        <v>711</v>
      </c>
      <c r="H132" s="7">
        <v>0</v>
      </c>
      <c r="I132" s="7" t="s">
        <v>604</v>
      </c>
      <c r="J132" s="7" t="s">
        <v>143</v>
      </c>
    </row>
    <row r="133" spans="1:10" x14ac:dyDescent="0.3">
      <c r="A133" s="6" t="s">
        <v>712</v>
      </c>
      <c r="B133" s="7" t="s">
        <v>127</v>
      </c>
      <c r="C133" s="7" t="s">
        <v>589</v>
      </c>
      <c r="D133" s="7" t="s">
        <v>10</v>
      </c>
      <c r="E133" s="7" t="s">
        <v>713</v>
      </c>
      <c r="F133" s="7" t="s">
        <v>714</v>
      </c>
      <c r="G133" s="7" t="s">
        <v>715</v>
      </c>
      <c r="H133" s="7">
        <v>0</v>
      </c>
      <c r="I133" s="7" t="s">
        <v>417</v>
      </c>
      <c r="J133" s="7" t="s">
        <v>612</v>
      </c>
    </row>
    <row r="134" spans="1:10" x14ac:dyDescent="0.3">
      <c r="A134" s="6" t="s">
        <v>716</v>
      </c>
      <c r="B134" s="7" t="s">
        <v>127</v>
      </c>
      <c r="C134" s="7" t="s">
        <v>589</v>
      </c>
      <c r="D134" s="7" t="s">
        <v>10</v>
      </c>
      <c r="E134" s="7" t="s">
        <v>717</v>
      </c>
      <c r="F134" s="7" t="s">
        <v>718</v>
      </c>
      <c r="G134" s="7" t="s">
        <v>719</v>
      </c>
      <c r="H134" s="7">
        <v>13</v>
      </c>
      <c r="I134" s="7" t="s">
        <v>720</v>
      </c>
      <c r="J134" s="7" t="s">
        <v>199</v>
      </c>
    </row>
    <row r="135" spans="1:10" x14ac:dyDescent="0.3">
      <c r="A135" s="6" t="s">
        <v>721</v>
      </c>
      <c r="B135" s="7" t="s">
        <v>127</v>
      </c>
      <c r="C135" s="7" t="s">
        <v>589</v>
      </c>
      <c r="D135" s="7" t="s">
        <v>11</v>
      </c>
      <c r="E135" s="7" t="s">
        <v>722</v>
      </c>
      <c r="F135" s="7" t="s">
        <v>723</v>
      </c>
      <c r="G135" s="7" t="s">
        <v>724</v>
      </c>
      <c r="H135" s="7"/>
      <c r="I135" s="7" t="s">
        <v>87</v>
      </c>
      <c r="J135" s="7" t="s">
        <v>725</v>
      </c>
    </row>
    <row r="136" spans="1:10" x14ac:dyDescent="0.3">
      <c r="A136" s="6" t="s">
        <v>726</v>
      </c>
      <c r="B136" s="7" t="s">
        <v>127</v>
      </c>
      <c r="C136" s="7" t="s">
        <v>727</v>
      </c>
      <c r="D136" s="7" t="s">
        <v>12</v>
      </c>
      <c r="E136" s="7" t="s">
        <v>728</v>
      </c>
      <c r="F136" s="7" t="s">
        <v>729</v>
      </c>
      <c r="G136" s="7" t="s">
        <v>730</v>
      </c>
      <c r="H136" s="7">
        <v>7</v>
      </c>
      <c r="I136" s="7" t="s">
        <v>513</v>
      </c>
      <c r="J136" s="7" t="s">
        <v>166</v>
      </c>
    </row>
    <row r="137" spans="1:10" x14ac:dyDescent="0.3">
      <c r="A137" s="6" t="s">
        <v>731</v>
      </c>
      <c r="B137" s="7" t="s">
        <v>127</v>
      </c>
      <c r="C137" s="7" t="s">
        <v>727</v>
      </c>
      <c r="D137" s="7" t="s">
        <v>12</v>
      </c>
      <c r="E137" s="7" t="s">
        <v>732</v>
      </c>
      <c r="F137" s="7" t="s">
        <v>733</v>
      </c>
      <c r="G137" s="7" t="s">
        <v>734</v>
      </c>
      <c r="H137" s="7">
        <v>1</v>
      </c>
      <c r="I137" s="7" t="s">
        <v>735</v>
      </c>
      <c r="J137" s="7" t="s">
        <v>736</v>
      </c>
    </row>
    <row r="138" spans="1:10" x14ac:dyDescent="0.3">
      <c r="A138" s="6" t="s">
        <v>737</v>
      </c>
      <c r="B138" s="7" t="s">
        <v>127</v>
      </c>
      <c r="C138" s="7" t="s">
        <v>727</v>
      </c>
      <c r="D138" s="7" t="s">
        <v>12</v>
      </c>
      <c r="E138" s="7" t="s">
        <v>738</v>
      </c>
      <c r="F138" s="7" t="s">
        <v>739</v>
      </c>
      <c r="G138" s="7" t="s">
        <v>740</v>
      </c>
      <c r="H138" s="7"/>
      <c r="I138" s="7" t="s">
        <v>196</v>
      </c>
      <c r="J138" s="7" t="s">
        <v>612</v>
      </c>
    </row>
    <row r="139" spans="1:10" x14ac:dyDescent="0.3">
      <c r="A139" s="6" t="s">
        <v>741</v>
      </c>
      <c r="B139" s="7" t="s">
        <v>127</v>
      </c>
      <c r="C139" s="7" t="s">
        <v>727</v>
      </c>
      <c r="D139" s="7" t="s">
        <v>12</v>
      </c>
      <c r="E139" s="7" t="s">
        <v>742</v>
      </c>
      <c r="F139" s="7" t="s">
        <v>743</v>
      </c>
      <c r="G139" s="7" t="s">
        <v>744</v>
      </c>
      <c r="H139" s="7">
        <v>3</v>
      </c>
      <c r="I139" s="7" t="s">
        <v>745</v>
      </c>
      <c r="J139" s="7" t="s">
        <v>746</v>
      </c>
    </row>
    <row r="140" spans="1:10" x14ac:dyDescent="0.3">
      <c r="A140" s="6" t="s">
        <v>747</v>
      </c>
      <c r="B140" s="7" t="s">
        <v>127</v>
      </c>
      <c r="C140" s="7" t="s">
        <v>727</v>
      </c>
      <c r="D140" s="7" t="s">
        <v>12</v>
      </c>
      <c r="E140" s="7" t="s">
        <v>748</v>
      </c>
      <c r="F140" s="7" t="s">
        <v>174</v>
      </c>
      <c r="G140" s="7" t="s">
        <v>749</v>
      </c>
      <c r="H140" s="7">
        <v>8</v>
      </c>
      <c r="I140" s="7" t="s">
        <v>625</v>
      </c>
      <c r="J140" s="7" t="s">
        <v>750</v>
      </c>
    </row>
    <row r="141" spans="1:10" x14ac:dyDescent="0.3">
      <c r="A141" s="6" t="s">
        <v>751</v>
      </c>
      <c r="B141" s="7" t="s">
        <v>127</v>
      </c>
      <c r="C141" s="7" t="s">
        <v>727</v>
      </c>
      <c r="D141" s="7" t="s">
        <v>12</v>
      </c>
      <c r="E141" s="7" t="s">
        <v>752</v>
      </c>
      <c r="F141" s="7" t="s">
        <v>753</v>
      </c>
      <c r="G141" s="7" t="s">
        <v>754</v>
      </c>
      <c r="H141" s="7">
        <v>20</v>
      </c>
      <c r="I141" s="7" t="s">
        <v>513</v>
      </c>
      <c r="J141" s="7" t="s">
        <v>755</v>
      </c>
    </row>
    <row r="142" spans="1:10" x14ac:dyDescent="0.3">
      <c r="A142" s="6" t="s">
        <v>756</v>
      </c>
      <c r="B142" s="7" t="s">
        <v>127</v>
      </c>
      <c r="C142" s="7" t="s">
        <v>727</v>
      </c>
      <c r="D142" s="7" t="s">
        <v>12</v>
      </c>
      <c r="E142" s="7" t="s">
        <v>752</v>
      </c>
      <c r="F142" s="7" t="s">
        <v>753</v>
      </c>
      <c r="G142" s="7" t="s">
        <v>757</v>
      </c>
      <c r="H142" s="7">
        <v>16</v>
      </c>
      <c r="I142" s="7" t="s">
        <v>758</v>
      </c>
      <c r="J142" s="7" t="s">
        <v>759</v>
      </c>
    </row>
    <row r="143" spans="1:10" x14ac:dyDescent="0.3">
      <c r="A143" s="6" t="s">
        <v>760</v>
      </c>
      <c r="B143" s="7" t="s">
        <v>127</v>
      </c>
      <c r="C143" s="7" t="s">
        <v>727</v>
      </c>
      <c r="D143" s="7" t="s">
        <v>12</v>
      </c>
      <c r="E143" s="7" t="s">
        <v>761</v>
      </c>
      <c r="F143" s="7" t="s">
        <v>762</v>
      </c>
      <c r="G143" s="7" t="s">
        <v>763</v>
      </c>
      <c r="H143" s="7">
        <v>15</v>
      </c>
      <c r="I143" s="7" t="s">
        <v>764</v>
      </c>
      <c r="J143" s="7" t="s">
        <v>189</v>
      </c>
    </row>
    <row r="144" spans="1:10" x14ac:dyDescent="0.3">
      <c r="A144" s="6" t="s">
        <v>765</v>
      </c>
      <c r="B144" s="7" t="s">
        <v>127</v>
      </c>
      <c r="C144" s="7" t="s">
        <v>727</v>
      </c>
      <c r="D144" s="7" t="s">
        <v>12</v>
      </c>
      <c r="E144" s="7" t="s">
        <v>761</v>
      </c>
      <c r="F144" s="7" t="s">
        <v>762</v>
      </c>
      <c r="G144" s="7" t="s">
        <v>766</v>
      </c>
      <c r="H144" s="7">
        <v>10</v>
      </c>
      <c r="I144" s="7" t="s">
        <v>645</v>
      </c>
      <c r="J144" s="7" t="s">
        <v>767</v>
      </c>
    </row>
    <row r="145" spans="1:10" x14ac:dyDescent="0.3">
      <c r="A145" s="6" t="s">
        <v>768</v>
      </c>
      <c r="B145" s="7" t="s">
        <v>127</v>
      </c>
      <c r="C145" s="7" t="s">
        <v>727</v>
      </c>
      <c r="D145" s="7" t="s">
        <v>12</v>
      </c>
      <c r="E145" s="7" t="s">
        <v>761</v>
      </c>
      <c r="F145" s="7" t="s">
        <v>762</v>
      </c>
      <c r="G145" s="7" t="s">
        <v>769</v>
      </c>
      <c r="H145" s="7">
        <v>0</v>
      </c>
      <c r="I145" s="7" t="s">
        <v>770</v>
      </c>
      <c r="J145" s="7"/>
    </row>
    <row r="146" spans="1:10" x14ac:dyDescent="0.3">
      <c r="A146" s="6" t="s">
        <v>771</v>
      </c>
      <c r="B146" s="7" t="s">
        <v>127</v>
      </c>
      <c r="C146" s="7" t="s">
        <v>727</v>
      </c>
      <c r="D146" s="7" t="s">
        <v>12</v>
      </c>
      <c r="E146" s="7" t="s">
        <v>761</v>
      </c>
      <c r="F146" s="7" t="s">
        <v>762</v>
      </c>
      <c r="G146" s="7" t="s">
        <v>772</v>
      </c>
      <c r="H146" s="7">
        <v>11</v>
      </c>
      <c r="I146" s="7" t="s">
        <v>773</v>
      </c>
      <c r="J146" s="7" t="s">
        <v>774</v>
      </c>
    </row>
    <row r="147" spans="1:10" x14ac:dyDescent="0.3">
      <c r="A147" s="6" t="s">
        <v>775</v>
      </c>
      <c r="B147" s="7" t="s">
        <v>127</v>
      </c>
      <c r="C147" s="7" t="s">
        <v>727</v>
      </c>
      <c r="D147" s="7" t="s">
        <v>12</v>
      </c>
      <c r="E147" s="7" t="s">
        <v>761</v>
      </c>
      <c r="F147" s="7" t="s">
        <v>762</v>
      </c>
      <c r="G147" s="7" t="s">
        <v>776</v>
      </c>
      <c r="H147" s="7">
        <v>6</v>
      </c>
      <c r="I147" s="7" t="s">
        <v>770</v>
      </c>
      <c r="J147" s="7" t="s">
        <v>777</v>
      </c>
    </row>
    <row r="148" spans="1:10" x14ac:dyDescent="0.3">
      <c r="A148" s="6" t="s">
        <v>778</v>
      </c>
      <c r="B148" s="7" t="s">
        <v>127</v>
      </c>
      <c r="C148" s="7" t="s">
        <v>727</v>
      </c>
      <c r="D148" s="7" t="s">
        <v>12</v>
      </c>
      <c r="E148" s="7" t="s">
        <v>761</v>
      </c>
      <c r="F148" s="7" t="s">
        <v>762</v>
      </c>
      <c r="G148" s="7" t="s">
        <v>779</v>
      </c>
      <c r="H148" s="7">
        <v>1</v>
      </c>
      <c r="I148" s="7" t="s">
        <v>780</v>
      </c>
      <c r="J148" s="7" t="s">
        <v>781</v>
      </c>
    </row>
    <row r="149" spans="1:10" x14ac:dyDescent="0.3">
      <c r="A149" s="6" t="s">
        <v>782</v>
      </c>
      <c r="B149" s="7" t="s">
        <v>127</v>
      </c>
      <c r="C149" s="7" t="s">
        <v>727</v>
      </c>
      <c r="D149" s="7" t="s">
        <v>12</v>
      </c>
      <c r="E149" s="7" t="s">
        <v>761</v>
      </c>
      <c r="F149" s="7" t="s">
        <v>762</v>
      </c>
      <c r="G149" s="7" t="s">
        <v>783</v>
      </c>
      <c r="H149" s="7">
        <v>20</v>
      </c>
      <c r="I149" s="7" t="s">
        <v>542</v>
      </c>
      <c r="J149" s="7" t="s">
        <v>185</v>
      </c>
    </row>
    <row r="150" spans="1:10" x14ac:dyDescent="0.3">
      <c r="A150" s="6" t="s">
        <v>784</v>
      </c>
      <c r="B150" s="7" t="s">
        <v>127</v>
      </c>
      <c r="C150" s="7" t="s">
        <v>727</v>
      </c>
      <c r="D150" s="7" t="s">
        <v>12</v>
      </c>
      <c r="E150" s="7" t="s">
        <v>785</v>
      </c>
      <c r="F150" s="7" t="s">
        <v>786</v>
      </c>
      <c r="G150" s="7" t="s">
        <v>787</v>
      </c>
      <c r="H150" s="7">
        <v>9</v>
      </c>
      <c r="I150" s="7" t="s">
        <v>343</v>
      </c>
      <c r="J150" s="7" t="s">
        <v>788</v>
      </c>
    </row>
    <row r="151" spans="1:10" x14ac:dyDescent="0.3">
      <c r="A151" s="6" t="s">
        <v>789</v>
      </c>
      <c r="B151" s="7" t="s">
        <v>127</v>
      </c>
      <c r="C151" s="7" t="s">
        <v>727</v>
      </c>
      <c r="D151" s="7" t="s">
        <v>12</v>
      </c>
      <c r="E151" s="7" t="s">
        <v>790</v>
      </c>
      <c r="F151" s="7" t="s">
        <v>791</v>
      </c>
      <c r="G151" s="7" t="s">
        <v>792</v>
      </c>
      <c r="H151" s="7">
        <v>6</v>
      </c>
      <c r="I151" s="7" t="s">
        <v>630</v>
      </c>
      <c r="J151" s="7" t="s">
        <v>793</v>
      </c>
    </row>
    <row r="152" spans="1:10" x14ac:dyDescent="0.3">
      <c r="A152" s="6" t="s">
        <v>794</v>
      </c>
      <c r="B152" s="7" t="s">
        <v>127</v>
      </c>
      <c r="C152" s="7" t="s">
        <v>727</v>
      </c>
      <c r="D152" s="7" t="s">
        <v>12</v>
      </c>
      <c r="E152" s="7" t="s">
        <v>795</v>
      </c>
      <c r="F152" s="7" t="s">
        <v>796</v>
      </c>
      <c r="G152" s="7" t="s">
        <v>797</v>
      </c>
      <c r="H152" s="7">
        <v>24</v>
      </c>
      <c r="I152" s="7" t="s">
        <v>250</v>
      </c>
      <c r="J152" s="7" t="s">
        <v>189</v>
      </c>
    </row>
    <row r="153" spans="1:10" x14ac:dyDescent="0.3">
      <c r="A153" s="6" t="s">
        <v>798</v>
      </c>
      <c r="B153" s="7" t="s">
        <v>127</v>
      </c>
      <c r="C153" s="7" t="s">
        <v>727</v>
      </c>
      <c r="D153" s="7" t="s">
        <v>12</v>
      </c>
      <c r="E153" s="7" t="s">
        <v>799</v>
      </c>
      <c r="F153" s="7" t="s">
        <v>212</v>
      </c>
      <c r="G153" s="7" t="s">
        <v>800</v>
      </c>
      <c r="H153" s="7">
        <v>8</v>
      </c>
      <c r="I153" s="7" t="s">
        <v>355</v>
      </c>
      <c r="J153" s="7" t="s">
        <v>404</v>
      </c>
    </row>
    <row r="154" spans="1:10" x14ac:dyDescent="0.3">
      <c r="A154" s="6" t="s">
        <v>801</v>
      </c>
      <c r="B154" s="7" t="s">
        <v>127</v>
      </c>
      <c r="C154" s="7" t="s">
        <v>727</v>
      </c>
      <c r="D154" s="7" t="s">
        <v>12</v>
      </c>
      <c r="E154" s="7" t="s">
        <v>802</v>
      </c>
      <c r="F154" s="7" t="s">
        <v>803</v>
      </c>
      <c r="G154" s="7" t="s">
        <v>804</v>
      </c>
      <c r="H154" s="7">
        <v>18</v>
      </c>
      <c r="I154" s="7" t="s">
        <v>805</v>
      </c>
      <c r="J154" s="7" t="s">
        <v>806</v>
      </c>
    </row>
    <row r="155" spans="1:10" x14ac:dyDescent="0.3">
      <c r="A155" s="6" t="s">
        <v>807</v>
      </c>
      <c r="B155" s="7" t="s">
        <v>127</v>
      </c>
      <c r="C155" s="7" t="s">
        <v>727</v>
      </c>
      <c r="D155" s="7" t="s">
        <v>12</v>
      </c>
      <c r="E155" s="7" t="s">
        <v>808</v>
      </c>
      <c r="F155" s="7" t="s">
        <v>809</v>
      </c>
      <c r="G155" s="7" t="s">
        <v>810</v>
      </c>
      <c r="H155" s="7">
        <v>3</v>
      </c>
      <c r="I155" s="7" t="s">
        <v>811</v>
      </c>
      <c r="J155" s="7" t="s">
        <v>189</v>
      </c>
    </row>
    <row r="156" spans="1:10" x14ac:dyDescent="0.3">
      <c r="A156" s="6" t="s">
        <v>812</v>
      </c>
      <c r="B156" s="7" t="s">
        <v>127</v>
      </c>
      <c r="C156" s="7" t="s">
        <v>727</v>
      </c>
      <c r="D156" s="7" t="s">
        <v>12</v>
      </c>
      <c r="E156" s="7" t="s">
        <v>813</v>
      </c>
      <c r="F156" s="7" t="s">
        <v>814</v>
      </c>
      <c r="G156" s="7" t="s">
        <v>815</v>
      </c>
      <c r="H156" s="7"/>
      <c r="I156" s="7" t="s">
        <v>328</v>
      </c>
      <c r="J156" s="7" t="s">
        <v>542</v>
      </c>
    </row>
    <row r="157" spans="1:10" x14ac:dyDescent="0.3">
      <c r="A157" s="6" t="s">
        <v>816</v>
      </c>
      <c r="B157" s="7" t="s">
        <v>127</v>
      </c>
      <c r="C157" s="7" t="s">
        <v>727</v>
      </c>
      <c r="D157" s="7" t="s">
        <v>12</v>
      </c>
      <c r="E157" s="7" t="s">
        <v>817</v>
      </c>
      <c r="F157" s="7" t="s">
        <v>818</v>
      </c>
      <c r="G157" s="7" t="s">
        <v>819</v>
      </c>
      <c r="H157" s="7">
        <v>12</v>
      </c>
      <c r="I157" s="7" t="s">
        <v>562</v>
      </c>
      <c r="J157" s="7" t="s">
        <v>155</v>
      </c>
    </row>
    <row r="158" spans="1:10" x14ac:dyDescent="0.3">
      <c r="A158" s="6" t="s">
        <v>820</v>
      </c>
      <c r="B158" s="7" t="s">
        <v>127</v>
      </c>
      <c r="C158" s="7" t="s">
        <v>727</v>
      </c>
      <c r="D158" s="7" t="s">
        <v>12</v>
      </c>
      <c r="E158" s="7" t="s">
        <v>821</v>
      </c>
      <c r="F158" s="7" t="s">
        <v>822</v>
      </c>
      <c r="G158" s="7" t="s">
        <v>823</v>
      </c>
      <c r="H158" s="7">
        <v>14</v>
      </c>
      <c r="I158" s="7" t="s">
        <v>735</v>
      </c>
      <c r="J158" s="7" t="s">
        <v>824</v>
      </c>
    </row>
    <row r="159" spans="1:10" x14ac:dyDescent="0.3">
      <c r="A159" s="6" t="s">
        <v>825</v>
      </c>
      <c r="B159" s="7" t="s">
        <v>127</v>
      </c>
      <c r="C159" s="7" t="s">
        <v>727</v>
      </c>
      <c r="D159" s="7" t="s">
        <v>12</v>
      </c>
      <c r="E159" s="7" t="s">
        <v>826</v>
      </c>
      <c r="F159" s="7" t="s">
        <v>827</v>
      </c>
      <c r="G159" s="7" t="s">
        <v>828</v>
      </c>
      <c r="H159" s="7">
        <v>6</v>
      </c>
      <c r="I159" s="7" t="s">
        <v>829</v>
      </c>
      <c r="J159" s="7" t="s">
        <v>189</v>
      </c>
    </row>
    <row r="160" spans="1:10" x14ac:dyDescent="0.3">
      <c r="A160" s="6" t="s">
        <v>830</v>
      </c>
      <c r="B160" s="7" t="s">
        <v>127</v>
      </c>
      <c r="C160" s="7" t="s">
        <v>727</v>
      </c>
      <c r="D160" s="7" t="s">
        <v>12</v>
      </c>
      <c r="E160" s="7" t="s">
        <v>831</v>
      </c>
      <c r="F160" s="7" t="s">
        <v>832</v>
      </c>
      <c r="G160" s="7" t="s">
        <v>833</v>
      </c>
      <c r="H160" s="7">
        <v>1</v>
      </c>
      <c r="I160" s="7" t="s">
        <v>834</v>
      </c>
      <c r="J160" s="7" t="s">
        <v>199</v>
      </c>
    </row>
    <row r="161" spans="1:10" x14ac:dyDescent="0.3">
      <c r="A161" s="6" t="s">
        <v>835</v>
      </c>
      <c r="B161" s="7" t="s">
        <v>127</v>
      </c>
      <c r="C161" s="7" t="s">
        <v>727</v>
      </c>
      <c r="D161" s="7" t="s">
        <v>12</v>
      </c>
      <c r="E161" s="7" t="s">
        <v>836</v>
      </c>
      <c r="F161" s="7" t="s">
        <v>837</v>
      </c>
      <c r="G161" s="7" t="s">
        <v>838</v>
      </c>
      <c r="H161" s="7">
        <v>1</v>
      </c>
      <c r="I161" s="7" t="s">
        <v>645</v>
      </c>
      <c r="J161" s="7" t="s">
        <v>839</v>
      </c>
    </row>
    <row r="162" spans="1:10" x14ac:dyDescent="0.3">
      <c r="A162" s="6" t="s">
        <v>840</v>
      </c>
      <c r="B162" s="7" t="s">
        <v>127</v>
      </c>
      <c r="C162" s="7" t="s">
        <v>727</v>
      </c>
      <c r="D162" s="7" t="s">
        <v>12</v>
      </c>
      <c r="E162" s="7" t="s">
        <v>282</v>
      </c>
      <c r="F162" s="7" t="s">
        <v>283</v>
      </c>
      <c r="G162" s="7" t="s">
        <v>841</v>
      </c>
      <c r="H162" s="7">
        <v>2</v>
      </c>
      <c r="I162" s="7" t="s">
        <v>403</v>
      </c>
      <c r="J162" s="7" t="s">
        <v>199</v>
      </c>
    </row>
    <row r="163" spans="1:10" x14ac:dyDescent="0.3">
      <c r="A163" s="6" t="s">
        <v>842</v>
      </c>
      <c r="B163" s="7" t="s">
        <v>127</v>
      </c>
      <c r="C163" s="7" t="s">
        <v>727</v>
      </c>
      <c r="D163" s="7" t="s">
        <v>12</v>
      </c>
      <c r="E163" s="7" t="s">
        <v>843</v>
      </c>
      <c r="F163" s="7" t="s">
        <v>844</v>
      </c>
      <c r="G163" s="7" t="s">
        <v>845</v>
      </c>
      <c r="H163" s="7">
        <v>32</v>
      </c>
      <c r="I163" s="7" t="s">
        <v>423</v>
      </c>
      <c r="J163" s="7" t="s">
        <v>185</v>
      </c>
    </row>
    <row r="164" spans="1:10" x14ac:dyDescent="0.3">
      <c r="A164" s="6" t="s">
        <v>846</v>
      </c>
      <c r="B164" s="7" t="s">
        <v>127</v>
      </c>
      <c r="C164" s="7" t="s">
        <v>727</v>
      </c>
      <c r="D164" s="7" t="s">
        <v>12</v>
      </c>
      <c r="E164" s="7" t="s">
        <v>847</v>
      </c>
      <c r="F164" s="7" t="s">
        <v>848</v>
      </c>
      <c r="G164" s="7" t="s">
        <v>849</v>
      </c>
      <c r="H164" s="7">
        <v>6</v>
      </c>
      <c r="I164" s="7" t="s">
        <v>407</v>
      </c>
      <c r="J164" s="7" t="s">
        <v>806</v>
      </c>
    </row>
    <row r="165" spans="1:10" x14ac:dyDescent="0.3">
      <c r="A165" s="6" t="s">
        <v>850</v>
      </c>
      <c r="B165" s="7" t="s">
        <v>127</v>
      </c>
      <c r="C165" s="7" t="s">
        <v>727</v>
      </c>
      <c r="D165" s="7" t="s">
        <v>12</v>
      </c>
      <c r="E165" s="7" t="s">
        <v>847</v>
      </c>
      <c r="F165" s="7" t="s">
        <v>848</v>
      </c>
      <c r="G165" s="7" t="s">
        <v>851</v>
      </c>
      <c r="H165" s="7">
        <v>5</v>
      </c>
      <c r="I165" s="7" t="s">
        <v>407</v>
      </c>
      <c r="J165" s="7" t="s">
        <v>806</v>
      </c>
    </row>
    <row r="166" spans="1:10" x14ac:dyDescent="0.3">
      <c r="A166" s="6" t="s">
        <v>852</v>
      </c>
      <c r="B166" s="7" t="s">
        <v>127</v>
      </c>
      <c r="C166" s="7" t="s">
        <v>727</v>
      </c>
      <c r="D166" s="7" t="s">
        <v>12</v>
      </c>
      <c r="E166" s="7" t="s">
        <v>853</v>
      </c>
      <c r="F166" s="7" t="s">
        <v>854</v>
      </c>
      <c r="G166" s="7" t="s">
        <v>855</v>
      </c>
      <c r="H166" s="7">
        <v>7</v>
      </c>
      <c r="I166" s="7" t="s">
        <v>343</v>
      </c>
      <c r="J166" s="7" t="s">
        <v>856</v>
      </c>
    </row>
    <row r="167" spans="1:10" x14ac:dyDescent="0.3">
      <c r="A167" s="6" t="s">
        <v>857</v>
      </c>
      <c r="B167" s="7" t="s">
        <v>127</v>
      </c>
      <c r="C167" s="7" t="s">
        <v>727</v>
      </c>
      <c r="D167" s="7" t="s">
        <v>12</v>
      </c>
      <c r="E167" s="7" t="s">
        <v>853</v>
      </c>
      <c r="F167" s="7" t="s">
        <v>854</v>
      </c>
      <c r="G167" s="7" t="s">
        <v>858</v>
      </c>
      <c r="H167" s="7">
        <v>7</v>
      </c>
      <c r="I167" s="7" t="s">
        <v>859</v>
      </c>
      <c r="J167" s="7" t="s">
        <v>199</v>
      </c>
    </row>
    <row r="168" spans="1:10" x14ac:dyDescent="0.3">
      <c r="A168" s="6" t="s">
        <v>860</v>
      </c>
      <c r="B168" s="7" t="s">
        <v>127</v>
      </c>
      <c r="C168" s="7" t="s">
        <v>727</v>
      </c>
      <c r="D168" s="7" t="s">
        <v>12</v>
      </c>
      <c r="E168" s="7" t="s">
        <v>861</v>
      </c>
      <c r="F168" s="7" t="s">
        <v>862</v>
      </c>
      <c r="G168" s="7" t="s">
        <v>863</v>
      </c>
      <c r="H168" s="7">
        <v>6</v>
      </c>
      <c r="I168" s="7" t="s">
        <v>864</v>
      </c>
      <c r="J168" s="7" t="s">
        <v>793</v>
      </c>
    </row>
    <row r="169" spans="1:10" x14ac:dyDescent="0.3">
      <c r="A169" s="6" t="s">
        <v>865</v>
      </c>
      <c r="B169" s="7" t="s">
        <v>127</v>
      </c>
      <c r="C169" s="7" t="s">
        <v>727</v>
      </c>
      <c r="D169" s="7" t="s">
        <v>12</v>
      </c>
      <c r="E169" s="7" t="s">
        <v>866</v>
      </c>
      <c r="F169" s="7" t="s">
        <v>867</v>
      </c>
      <c r="G169" s="7" t="s">
        <v>868</v>
      </c>
      <c r="H169" s="7">
        <v>7</v>
      </c>
      <c r="I169" s="7" t="s">
        <v>621</v>
      </c>
      <c r="J169" s="7" t="s">
        <v>869</v>
      </c>
    </row>
    <row r="170" spans="1:10" x14ac:dyDescent="0.3">
      <c r="A170" s="6" t="s">
        <v>870</v>
      </c>
      <c r="B170" s="7" t="s">
        <v>127</v>
      </c>
      <c r="C170" s="7" t="s">
        <v>727</v>
      </c>
      <c r="D170" s="7" t="s">
        <v>12</v>
      </c>
      <c r="E170" s="7" t="s">
        <v>871</v>
      </c>
      <c r="F170" s="7" t="s">
        <v>872</v>
      </c>
      <c r="G170" s="7" t="s">
        <v>873</v>
      </c>
      <c r="H170" s="7">
        <v>3</v>
      </c>
      <c r="I170" s="7" t="s">
        <v>874</v>
      </c>
      <c r="J170" s="7" t="s">
        <v>304</v>
      </c>
    </row>
    <row r="171" spans="1:10" x14ac:dyDescent="0.3">
      <c r="A171" s="6" t="s">
        <v>875</v>
      </c>
      <c r="B171" s="7" t="s">
        <v>127</v>
      </c>
      <c r="C171" s="7" t="s">
        <v>727</v>
      </c>
      <c r="D171" s="7" t="s">
        <v>12</v>
      </c>
      <c r="E171" s="7" t="s">
        <v>876</v>
      </c>
      <c r="F171" s="7" t="s">
        <v>877</v>
      </c>
      <c r="G171" s="7" t="s">
        <v>878</v>
      </c>
      <c r="H171" s="7">
        <v>2</v>
      </c>
      <c r="I171" s="7" t="s">
        <v>879</v>
      </c>
      <c r="J171" s="7" t="s">
        <v>880</v>
      </c>
    </row>
    <row r="172" spans="1:10" x14ac:dyDescent="0.3">
      <c r="A172" s="6" t="s">
        <v>881</v>
      </c>
      <c r="B172" s="7" t="s">
        <v>127</v>
      </c>
      <c r="C172" s="7" t="s">
        <v>727</v>
      </c>
      <c r="D172" s="7" t="s">
        <v>12</v>
      </c>
      <c r="E172" s="7" t="s">
        <v>882</v>
      </c>
      <c r="F172" s="7" t="s">
        <v>883</v>
      </c>
      <c r="G172" s="7" t="s">
        <v>884</v>
      </c>
      <c r="H172" s="7">
        <v>7</v>
      </c>
      <c r="I172" s="7" t="s">
        <v>513</v>
      </c>
      <c r="J172" s="7" t="s">
        <v>885</v>
      </c>
    </row>
    <row r="173" spans="1:10" x14ac:dyDescent="0.3">
      <c r="A173" s="6" t="s">
        <v>886</v>
      </c>
      <c r="B173" s="7" t="s">
        <v>127</v>
      </c>
      <c r="C173" s="7" t="s">
        <v>727</v>
      </c>
      <c r="D173" s="7" t="s">
        <v>12</v>
      </c>
      <c r="E173" s="7" t="s">
        <v>887</v>
      </c>
      <c r="F173" s="7" t="s">
        <v>888</v>
      </c>
      <c r="G173" s="7" t="s">
        <v>889</v>
      </c>
      <c r="H173" s="7">
        <v>10</v>
      </c>
      <c r="I173" s="7" t="s">
        <v>165</v>
      </c>
      <c r="J173" s="7" t="s">
        <v>143</v>
      </c>
    </row>
    <row r="174" spans="1:10" x14ac:dyDescent="0.3">
      <c r="A174" s="6" t="s">
        <v>890</v>
      </c>
      <c r="B174" s="7" t="s">
        <v>127</v>
      </c>
      <c r="C174" s="7" t="s">
        <v>727</v>
      </c>
      <c r="D174" s="7" t="s">
        <v>12</v>
      </c>
      <c r="E174" s="7" t="s">
        <v>891</v>
      </c>
      <c r="F174" s="7" t="s">
        <v>401</v>
      </c>
      <c r="G174" s="7" t="s">
        <v>892</v>
      </c>
      <c r="H174" s="7">
        <v>35</v>
      </c>
      <c r="I174" s="7" t="s">
        <v>893</v>
      </c>
      <c r="J174" s="7" t="s">
        <v>894</v>
      </c>
    </row>
    <row r="175" spans="1:10" x14ac:dyDescent="0.3">
      <c r="A175" s="6" t="s">
        <v>895</v>
      </c>
      <c r="B175" s="7" t="s">
        <v>127</v>
      </c>
      <c r="C175" s="7" t="s">
        <v>727</v>
      </c>
      <c r="D175" s="7" t="s">
        <v>12</v>
      </c>
      <c r="E175" s="7" t="s">
        <v>896</v>
      </c>
      <c r="F175" s="7" t="s">
        <v>897</v>
      </c>
      <c r="G175" s="7" t="s">
        <v>898</v>
      </c>
      <c r="H175" s="7">
        <v>5</v>
      </c>
      <c r="I175" s="7" t="s">
        <v>770</v>
      </c>
      <c r="J175" s="7" t="s">
        <v>612</v>
      </c>
    </row>
    <row r="176" spans="1:10" x14ac:dyDescent="0.3">
      <c r="A176" s="6" t="s">
        <v>899</v>
      </c>
      <c r="B176" s="7" t="s">
        <v>127</v>
      </c>
      <c r="C176" s="7" t="s">
        <v>727</v>
      </c>
      <c r="D176" s="7" t="s">
        <v>12</v>
      </c>
      <c r="E176" s="7" t="s">
        <v>896</v>
      </c>
      <c r="F176" s="7" t="s">
        <v>897</v>
      </c>
      <c r="G176" s="7" t="s">
        <v>900</v>
      </c>
      <c r="H176" s="7">
        <v>1</v>
      </c>
      <c r="I176" s="7" t="s">
        <v>308</v>
      </c>
      <c r="J176" s="7" t="s">
        <v>901</v>
      </c>
    </row>
    <row r="177" spans="1:10" x14ac:dyDescent="0.3">
      <c r="A177" s="6" t="s">
        <v>902</v>
      </c>
      <c r="B177" s="7" t="s">
        <v>127</v>
      </c>
      <c r="C177" s="7" t="s">
        <v>727</v>
      </c>
      <c r="D177" s="7" t="s">
        <v>12</v>
      </c>
      <c r="E177" s="7" t="s">
        <v>896</v>
      </c>
      <c r="F177" s="7" t="s">
        <v>897</v>
      </c>
      <c r="G177" s="7" t="s">
        <v>903</v>
      </c>
      <c r="H177" s="7">
        <v>11</v>
      </c>
      <c r="I177" s="7" t="s">
        <v>904</v>
      </c>
      <c r="J177" s="7" t="s">
        <v>166</v>
      </c>
    </row>
    <row r="178" spans="1:10" x14ac:dyDescent="0.3">
      <c r="A178" s="6" t="s">
        <v>905</v>
      </c>
      <c r="B178" s="7" t="s">
        <v>127</v>
      </c>
      <c r="C178" s="7" t="s">
        <v>727</v>
      </c>
      <c r="D178" s="7" t="s">
        <v>12</v>
      </c>
      <c r="E178" s="7" t="s">
        <v>906</v>
      </c>
      <c r="F178" s="7" t="s">
        <v>907</v>
      </c>
      <c r="G178" s="7" t="s">
        <v>908</v>
      </c>
      <c r="H178" s="7">
        <v>7</v>
      </c>
      <c r="I178" s="7" t="s">
        <v>909</v>
      </c>
      <c r="J178" s="7" t="s">
        <v>910</v>
      </c>
    </row>
    <row r="179" spans="1:10" x14ac:dyDescent="0.3">
      <c r="A179" s="6" t="s">
        <v>911</v>
      </c>
      <c r="B179" s="7" t="s">
        <v>127</v>
      </c>
      <c r="C179" s="7" t="s">
        <v>727</v>
      </c>
      <c r="D179" s="7" t="s">
        <v>12</v>
      </c>
      <c r="E179" s="7" t="s">
        <v>912</v>
      </c>
      <c r="F179" s="7" t="s">
        <v>430</v>
      </c>
      <c r="G179" s="7" t="s">
        <v>101</v>
      </c>
      <c r="H179" s="7">
        <v>95</v>
      </c>
      <c r="I179" s="7" t="s">
        <v>74</v>
      </c>
      <c r="J179" s="7" t="s">
        <v>348</v>
      </c>
    </row>
    <row r="180" spans="1:10" x14ac:dyDescent="0.3">
      <c r="A180" s="6" t="s">
        <v>913</v>
      </c>
      <c r="B180" s="7" t="s">
        <v>127</v>
      </c>
      <c r="C180" s="7" t="s">
        <v>727</v>
      </c>
      <c r="D180" s="7" t="s">
        <v>12</v>
      </c>
      <c r="E180" s="7" t="s">
        <v>914</v>
      </c>
      <c r="F180" s="7" t="s">
        <v>433</v>
      </c>
      <c r="G180" s="7" t="s">
        <v>101</v>
      </c>
      <c r="H180" s="7">
        <v>18</v>
      </c>
      <c r="I180" s="7" t="s">
        <v>74</v>
      </c>
      <c r="J180" s="7" t="s">
        <v>348</v>
      </c>
    </row>
    <row r="181" spans="1:10" x14ac:dyDescent="0.3">
      <c r="A181" s="6" t="s">
        <v>915</v>
      </c>
      <c r="B181" s="7" t="s">
        <v>127</v>
      </c>
      <c r="C181" s="7" t="s">
        <v>727</v>
      </c>
      <c r="D181" s="7" t="s">
        <v>12</v>
      </c>
      <c r="E181" s="7" t="s">
        <v>916</v>
      </c>
      <c r="F181" s="7" t="s">
        <v>917</v>
      </c>
      <c r="G181" s="7" t="s">
        <v>918</v>
      </c>
      <c r="H181" s="7">
        <v>5</v>
      </c>
      <c r="I181" s="7" t="s">
        <v>919</v>
      </c>
      <c r="J181" s="7" t="s">
        <v>294</v>
      </c>
    </row>
    <row r="182" spans="1:10" x14ac:dyDescent="0.3">
      <c r="A182" s="6" t="s">
        <v>920</v>
      </c>
      <c r="B182" s="7" t="s">
        <v>127</v>
      </c>
      <c r="C182" s="7" t="s">
        <v>727</v>
      </c>
      <c r="D182" s="7" t="s">
        <v>12</v>
      </c>
      <c r="E182" s="7" t="s">
        <v>916</v>
      </c>
      <c r="F182" s="7" t="s">
        <v>917</v>
      </c>
      <c r="G182" s="7" t="s">
        <v>921</v>
      </c>
      <c r="H182" s="7">
        <v>2</v>
      </c>
      <c r="I182" s="7" t="s">
        <v>922</v>
      </c>
      <c r="J182" s="7" t="s">
        <v>923</v>
      </c>
    </row>
    <row r="183" spans="1:10" x14ac:dyDescent="0.3">
      <c r="A183" s="6" t="s">
        <v>924</v>
      </c>
      <c r="B183" s="7" t="s">
        <v>127</v>
      </c>
      <c r="C183" s="7" t="s">
        <v>727</v>
      </c>
      <c r="D183" s="7" t="s">
        <v>12</v>
      </c>
      <c r="E183" s="7" t="s">
        <v>916</v>
      </c>
      <c r="F183" s="7" t="s">
        <v>917</v>
      </c>
      <c r="G183" s="7" t="s">
        <v>925</v>
      </c>
      <c r="H183" s="7">
        <v>3</v>
      </c>
      <c r="I183" s="7" t="s">
        <v>926</v>
      </c>
      <c r="J183" s="7" t="s">
        <v>340</v>
      </c>
    </row>
    <row r="184" spans="1:10" x14ac:dyDescent="0.3">
      <c r="A184" s="6" t="s">
        <v>927</v>
      </c>
      <c r="B184" s="7" t="s">
        <v>127</v>
      </c>
      <c r="C184" s="7" t="s">
        <v>727</v>
      </c>
      <c r="D184" s="7" t="s">
        <v>12</v>
      </c>
      <c r="E184" s="7" t="s">
        <v>928</v>
      </c>
      <c r="F184" s="7" t="s">
        <v>929</v>
      </c>
      <c r="G184" s="7" t="s">
        <v>930</v>
      </c>
      <c r="H184" s="7">
        <v>2</v>
      </c>
      <c r="I184" s="7" t="s">
        <v>513</v>
      </c>
      <c r="J184" s="7" t="s">
        <v>931</v>
      </c>
    </row>
    <row r="185" spans="1:10" x14ac:dyDescent="0.3">
      <c r="A185" s="6" t="s">
        <v>932</v>
      </c>
      <c r="B185" s="7" t="s">
        <v>127</v>
      </c>
      <c r="C185" s="7" t="s">
        <v>727</v>
      </c>
      <c r="D185" s="7" t="s">
        <v>12</v>
      </c>
      <c r="E185" s="7" t="s">
        <v>928</v>
      </c>
      <c r="F185" s="7" t="s">
        <v>929</v>
      </c>
      <c r="G185" s="7" t="s">
        <v>933</v>
      </c>
      <c r="H185" s="7">
        <v>10</v>
      </c>
      <c r="I185" s="7" t="s">
        <v>318</v>
      </c>
      <c r="J185" s="7" t="s">
        <v>934</v>
      </c>
    </row>
    <row r="186" spans="1:10" x14ac:dyDescent="0.3">
      <c r="A186" s="6" t="s">
        <v>935</v>
      </c>
      <c r="B186" s="7" t="s">
        <v>127</v>
      </c>
      <c r="C186" s="7" t="s">
        <v>727</v>
      </c>
      <c r="D186" s="7" t="s">
        <v>12</v>
      </c>
      <c r="E186" s="7" t="s">
        <v>936</v>
      </c>
      <c r="F186" s="7" t="s">
        <v>937</v>
      </c>
      <c r="G186" s="7" t="s">
        <v>938</v>
      </c>
      <c r="H186" s="7">
        <v>2</v>
      </c>
      <c r="I186" s="7" t="s">
        <v>939</v>
      </c>
      <c r="J186" s="7" t="s">
        <v>940</v>
      </c>
    </row>
    <row r="187" spans="1:10" x14ac:dyDescent="0.3">
      <c r="A187" s="6" t="s">
        <v>941</v>
      </c>
      <c r="B187" s="7" t="s">
        <v>127</v>
      </c>
      <c r="C187" s="7" t="s">
        <v>727</v>
      </c>
      <c r="D187" s="7" t="s">
        <v>12</v>
      </c>
      <c r="E187" s="7" t="s">
        <v>942</v>
      </c>
      <c r="F187" s="7" t="s">
        <v>943</v>
      </c>
      <c r="G187" s="7" t="s">
        <v>944</v>
      </c>
      <c r="H187" s="7">
        <v>11</v>
      </c>
      <c r="I187" s="7" t="s">
        <v>552</v>
      </c>
      <c r="J187" s="7" t="s">
        <v>945</v>
      </c>
    </row>
    <row r="188" spans="1:10" x14ac:dyDescent="0.3">
      <c r="A188" s="6" t="s">
        <v>946</v>
      </c>
      <c r="B188" s="7" t="s">
        <v>127</v>
      </c>
      <c r="C188" s="7" t="s">
        <v>727</v>
      </c>
      <c r="D188" s="7" t="s">
        <v>12</v>
      </c>
      <c r="E188" s="7" t="s">
        <v>947</v>
      </c>
      <c r="F188" s="7" t="s">
        <v>948</v>
      </c>
      <c r="G188" s="7" t="s">
        <v>949</v>
      </c>
      <c r="H188" s="7">
        <v>6</v>
      </c>
      <c r="I188" s="7" t="s">
        <v>950</v>
      </c>
      <c r="J188" s="7" t="s">
        <v>483</v>
      </c>
    </row>
    <row r="189" spans="1:10" x14ac:dyDescent="0.3">
      <c r="A189" s="6" t="s">
        <v>951</v>
      </c>
      <c r="B189" s="7" t="s">
        <v>127</v>
      </c>
      <c r="C189" s="7" t="s">
        <v>727</v>
      </c>
      <c r="D189" s="7" t="s">
        <v>12</v>
      </c>
      <c r="E189" s="7" t="s">
        <v>952</v>
      </c>
      <c r="F189" s="7" t="s">
        <v>953</v>
      </c>
      <c r="G189" s="7" t="s">
        <v>954</v>
      </c>
      <c r="H189" s="7"/>
      <c r="I189" s="7" t="s">
        <v>196</v>
      </c>
      <c r="J189" s="7" t="s">
        <v>955</v>
      </c>
    </row>
    <row r="190" spans="1:10" x14ac:dyDescent="0.3">
      <c r="A190" s="6" t="s">
        <v>956</v>
      </c>
      <c r="B190" s="7" t="s">
        <v>127</v>
      </c>
      <c r="C190" s="7" t="s">
        <v>727</v>
      </c>
      <c r="D190" s="7" t="s">
        <v>12</v>
      </c>
      <c r="E190" s="7" t="s">
        <v>957</v>
      </c>
      <c r="F190" s="7" t="s">
        <v>958</v>
      </c>
      <c r="G190" s="7" t="s">
        <v>959</v>
      </c>
      <c r="H190" s="7">
        <v>3</v>
      </c>
      <c r="I190" s="7" t="s">
        <v>196</v>
      </c>
      <c r="J190" s="7" t="s">
        <v>676</v>
      </c>
    </row>
    <row r="191" spans="1:10" x14ac:dyDescent="0.3">
      <c r="A191" s="6" t="s">
        <v>960</v>
      </c>
      <c r="B191" s="7" t="s">
        <v>127</v>
      </c>
      <c r="C191" s="7" t="s">
        <v>727</v>
      </c>
      <c r="D191" s="7" t="s">
        <v>12</v>
      </c>
      <c r="E191" s="7" t="s">
        <v>961</v>
      </c>
      <c r="F191" s="7" t="s">
        <v>962</v>
      </c>
      <c r="G191" s="7" t="s">
        <v>963</v>
      </c>
      <c r="H191" s="7"/>
      <c r="I191" s="7" t="s">
        <v>964</v>
      </c>
      <c r="J191" s="7" t="s">
        <v>304</v>
      </c>
    </row>
    <row r="192" spans="1:10" x14ac:dyDescent="0.3">
      <c r="A192" s="6" t="s">
        <v>965</v>
      </c>
      <c r="B192" s="7" t="s">
        <v>127</v>
      </c>
      <c r="C192" s="7" t="s">
        <v>727</v>
      </c>
      <c r="D192" s="7" t="s">
        <v>12</v>
      </c>
      <c r="E192" s="7" t="s">
        <v>961</v>
      </c>
      <c r="F192" s="7" t="s">
        <v>962</v>
      </c>
      <c r="G192" s="7" t="s">
        <v>966</v>
      </c>
      <c r="H192" s="7">
        <v>3</v>
      </c>
      <c r="I192" s="7" t="s">
        <v>82</v>
      </c>
      <c r="J192" s="7" t="s">
        <v>967</v>
      </c>
    </row>
    <row r="193" spans="1:10" x14ac:dyDescent="0.3">
      <c r="A193" s="6" t="s">
        <v>968</v>
      </c>
      <c r="B193" s="7" t="s">
        <v>127</v>
      </c>
      <c r="C193" s="7" t="s">
        <v>727</v>
      </c>
      <c r="D193" s="7" t="s">
        <v>12</v>
      </c>
      <c r="E193" s="7" t="s">
        <v>969</v>
      </c>
      <c r="F193" s="7" t="s">
        <v>970</v>
      </c>
      <c r="G193" s="7" t="s">
        <v>971</v>
      </c>
      <c r="H193" s="7">
        <v>4</v>
      </c>
      <c r="I193" s="7" t="s">
        <v>324</v>
      </c>
      <c r="J193" s="7" t="s">
        <v>505</v>
      </c>
    </row>
    <row r="194" spans="1:10" x14ac:dyDescent="0.3">
      <c r="A194" s="6" t="s">
        <v>972</v>
      </c>
      <c r="B194" s="7" t="s">
        <v>127</v>
      </c>
      <c r="C194" s="7" t="s">
        <v>727</v>
      </c>
      <c r="D194" s="7" t="s">
        <v>12</v>
      </c>
      <c r="E194" s="7" t="s">
        <v>973</v>
      </c>
      <c r="F194" s="7" t="s">
        <v>974</v>
      </c>
      <c r="G194" s="7" t="s">
        <v>975</v>
      </c>
      <c r="H194" s="7">
        <v>2</v>
      </c>
      <c r="I194" s="7" t="s">
        <v>255</v>
      </c>
      <c r="J194" s="7" t="s">
        <v>976</v>
      </c>
    </row>
    <row r="195" spans="1:10" x14ac:dyDescent="0.3">
      <c r="A195" s="6" t="s">
        <v>977</v>
      </c>
      <c r="B195" s="7" t="s">
        <v>127</v>
      </c>
      <c r="C195" s="7" t="s">
        <v>727</v>
      </c>
      <c r="D195" s="7" t="s">
        <v>12</v>
      </c>
      <c r="E195" s="7" t="s">
        <v>978</v>
      </c>
      <c r="F195" s="7" t="s">
        <v>979</v>
      </c>
      <c r="G195" s="7" t="s">
        <v>980</v>
      </c>
      <c r="H195" s="7">
        <v>10</v>
      </c>
      <c r="I195" s="7" t="s">
        <v>660</v>
      </c>
      <c r="J195" s="7" t="s">
        <v>505</v>
      </c>
    </row>
    <row r="196" spans="1:10" x14ac:dyDescent="0.3">
      <c r="A196" s="6" t="s">
        <v>981</v>
      </c>
      <c r="B196" s="7" t="s">
        <v>127</v>
      </c>
      <c r="C196" s="7" t="s">
        <v>727</v>
      </c>
      <c r="D196" s="7" t="s">
        <v>12</v>
      </c>
      <c r="E196" s="7" t="s">
        <v>982</v>
      </c>
      <c r="F196" s="7" t="s">
        <v>983</v>
      </c>
      <c r="G196" s="7" t="s">
        <v>984</v>
      </c>
      <c r="H196" s="7">
        <v>7</v>
      </c>
      <c r="I196" s="7" t="s">
        <v>487</v>
      </c>
      <c r="J196" s="7" t="s">
        <v>985</v>
      </c>
    </row>
    <row r="197" spans="1:10" x14ac:dyDescent="0.3">
      <c r="A197" s="6" t="s">
        <v>986</v>
      </c>
      <c r="B197" s="7" t="s">
        <v>127</v>
      </c>
      <c r="C197" s="7" t="s">
        <v>727</v>
      </c>
      <c r="D197" s="7" t="s">
        <v>12</v>
      </c>
      <c r="E197" s="7" t="s">
        <v>987</v>
      </c>
      <c r="F197" s="7" t="s">
        <v>988</v>
      </c>
      <c r="G197" s="7" t="s">
        <v>989</v>
      </c>
      <c r="H197" s="7"/>
      <c r="I197" s="7" t="s">
        <v>324</v>
      </c>
      <c r="J197" s="7" t="s">
        <v>497</v>
      </c>
    </row>
    <row r="198" spans="1:10" x14ac:dyDescent="0.3">
      <c r="A198" s="6" t="s">
        <v>990</v>
      </c>
      <c r="B198" s="7" t="s">
        <v>127</v>
      </c>
      <c r="C198" s="7" t="s">
        <v>727</v>
      </c>
      <c r="D198" s="7" t="s">
        <v>12</v>
      </c>
      <c r="E198" s="7" t="s">
        <v>987</v>
      </c>
      <c r="F198" s="7" t="s">
        <v>988</v>
      </c>
      <c r="G198" s="7" t="s">
        <v>991</v>
      </c>
      <c r="H198" s="7">
        <v>0</v>
      </c>
      <c r="I198" s="7" t="s">
        <v>992</v>
      </c>
      <c r="J198" s="7" t="s">
        <v>294</v>
      </c>
    </row>
    <row r="199" spans="1:10" x14ac:dyDescent="0.3">
      <c r="A199" s="6" t="s">
        <v>993</v>
      </c>
      <c r="B199" s="7" t="s">
        <v>127</v>
      </c>
      <c r="C199" s="7" t="s">
        <v>727</v>
      </c>
      <c r="D199" s="7" t="s">
        <v>12</v>
      </c>
      <c r="E199" s="7" t="s">
        <v>987</v>
      </c>
      <c r="F199" s="7" t="s">
        <v>988</v>
      </c>
      <c r="G199" s="7" t="s">
        <v>994</v>
      </c>
      <c r="H199" s="7">
        <v>4</v>
      </c>
      <c r="I199" s="7" t="s">
        <v>995</v>
      </c>
      <c r="J199" s="7" t="s">
        <v>294</v>
      </c>
    </row>
    <row r="200" spans="1:10" x14ac:dyDescent="0.3">
      <c r="A200" s="6" t="s">
        <v>996</v>
      </c>
      <c r="B200" s="7" t="s">
        <v>127</v>
      </c>
      <c r="C200" s="7" t="s">
        <v>727</v>
      </c>
      <c r="D200" s="7" t="s">
        <v>12</v>
      </c>
      <c r="E200" s="7" t="s">
        <v>987</v>
      </c>
      <c r="F200" s="7" t="s">
        <v>988</v>
      </c>
      <c r="G200" s="7" t="s">
        <v>997</v>
      </c>
      <c r="H200" s="7">
        <v>6</v>
      </c>
      <c r="I200" s="7" t="s">
        <v>160</v>
      </c>
      <c r="J200" s="7" t="s">
        <v>998</v>
      </c>
    </row>
    <row r="201" spans="1:10" x14ac:dyDescent="0.3">
      <c r="A201" s="6" t="s">
        <v>999</v>
      </c>
      <c r="B201" s="7" t="s">
        <v>127</v>
      </c>
      <c r="C201" s="7" t="s">
        <v>727</v>
      </c>
      <c r="D201" s="7" t="s">
        <v>12</v>
      </c>
      <c r="E201" s="7" t="s">
        <v>1000</v>
      </c>
      <c r="F201" s="7" t="s">
        <v>1001</v>
      </c>
      <c r="G201" s="7" t="s">
        <v>1002</v>
      </c>
      <c r="H201" s="7">
        <v>11</v>
      </c>
      <c r="I201" s="7" t="s">
        <v>1003</v>
      </c>
      <c r="J201" s="7" t="s">
        <v>1004</v>
      </c>
    </row>
    <row r="202" spans="1:10" x14ac:dyDescent="0.3">
      <c r="A202" s="6" t="s">
        <v>1005</v>
      </c>
      <c r="B202" s="7" t="s">
        <v>127</v>
      </c>
      <c r="C202" s="7" t="s">
        <v>727</v>
      </c>
      <c r="D202" s="7" t="s">
        <v>12</v>
      </c>
      <c r="E202" s="7" t="s">
        <v>1000</v>
      </c>
      <c r="F202" s="7" t="s">
        <v>1001</v>
      </c>
      <c r="G202" s="7" t="s">
        <v>1006</v>
      </c>
      <c r="H202" s="7">
        <v>8</v>
      </c>
      <c r="I202" s="7" t="s">
        <v>270</v>
      </c>
      <c r="J202" s="7" t="s">
        <v>189</v>
      </c>
    </row>
    <row r="203" spans="1:10" x14ac:dyDescent="0.3">
      <c r="A203" s="6" t="s">
        <v>1007</v>
      </c>
      <c r="B203" s="7" t="s">
        <v>127</v>
      </c>
      <c r="C203" s="7" t="s">
        <v>727</v>
      </c>
      <c r="D203" s="7" t="s">
        <v>12</v>
      </c>
      <c r="E203" s="7" t="s">
        <v>1008</v>
      </c>
      <c r="F203" s="7" t="s">
        <v>1009</v>
      </c>
      <c r="G203" s="7" t="s">
        <v>949</v>
      </c>
      <c r="H203" s="7">
        <v>8</v>
      </c>
      <c r="I203" s="7" t="s">
        <v>1010</v>
      </c>
      <c r="J203" s="7"/>
    </row>
    <row r="204" spans="1:10" x14ac:dyDescent="0.3">
      <c r="A204" s="6" t="s">
        <v>1011</v>
      </c>
      <c r="B204" s="7" t="s">
        <v>127</v>
      </c>
      <c r="C204" s="7" t="s">
        <v>727</v>
      </c>
      <c r="D204" s="7" t="s">
        <v>12</v>
      </c>
      <c r="E204" s="7" t="s">
        <v>1012</v>
      </c>
      <c r="F204" s="7" t="s">
        <v>1013</v>
      </c>
      <c r="G204" s="7" t="s">
        <v>1014</v>
      </c>
      <c r="H204" s="7">
        <v>5</v>
      </c>
      <c r="I204" s="7" t="s">
        <v>417</v>
      </c>
      <c r="J204" s="7" t="s">
        <v>380</v>
      </c>
    </row>
    <row r="205" spans="1:10" x14ac:dyDescent="0.3">
      <c r="A205" s="6" t="s">
        <v>1015</v>
      </c>
      <c r="B205" s="7" t="s">
        <v>127</v>
      </c>
      <c r="C205" s="7" t="s">
        <v>727</v>
      </c>
      <c r="D205" s="7" t="s">
        <v>12</v>
      </c>
      <c r="E205" s="7" t="s">
        <v>1016</v>
      </c>
      <c r="F205" s="7" t="s">
        <v>1017</v>
      </c>
      <c r="G205" s="7" t="s">
        <v>1018</v>
      </c>
      <c r="H205" s="7">
        <v>1</v>
      </c>
      <c r="I205" s="7" t="s">
        <v>735</v>
      </c>
      <c r="J205" s="7" t="s">
        <v>736</v>
      </c>
    </row>
    <row r="206" spans="1:10" x14ac:dyDescent="0.3">
      <c r="A206" s="6" t="s">
        <v>1019</v>
      </c>
      <c r="B206" s="7" t="s">
        <v>127</v>
      </c>
      <c r="C206" s="7" t="s">
        <v>727</v>
      </c>
      <c r="D206" s="7" t="s">
        <v>12</v>
      </c>
      <c r="E206" s="7" t="s">
        <v>1020</v>
      </c>
      <c r="F206" s="7" t="s">
        <v>1021</v>
      </c>
      <c r="G206" s="7" t="s">
        <v>1022</v>
      </c>
      <c r="H206" s="7">
        <v>2</v>
      </c>
      <c r="I206" s="7" t="s">
        <v>735</v>
      </c>
      <c r="J206" s="7" t="s">
        <v>736</v>
      </c>
    </row>
    <row r="207" spans="1:10" x14ac:dyDescent="0.3">
      <c r="A207" s="6" t="s">
        <v>1023</v>
      </c>
      <c r="B207" s="7" t="s">
        <v>127</v>
      </c>
      <c r="C207" s="7" t="s">
        <v>727</v>
      </c>
      <c r="D207" s="7" t="s">
        <v>12</v>
      </c>
      <c r="E207" s="7" t="s">
        <v>1024</v>
      </c>
      <c r="F207" s="7" t="s">
        <v>1025</v>
      </c>
      <c r="G207" s="7" t="s">
        <v>1026</v>
      </c>
      <c r="H207" s="7">
        <v>9</v>
      </c>
      <c r="I207" s="7"/>
      <c r="J207" s="7" t="s">
        <v>380</v>
      </c>
    </row>
    <row r="208" spans="1:10" x14ac:dyDescent="0.3">
      <c r="A208" s="6" t="s">
        <v>1027</v>
      </c>
      <c r="B208" s="7" t="s">
        <v>127</v>
      </c>
      <c r="C208" s="7" t="s">
        <v>727</v>
      </c>
      <c r="D208" s="7" t="s">
        <v>12</v>
      </c>
      <c r="E208" s="7" t="s">
        <v>1024</v>
      </c>
      <c r="F208" s="7" t="s">
        <v>1025</v>
      </c>
      <c r="G208" s="7" t="s">
        <v>1028</v>
      </c>
      <c r="H208" s="7">
        <v>9</v>
      </c>
      <c r="I208" s="7" t="s">
        <v>1029</v>
      </c>
      <c r="J208" s="7" t="s">
        <v>1030</v>
      </c>
    </row>
    <row r="209" spans="1:10" x14ac:dyDescent="0.3">
      <c r="A209" s="6" t="s">
        <v>1031</v>
      </c>
      <c r="B209" s="7" t="s">
        <v>127</v>
      </c>
      <c r="C209" s="7" t="s">
        <v>727</v>
      </c>
      <c r="D209" s="7" t="s">
        <v>12</v>
      </c>
      <c r="E209" s="7" t="s">
        <v>1024</v>
      </c>
      <c r="F209" s="7" t="s">
        <v>1025</v>
      </c>
      <c r="G209" s="7" t="s">
        <v>1032</v>
      </c>
      <c r="H209" s="7">
        <v>3</v>
      </c>
      <c r="I209" s="7" t="s">
        <v>99</v>
      </c>
      <c r="J209" s="7" t="s">
        <v>593</v>
      </c>
    </row>
    <row r="210" spans="1:10" x14ac:dyDescent="0.3">
      <c r="A210" s="6" t="s">
        <v>1033</v>
      </c>
      <c r="B210" s="7" t="s">
        <v>127</v>
      </c>
      <c r="C210" s="7" t="s">
        <v>727</v>
      </c>
      <c r="D210" s="7" t="s">
        <v>12</v>
      </c>
      <c r="E210" s="7" t="s">
        <v>1034</v>
      </c>
      <c r="F210" s="7" t="s">
        <v>1035</v>
      </c>
      <c r="G210" s="7" t="s">
        <v>1036</v>
      </c>
      <c r="H210" s="7">
        <v>11</v>
      </c>
      <c r="I210" s="7" t="s">
        <v>811</v>
      </c>
      <c r="J210" s="7" t="s">
        <v>1037</v>
      </c>
    </row>
    <row r="211" spans="1:10" x14ac:dyDescent="0.3">
      <c r="A211" s="6" t="s">
        <v>1038</v>
      </c>
      <c r="B211" s="7" t="s">
        <v>127</v>
      </c>
      <c r="C211" s="7" t="s">
        <v>727</v>
      </c>
      <c r="D211" s="7" t="s">
        <v>12</v>
      </c>
      <c r="E211" s="7" t="s">
        <v>1034</v>
      </c>
      <c r="F211" s="7" t="s">
        <v>1035</v>
      </c>
      <c r="G211" s="7" t="s">
        <v>1039</v>
      </c>
      <c r="H211" s="7">
        <v>33</v>
      </c>
      <c r="I211" s="7" t="s">
        <v>770</v>
      </c>
      <c r="J211" s="7" t="s">
        <v>1040</v>
      </c>
    </row>
    <row r="212" spans="1:10" x14ac:dyDescent="0.3">
      <c r="A212" s="6" t="s">
        <v>1041</v>
      </c>
      <c r="B212" s="7" t="s">
        <v>127</v>
      </c>
      <c r="C212" s="7" t="s">
        <v>727</v>
      </c>
      <c r="D212" s="7" t="s">
        <v>12</v>
      </c>
      <c r="E212" s="7" t="s">
        <v>1034</v>
      </c>
      <c r="F212" s="7" t="s">
        <v>1035</v>
      </c>
      <c r="G212" s="7" t="s">
        <v>1042</v>
      </c>
      <c r="H212" s="7">
        <v>45</v>
      </c>
      <c r="I212" s="7" t="s">
        <v>336</v>
      </c>
      <c r="J212" s="7" t="s">
        <v>1043</v>
      </c>
    </row>
    <row r="213" spans="1:10" x14ac:dyDescent="0.3">
      <c r="A213" s="6" t="s">
        <v>1044</v>
      </c>
      <c r="B213" s="7" t="s">
        <v>127</v>
      </c>
      <c r="C213" s="7" t="s">
        <v>1045</v>
      </c>
      <c r="D213" s="7" t="s">
        <v>13</v>
      </c>
      <c r="E213" s="7" t="s">
        <v>1046</v>
      </c>
      <c r="F213" s="7" t="s">
        <v>174</v>
      </c>
      <c r="G213" s="7" t="s">
        <v>1047</v>
      </c>
      <c r="H213" s="7">
        <v>24</v>
      </c>
      <c r="I213" s="7" t="s">
        <v>1048</v>
      </c>
      <c r="J213" s="7" t="s">
        <v>404</v>
      </c>
    </row>
    <row r="214" spans="1:10" x14ac:dyDescent="0.3">
      <c r="A214" s="6" t="s">
        <v>1049</v>
      </c>
      <c r="B214" s="7" t="s">
        <v>127</v>
      </c>
      <c r="C214" s="7" t="s">
        <v>1045</v>
      </c>
      <c r="D214" s="7" t="s">
        <v>13</v>
      </c>
      <c r="E214" s="7" t="s">
        <v>1050</v>
      </c>
      <c r="F214" s="7" t="s">
        <v>194</v>
      </c>
      <c r="G214" s="7" t="s">
        <v>1051</v>
      </c>
      <c r="H214" s="7">
        <v>38</v>
      </c>
      <c r="I214" s="7" t="s">
        <v>1052</v>
      </c>
      <c r="J214" s="7" t="s">
        <v>199</v>
      </c>
    </row>
    <row r="215" spans="1:10" x14ac:dyDescent="0.3">
      <c r="A215" s="6" t="s">
        <v>1053</v>
      </c>
      <c r="B215" s="7" t="s">
        <v>127</v>
      </c>
      <c r="C215" s="7" t="s">
        <v>1045</v>
      </c>
      <c r="D215" s="7" t="s">
        <v>13</v>
      </c>
      <c r="E215" s="7" t="s">
        <v>752</v>
      </c>
      <c r="F215" s="7" t="s">
        <v>753</v>
      </c>
      <c r="G215" s="7" t="s">
        <v>1054</v>
      </c>
      <c r="H215" s="7">
        <v>5</v>
      </c>
      <c r="I215" s="7" t="s">
        <v>318</v>
      </c>
      <c r="J215" s="7" t="s">
        <v>132</v>
      </c>
    </row>
    <row r="216" spans="1:10" x14ac:dyDescent="0.3">
      <c r="A216" s="6" t="s">
        <v>1055</v>
      </c>
      <c r="B216" s="7" t="s">
        <v>127</v>
      </c>
      <c r="C216" s="7" t="s">
        <v>1045</v>
      </c>
      <c r="D216" s="7" t="s">
        <v>13</v>
      </c>
      <c r="E216" s="7" t="s">
        <v>752</v>
      </c>
      <c r="F216" s="7" t="s">
        <v>753</v>
      </c>
      <c r="G216" s="7" t="s">
        <v>1056</v>
      </c>
      <c r="H216" s="7">
        <v>8</v>
      </c>
      <c r="I216" s="7" t="s">
        <v>1057</v>
      </c>
      <c r="J216" s="7" t="s">
        <v>304</v>
      </c>
    </row>
    <row r="217" spans="1:10" x14ac:dyDescent="0.3">
      <c r="A217" s="6" t="s">
        <v>1058</v>
      </c>
      <c r="B217" s="7" t="s">
        <v>127</v>
      </c>
      <c r="C217" s="7" t="s">
        <v>1045</v>
      </c>
      <c r="D217" s="7" t="s">
        <v>13</v>
      </c>
      <c r="E217" s="7" t="s">
        <v>752</v>
      </c>
      <c r="F217" s="7" t="s">
        <v>753</v>
      </c>
      <c r="G217" s="7" t="s">
        <v>1059</v>
      </c>
      <c r="H217" s="7">
        <v>45</v>
      </c>
      <c r="I217" s="7" t="s">
        <v>660</v>
      </c>
      <c r="J217" s="7" t="s">
        <v>661</v>
      </c>
    </row>
    <row r="218" spans="1:10" x14ac:dyDescent="0.3">
      <c r="A218" s="6" t="s">
        <v>1060</v>
      </c>
      <c r="B218" s="7" t="s">
        <v>127</v>
      </c>
      <c r="C218" s="7" t="s">
        <v>1045</v>
      </c>
      <c r="D218" s="7" t="s">
        <v>13</v>
      </c>
      <c r="E218" s="7" t="s">
        <v>752</v>
      </c>
      <c r="F218" s="7" t="s">
        <v>753</v>
      </c>
      <c r="G218" s="7" t="s">
        <v>1061</v>
      </c>
      <c r="H218" s="7">
        <v>8</v>
      </c>
      <c r="I218" s="7" t="s">
        <v>1062</v>
      </c>
      <c r="J218" s="7" t="s">
        <v>1063</v>
      </c>
    </row>
    <row r="219" spans="1:10" x14ac:dyDescent="0.3">
      <c r="A219" s="6" t="s">
        <v>1064</v>
      </c>
      <c r="B219" s="7" t="s">
        <v>127</v>
      </c>
      <c r="C219" s="7" t="s">
        <v>1045</v>
      </c>
      <c r="D219" s="7" t="s">
        <v>13</v>
      </c>
      <c r="E219" s="7" t="s">
        <v>752</v>
      </c>
      <c r="F219" s="7" t="s">
        <v>753</v>
      </c>
      <c r="G219" s="7" t="s">
        <v>1065</v>
      </c>
      <c r="H219" s="7">
        <v>5</v>
      </c>
      <c r="I219" s="7" t="s">
        <v>1066</v>
      </c>
      <c r="J219" s="7" t="s">
        <v>537</v>
      </c>
    </row>
    <row r="220" spans="1:10" x14ac:dyDescent="0.3">
      <c r="A220" s="6" t="s">
        <v>1067</v>
      </c>
      <c r="B220" s="7" t="s">
        <v>127</v>
      </c>
      <c r="C220" s="7" t="s">
        <v>1045</v>
      </c>
      <c r="D220" s="7" t="s">
        <v>13</v>
      </c>
      <c r="E220" s="7" t="s">
        <v>1068</v>
      </c>
      <c r="F220" s="7" t="s">
        <v>1069</v>
      </c>
      <c r="G220" s="7" t="s">
        <v>1070</v>
      </c>
      <c r="H220" s="7">
        <v>2</v>
      </c>
      <c r="I220" s="7" t="s">
        <v>1071</v>
      </c>
      <c r="J220" s="7" t="s">
        <v>1072</v>
      </c>
    </row>
    <row r="221" spans="1:10" x14ac:dyDescent="0.3">
      <c r="A221" s="6" t="s">
        <v>1073</v>
      </c>
      <c r="B221" s="7" t="s">
        <v>127</v>
      </c>
      <c r="C221" s="7" t="s">
        <v>1045</v>
      </c>
      <c r="D221" s="7" t="s">
        <v>13</v>
      </c>
      <c r="E221" s="7" t="s">
        <v>1074</v>
      </c>
      <c r="F221" s="7" t="s">
        <v>1075</v>
      </c>
      <c r="G221" s="7" t="s">
        <v>1076</v>
      </c>
      <c r="H221" s="7">
        <v>6</v>
      </c>
      <c r="I221" s="7" t="s">
        <v>1077</v>
      </c>
      <c r="J221" s="7" t="s">
        <v>319</v>
      </c>
    </row>
    <row r="222" spans="1:10" x14ac:dyDescent="0.3">
      <c r="A222" s="6" t="s">
        <v>1078</v>
      </c>
      <c r="B222" s="7" t="s">
        <v>127</v>
      </c>
      <c r="C222" s="7" t="s">
        <v>1045</v>
      </c>
      <c r="D222" s="7" t="s">
        <v>13</v>
      </c>
      <c r="E222" s="7" t="s">
        <v>77</v>
      </c>
      <c r="F222" s="7" t="s">
        <v>226</v>
      </c>
      <c r="G222" s="7" t="s">
        <v>1079</v>
      </c>
      <c r="H222" s="7">
        <v>36</v>
      </c>
      <c r="I222" s="7" t="s">
        <v>1080</v>
      </c>
      <c r="J222" s="7" t="s">
        <v>1081</v>
      </c>
    </row>
    <row r="223" spans="1:10" x14ac:dyDescent="0.3">
      <c r="A223" s="6" t="s">
        <v>1082</v>
      </c>
      <c r="B223" s="7" t="s">
        <v>127</v>
      </c>
      <c r="C223" s="7" t="s">
        <v>1045</v>
      </c>
      <c r="D223" s="7" t="s">
        <v>13</v>
      </c>
      <c r="E223" s="7" t="s">
        <v>1083</v>
      </c>
      <c r="F223" s="7" t="s">
        <v>897</v>
      </c>
      <c r="G223" s="7" t="s">
        <v>1084</v>
      </c>
      <c r="H223" s="7">
        <v>20</v>
      </c>
      <c r="I223" s="7" t="s">
        <v>1085</v>
      </c>
      <c r="J223" s="7" t="s">
        <v>1086</v>
      </c>
    </row>
    <row r="224" spans="1:10" x14ac:dyDescent="0.3">
      <c r="A224" s="6" t="s">
        <v>1087</v>
      </c>
      <c r="B224" s="7" t="s">
        <v>127</v>
      </c>
      <c r="C224" s="7" t="s">
        <v>1045</v>
      </c>
      <c r="D224" s="7" t="s">
        <v>13</v>
      </c>
      <c r="E224" s="7" t="s">
        <v>1083</v>
      </c>
      <c r="F224" s="7" t="s">
        <v>897</v>
      </c>
      <c r="G224" s="7" t="s">
        <v>1088</v>
      </c>
      <c r="H224" s="7">
        <v>12</v>
      </c>
      <c r="I224" s="7" t="s">
        <v>1089</v>
      </c>
      <c r="J224" s="7" t="s">
        <v>199</v>
      </c>
    </row>
    <row r="225" spans="1:10" x14ac:dyDescent="0.3">
      <c r="A225" s="6" t="s">
        <v>1090</v>
      </c>
      <c r="B225" s="7" t="s">
        <v>127</v>
      </c>
      <c r="C225" s="7" t="s">
        <v>1045</v>
      </c>
      <c r="D225" s="7" t="s">
        <v>13</v>
      </c>
      <c r="E225" s="7" t="s">
        <v>1091</v>
      </c>
      <c r="F225" s="7" t="s">
        <v>1092</v>
      </c>
      <c r="G225" s="7" t="s">
        <v>1093</v>
      </c>
      <c r="H225" s="7">
        <v>5</v>
      </c>
      <c r="I225" s="7" t="s">
        <v>1094</v>
      </c>
      <c r="J225" s="7" t="s">
        <v>1095</v>
      </c>
    </row>
    <row r="226" spans="1:10" x14ac:dyDescent="0.3">
      <c r="A226" s="6" t="s">
        <v>1096</v>
      </c>
      <c r="B226" s="7" t="s">
        <v>127</v>
      </c>
      <c r="C226" s="7" t="s">
        <v>1045</v>
      </c>
      <c r="D226" s="7" t="s">
        <v>13</v>
      </c>
      <c r="E226" s="7" t="s">
        <v>1097</v>
      </c>
      <c r="F226" s="7" t="s">
        <v>1098</v>
      </c>
      <c r="G226" s="7" t="s">
        <v>1099</v>
      </c>
      <c r="H226" s="7">
        <v>20</v>
      </c>
      <c r="I226" s="7" t="s">
        <v>1100</v>
      </c>
      <c r="J226" s="7" t="s">
        <v>1101</v>
      </c>
    </row>
    <row r="227" spans="1:10" x14ac:dyDescent="0.3">
      <c r="A227" s="6" t="s">
        <v>1102</v>
      </c>
      <c r="B227" s="7" t="s">
        <v>127</v>
      </c>
      <c r="C227" s="7" t="s">
        <v>1045</v>
      </c>
      <c r="D227" s="7" t="s">
        <v>13</v>
      </c>
      <c r="E227" s="7" t="s">
        <v>1103</v>
      </c>
      <c r="F227" s="7" t="s">
        <v>1104</v>
      </c>
      <c r="G227" s="7" t="s">
        <v>1105</v>
      </c>
      <c r="H227" s="7">
        <v>21</v>
      </c>
      <c r="I227" s="7" t="s">
        <v>308</v>
      </c>
      <c r="J227" s="7" t="s">
        <v>1106</v>
      </c>
    </row>
    <row r="228" spans="1:10" x14ac:dyDescent="0.3">
      <c r="A228" s="6" t="s">
        <v>1107</v>
      </c>
      <c r="B228" s="7" t="s">
        <v>127</v>
      </c>
      <c r="C228" s="7" t="s">
        <v>1045</v>
      </c>
      <c r="D228" s="7" t="s">
        <v>13</v>
      </c>
      <c r="E228" s="7" t="s">
        <v>1103</v>
      </c>
      <c r="F228" s="7" t="s">
        <v>1104</v>
      </c>
      <c r="G228" s="7" t="s">
        <v>1108</v>
      </c>
      <c r="H228" s="7">
        <v>5</v>
      </c>
      <c r="I228" s="7" t="s">
        <v>1109</v>
      </c>
      <c r="J228" s="7" t="s">
        <v>189</v>
      </c>
    </row>
    <row r="229" spans="1:10" x14ac:dyDescent="0.3">
      <c r="A229" s="6" t="s">
        <v>1110</v>
      </c>
      <c r="B229" s="7" t="s">
        <v>127</v>
      </c>
      <c r="C229" s="7" t="s">
        <v>1045</v>
      </c>
      <c r="D229" s="7" t="s">
        <v>13</v>
      </c>
      <c r="E229" s="7" t="s">
        <v>1103</v>
      </c>
      <c r="F229" s="7" t="s">
        <v>1104</v>
      </c>
      <c r="G229" s="7" t="s">
        <v>1111</v>
      </c>
      <c r="H229" s="7">
        <v>33</v>
      </c>
      <c r="I229" s="7" t="s">
        <v>82</v>
      </c>
      <c r="J229" s="7" t="s">
        <v>199</v>
      </c>
    </row>
    <row r="230" spans="1:10" x14ac:dyDescent="0.3">
      <c r="A230" s="6" t="s">
        <v>1112</v>
      </c>
      <c r="B230" s="7" t="s">
        <v>127</v>
      </c>
      <c r="C230" s="7" t="s">
        <v>1045</v>
      </c>
      <c r="D230" s="7" t="s">
        <v>13</v>
      </c>
      <c r="E230" s="7" t="s">
        <v>1103</v>
      </c>
      <c r="F230" s="7" t="s">
        <v>1104</v>
      </c>
      <c r="G230" s="7" t="s">
        <v>1113</v>
      </c>
      <c r="H230" s="7">
        <v>2</v>
      </c>
      <c r="I230" s="7" t="s">
        <v>1114</v>
      </c>
      <c r="J230" s="7" t="s">
        <v>199</v>
      </c>
    </row>
    <row r="231" spans="1:10" x14ac:dyDescent="0.3">
      <c r="A231" s="6" t="s">
        <v>1115</v>
      </c>
      <c r="B231" s="7" t="s">
        <v>127</v>
      </c>
      <c r="C231" s="7" t="s">
        <v>1045</v>
      </c>
      <c r="D231" s="7" t="s">
        <v>13</v>
      </c>
      <c r="E231" s="7" t="s">
        <v>1103</v>
      </c>
      <c r="F231" s="7" t="s">
        <v>1104</v>
      </c>
      <c r="G231" s="7" t="s">
        <v>1116</v>
      </c>
      <c r="H231" s="7">
        <v>26</v>
      </c>
      <c r="I231" s="7" t="s">
        <v>82</v>
      </c>
      <c r="J231" s="7" t="s">
        <v>199</v>
      </c>
    </row>
    <row r="232" spans="1:10" x14ac:dyDescent="0.3">
      <c r="A232" s="6" t="s">
        <v>1117</v>
      </c>
      <c r="B232" s="7" t="s">
        <v>127</v>
      </c>
      <c r="C232" s="7" t="s">
        <v>1045</v>
      </c>
      <c r="D232" s="7" t="s">
        <v>13</v>
      </c>
      <c r="E232" s="7" t="s">
        <v>1118</v>
      </c>
      <c r="F232" s="7" t="s">
        <v>1119</v>
      </c>
      <c r="G232" s="7" t="s">
        <v>1120</v>
      </c>
      <c r="H232" s="7">
        <v>59</v>
      </c>
      <c r="I232" s="7" t="s">
        <v>188</v>
      </c>
      <c r="J232" s="7" t="s">
        <v>1121</v>
      </c>
    </row>
    <row r="233" spans="1:10" x14ac:dyDescent="0.3">
      <c r="A233" s="6" t="s">
        <v>1122</v>
      </c>
      <c r="B233" s="7" t="s">
        <v>127</v>
      </c>
      <c r="C233" s="7" t="s">
        <v>1045</v>
      </c>
      <c r="D233" s="7" t="s">
        <v>13</v>
      </c>
      <c r="E233" s="7" t="s">
        <v>1123</v>
      </c>
      <c r="F233" s="7" t="s">
        <v>1124</v>
      </c>
      <c r="G233" s="7" t="s">
        <v>1125</v>
      </c>
      <c r="H233" s="7">
        <v>1</v>
      </c>
      <c r="I233" s="7" t="s">
        <v>1126</v>
      </c>
      <c r="J233" s="7" t="s">
        <v>955</v>
      </c>
    </row>
    <row r="234" spans="1:10" x14ac:dyDescent="0.3">
      <c r="A234" s="6" t="s">
        <v>1127</v>
      </c>
      <c r="B234" s="7" t="s">
        <v>127</v>
      </c>
      <c r="C234" s="7" t="s">
        <v>1045</v>
      </c>
      <c r="D234" s="7" t="s">
        <v>13</v>
      </c>
      <c r="E234" s="7" t="s">
        <v>1128</v>
      </c>
      <c r="F234" s="7" t="s">
        <v>664</v>
      </c>
      <c r="G234" s="7" t="s">
        <v>1129</v>
      </c>
      <c r="H234" s="7">
        <v>26</v>
      </c>
      <c r="I234" s="7" t="s">
        <v>1130</v>
      </c>
      <c r="J234" s="7" t="s">
        <v>1131</v>
      </c>
    </row>
    <row r="235" spans="1:10" x14ac:dyDescent="0.3">
      <c r="A235" s="6" t="s">
        <v>1132</v>
      </c>
      <c r="B235" s="7" t="s">
        <v>127</v>
      </c>
      <c r="C235" s="7" t="s">
        <v>1045</v>
      </c>
      <c r="D235" s="7" t="s">
        <v>13</v>
      </c>
      <c r="E235" s="7" t="s">
        <v>1128</v>
      </c>
      <c r="F235" s="7" t="s">
        <v>664</v>
      </c>
      <c r="G235" s="7" t="s">
        <v>1133</v>
      </c>
      <c r="H235" s="7">
        <v>5</v>
      </c>
      <c r="I235" s="7" t="s">
        <v>1134</v>
      </c>
      <c r="J235" s="7" t="s">
        <v>1135</v>
      </c>
    </row>
    <row r="236" spans="1:10" x14ac:dyDescent="0.3">
      <c r="A236" s="6" t="s">
        <v>1136</v>
      </c>
      <c r="B236" s="7" t="s">
        <v>127</v>
      </c>
      <c r="C236" s="7" t="s">
        <v>1045</v>
      </c>
      <c r="D236" s="7" t="s">
        <v>13</v>
      </c>
      <c r="E236" s="7" t="s">
        <v>81</v>
      </c>
      <c r="F236" s="7" t="s">
        <v>377</v>
      </c>
      <c r="G236" s="7" t="s">
        <v>1137</v>
      </c>
      <c r="H236" s="7">
        <v>28</v>
      </c>
      <c r="I236" s="7" t="s">
        <v>1138</v>
      </c>
      <c r="J236" s="7" t="s">
        <v>1139</v>
      </c>
    </row>
    <row r="237" spans="1:10" x14ac:dyDescent="0.3">
      <c r="A237" s="6" t="s">
        <v>1140</v>
      </c>
      <c r="B237" s="7" t="s">
        <v>127</v>
      </c>
      <c r="C237" s="7" t="s">
        <v>1045</v>
      </c>
      <c r="D237" s="7" t="s">
        <v>13</v>
      </c>
      <c r="E237" s="7" t="s">
        <v>1141</v>
      </c>
      <c r="F237" s="7" t="s">
        <v>1142</v>
      </c>
      <c r="G237" s="7" t="s">
        <v>1143</v>
      </c>
      <c r="H237" s="7">
        <v>23</v>
      </c>
      <c r="I237" s="7" t="s">
        <v>1144</v>
      </c>
      <c r="J237" s="7" t="s">
        <v>1145</v>
      </c>
    </row>
    <row r="238" spans="1:10" x14ac:dyDescent="0.3">
      <c r="A238" s="6" t="s">
        <v>1146</v>
      </c>
      <c r="B238" s="7" t="s">
        <v>127</v>
      </c>
      <c r="C238" s="7" t="s">
        <v>1045</v>
      </c>
      <c r="D238" s="7" t="s">
        <v>13</v>
      </c>
      <c r="E238" s="7" t="s">
        <v>1147</v>
      </c>
      <c r="F238" s="7" t="s">
        <v>1148</v>
      </c>
      <c r="G238" s="7" t="s">
        <v>1149</v>
      </c>
      <c r="H238" s="7">
        <v>30</v>
      </c>
      <c r="I238" s="7" t="s">
        <v>1150</v>
      </c>
      <c r="J238" s="7" t="s">
        <v>696</v>
      </c>
    </row>
    <row r="239" spans="1:10" x14ac:dyDescent="0.3">
      <c r="A239" s="6" t="s">
        <v>1151</v>
      </c>
      <c r="B239" s="7" t="s">
        <v>127</v>
      </c>
      <c r="C239" s="7" t="s">
        <v>1045</v>
      </c>
      <c r="D239" s="7" t="s">
        <v>13</v>
      </c>
      <c r="E239" s="7" t="s">
        <v>1152</v>
      </c>
      <c r="F239" s="7" t="s">
        <v>1153</v>
      </c>
      <c r="G239" s="7" t="s">
        <v>1154</v>
      </c>
      <c r="H239" s="7">
        <v>46</v>
      </c>
      <c r="I239" s="7" t="s">
        <v>660</v>
      </c>
      <c r="J239" s="7" t="s">
        <v>661</v>
      </c>
    </row>
    <row r="240" spans="1:10" x14ac:dyDescent="0.3">
      <c r="A240" s="6" t="s">
        <v>1155</v>
      </c>
      <c r="B240" s="7" t="s">
        <v>127</v>
      </c>
      <c r="C240" s="7" t="s">
        <v>1045</v>
      </c>
      <c r="D240" s="7" t="s">
        <v>13</v>
      </c>
      <c r="E240" s="7" t="s">
        <v>440</v>
      </c>
      <c r="F240" s="7" t="s">
        <v>1156</v>
      </c>
      <c r="G240" s="7" t="s">
        <v>1157</v>
      </c>
      <c r="H240" s="7">
        <v>3</v>
      </c>
      <c r="I240" s="7" t="s">
        <v>1158</v>
      </c>
      <c r="J240" s="7" t="s">
        <v>1159</v>
      </c>
    </row>
    <row r="241" spans="1:10" x14ac:dyDescent="0.3">
      <c r="A241" s="6" t="s">
        <v>1160</v>
      </c>
      <c r="B241" s="7" t="s">
        <v>127</v>
      </c>
      <c r="C241" s="7" t="s">
        <v>1045</v>
      </c>
      <c r="D241" s="7" t="s">
        <v>13</v>
      </c>
      <c r="E241" s="7" t="s">
        <v>1161</v>
      </c>
      <c r="F241" s="7" t="s">
        <v>943</v>
      </c>
      <c r="G241" s="7" t="s">
        <v>1162</v>
      </c>
      <c r="H241" s="7">
        <v>6</v>
      </c>
      <c r="I241" s="7" t="s">
        <v>1077</v>
      </c>
      <c r="J241" s="7" t="s">
        <v>143</v>
      </c>
    </row>
    <row r="242" spans="1:10" x14ac:dyDescent="0.3">
      <c r="A242" s="6" t="s">
        <v>1163</v>
      </c>
      <c r="B242" s="7" t="s">
        <v>127</v>
      </c>
      <c r="C242" s="7" t="s">
        <v>1045</v>
      </c>
      <c r="D242" s="7" t="s">
        <v>13</v>
      </c>
      <c r="E242" s="7" t="s">
        <v>1164</v>
      </c>
      <c r="F242" s="7" t="s">
        <v>1165</v>
      </c>
      <c r="G242" s="7" t="s">
        <v>1166</v>
      </c>
      <c r="H242" s="7">
        <v>4</v>
      </c>
      <c r="I242" s="7" t="s">
        <v>1077</v>
      </c>
      <c r="J242" s="7" t="s">
        <v>612</v>
      </c>
    </row>
    <row r="243" spans="1:10" x14ac:dyDescent="0.3">
      <c r="A243" s="6" t="s">
        <v>1167</v>
      </c>
      <c r="B243" s="7" t="s">
        <v>127</v>
      </c>
      <c r="C243" s="7" t="s">
        <v>1045</v>
      </c>
      <c r="D243" s="7" t="s">
        <v>13</v>
      </c>
      <c r="E243" s="7" t="s">
        <v>957</v>
      </c>
      <c r="F243" s="7" t="s">
        <v>958</v>
      </c>
      <c r="G243" s="7" t="s">
        <v>1168</v>
      </c>
      <c r="H243" s="7">
        <v>5</v>
      </c>
      <c r="I243" s="7" t="s">
        <v>1169</v>
      </c>
      <c r="J243" s="7" t="s">
        <v>612</v>
      </c>
    </row>
    <row r="244" spans="1:10" x14ac:dyDescent="0.3">
      <c r="A244" s="6" t="s">
        <v>1170</v>
      </c>
      <c r="B244" s="7" t="s">
        <v>127</v>
      </c>
      <c r="C244" s="7" t="s">
        <v>1045</v>
      </c>
      <c r="D244" s="7" t="s">
        <v>13</v>
      </c>
      <c r="E244" s="7" t="s">
        <v>1171</v>
      </c>
      <c r="F244" s="7" t="s">
        <v>1172</v>
      </c>
      <c r="G244" s="7" t="s">
        <v>1173</v>
      </c>
      <c r="H244" s="7">
        <v>4</v>
      </c>
      <c r="I244" s="7" t="s">
        <v>604</v>
      </c>
      <c r="J244" s="7" t="s">
        <v>1174</v>
      </c>
    </row>
    <row r="245" spans="1:10" x14ac:dyDescent="0.3">
      <c r="A245" s="6" t="s">
        <v>1175</v>
      </c>
      <c r="B245" s="7" t="s">
        <v>127</v>
      </c>
      <c r="C245" s="7" t="s">
        <v>1045</v>
      </c>
      <c r="D245" s="7" t="s">
        <v>13</v>
      </c>
      <c r="E245" s="7" t="s">
        <v>1176</v>
      </c>
      <c r="F245" s="7" t="s">
        <v>962</v>
      </c>
      <c r="G245" s="7" t="s">
        <v>1177</v>
      </c>
      <c r="H245" s="7">
        <v>7</v>
      </c>
      <c r="I245" s="7" t="s">
        <v>1178</v>
      </c>
      <c r="J245" s="7" t="s">
        <v>1179</v>
      </c>
    </row>
    <row r="246" spans="1:10" x14ac:dyDescent="0.3">
      <c r="A246" s="6" t="s">
        <v>1180</v>
      </c>
      <c r="B246" s="7" t="s">
        <v>127</v>
      </c>
      <c r="C246" s="7" t="s">
        <v>1045</v>
      </c>
      <c r="D246" s="7" t="s">
        <v>13</v>
      </c>
      <c r="E246" s="7" t="s">
        <v>1181</v>
      </c>
      <c r="F246" s="7" t="s">
        <v>1182</v>
      </c>
      <c r="G246" s="7" t="s">
        <v>1183</v>
      </c>
      <c r="H246" s="7">
        <v>7</v>
      </c>
      <c r="I246" s="7" t="s">
        <v>1184</v>
      </c>
      <c r="J246" s="7" t="s">
        <v>1185</v>
      </c>
    </row>
    <row r="247" spans="1:10" x14ac:dyDescent="0.3">
      <c r="A247" s="6" t="s">
        <v>1186</v>
      </c>
      <c r="B247" s="7" t="s">
        <v>127</v>
      </c>
      <c r="C247" s="7" t="s">
        <v>1045</v>
      </c>
      <c r="D247" s="7" t="s">
        <v>13</v>
      </c>
      <c r="E247" s="7" t="s">
        <v>1187</v>
      </c>
      <c r="F247" s="7" t="s">
        <v>1188</v>
      </c>
      <c r="G247" s="7" t="s">
        <v>1189</v>
      </c>
      <c r="H247" s="7">
        <v>64</v>
      </c>
      <c r="I247" s="7" t="s">
        <v>1190</v>
      </c>
      <c r="J247" s="7" t="s">
        <v>1191</v>
      </c>
    </row>
    <row r="248" spans="1:10" x14ac:dyDescent="0.3">
      <c r="A248" s="6" t="s">
        <v>1192</v>
      </c>
      <c r="B248" s="7" t="s">
        <v>127</v>
      </c>
      <c r="C248" s="7" t="s">
        <v>1045</v>
      </c>
      <c r="D248" s="7" t="s">
        <v>13</v>
      </c>
      <c r="E248" s="7" t="s">
        <v>1193</v>
      </c>
      <c r="F248" s="7" t="s">
        <v>1194</v>
      </c>
      <c r="G248" s="7" t="s">
        <v>1195</v>
      </c>
      <c r="H248" s="7">
        <v>20</v>
      </c>
      <c r="I248" s="7" t="s">
        <v>1196</v>
      </c>
      <c r="J248" s="7" t="s">
        <v>955</v>
      </c>
    </row>
    <row r="249" spans="1:10" x14ac:dyDescent="0.3">
      <c r="A249" s="6" t="s">
        <v>1197</v>
      </c>
      <c r="B249" s="7" t="s">
        <v>127</v>
      </c>
      <c r="C249" s="7" t="s">
        <v>1045</v>
      </c>
      <c r="D249" s="7" t="s">
        <v>13</v>
      </c>
      <c r="E249" s="7" t="s">
        <v>1198</v>
      </c>
      <c r="F249" s="7" t="s">
        <v>1035</v>
      </c>
      <c r="G249" s="7" t="s">
        <v>1199</v>
      </c>
      <c r="H249" s="7">
        <v>27</v>
      </c>
      <c r="I249" s="7" t="s">
        <v>1200</v>
      </c>
      <c r="J249" s="7" t="s">
        <v>1201</v>
      </c>
    </row>
    <row r="250" spans="1:10" x14ac:dyDescent="0.3">
      <c r="A250" s="6" t="s">
        <v>1202</v>
      </c>
      <c r="B250" s="7" t="s">
        <v>127</v>
      </c>
      <c r="C250" s="7" t="s">
        <v>589</v>
      </c>
      <c r="D250" s="7" t="s">
        <v>14</v>
      </c>
      <c r="E250" s="7" t="s">
        <v>1203</v>
      </c>
      <c r="F250" s="7" t="s">
        <v>1204</v>
      </c>
      <c r="G250" s="7" t="s">
        <v>1205</v>
      </c>
      <c r="H250" s="7">
        <v>2</v>
      </c>
      <c r="I250" s="7" t="s">
        <v>99</v>
      </c>
      <c r="J250" s="7" t="s">
        <v>593</v>
      </c>
    </row>
    <row r="251" spans="1:10" x14ac:dyDescent="0.3">
      <c r="A251" s="6" t="s">
        <v>1206</v>
      </c>
      <c r="B251" s="7" t="s">
        <v>127</v>
      </c>
      <c r="C251" s="7" t="s">
        <v>589</v>
      </c>
      <c r="D251" s="7" t="s">
        <v>14</v>
      </c>
      <c r="E251" s="7" t="s">
        <v>1207</v>
      </c>
      <c r="F251" s="7" t="s">
        <v>1208</v>
      </c>
      <c r="G251" s="7" t="s">
        <v>1209</v>
      </c>
      <c r="H251" s="7">
        <v>15</v>
      </c>
      <c r="I251" s="7" t="s">
        <v>285</v>
      </c>
      <c r="J251" s="7" t="s">
        <v>1131</v>
      </c>
    </row>
    <row r="252" spans="1:10" x14ac:dyDescent="0.3">
      <c r="A252" s="6" t="s">
        <v>1210</v>
      </c>
      <c r="B252" s="7" t="s">
        <v>127</v>
      </c>
      <c r="C252" s="7" t="s">
        <v>589</v>
      </c>
      <c r="D252" s="7" t="s">
        <v>17</v>
      </c>
      <c r="E252" s="7" t="s">
        <v>515</v>
      </c>
      <c r="F252" s="7" t="s">
        <v>516</v>
      </c>
      <c r="G252" s="7" t="s">
        <v>1211</v>
      </c>
      <c r="H252" s="7"/>
      <c r="I252" s="7" t="s">
        <v>1212</v>
      </c>
      <c r="J252" s="7" t="s">
        <v>1213</v>
      </c>
    </row>
    <row r="253" spans="1:10" x14ac:dyDescent="0.3">
      <c r="A253" s="6" t="s">
        <v>1214</v>
      </c>
      <c r="B253" s="7" t="s">
        <v>1215</v>
      </c>
      <c r="C253" s="7" t="s">
        <v>1045</v>
      </c>
      <c r="D253" s="7" t="s">
        <v>19</v>
      </c>
      <c r="E253" s="7" t="s">
        <v>1216</v>
      </c>
      <c r="F253" s="7" t="s">
        <v>236</v>
      </c>
      <c r="G253" s="7" t="s">
        <v>1217</v>
      </c>
      <c r="H253" s="7">
        <v>9</v>
      </c>
      <c r="I253" s="7" t="s">
        <v>165</v>
      </c>
      <c r="J253" s="7" t="s">
        <v>1218</v>
      </c>
    </row>
    <row r="254" spans="1:10" x14ac:dyDescent="0.3">
      <c r="A254" s="6" t="s">
        <v>1219</v>
      </c>
      <c r="B254" s="7" t="s">
        <v>1215</v>
      </c>
      <c r="C254" s="7" t="s">
        <v>1045</v>
      </c>
      <c r="D254" s="7" t="s">
        <v>19</v>
      </c>
      <c r="E254" s="7" t="s">
        <v>1220</v>
      </c>
      <c r="F254" s="7" t="s">
        <v>1221</v>
      </c>
      <c r="G254" s="7" t="s">
        <v>1222</v>
      </c>
      <c r="H254" s="7">
        <v>4</v>
      </c>
      <c r="I254" s="7" t="s">
        <v>324</v>
      </c>
      <c r="J254" s="7" t="s">
        <v>1223</v>
      </c>
    </row>
    <row r="255" spans="1:10" x14ac:dyDescent="0.3">
      <c r="A255" s="6" t="s">
        <v>1224</v>
      </c>
      <c r="B255" s="7" t="s">
        <v>127</v>
      </c>
      <c r="C255" s="7" t="s">
        <v>589</v>
      </c>
      <c r="D255" s="7" t="s">
        <v>20</v>
      </c>
      <c r="E255" s="7" t="s">
        <v>1225</v>
      </c>
      <c r="F255" s="7" t="s">
        <v>1226</v>
      </c>
      <c r="G255" s="7" t="s">
        <v>1227</v>
      </c>
      <c r="H255" s="7"/>
      <c r="I255" s="7" t="s">
        <v>308</v>
      </c>
      <c r="J255" s="7" t="s">
        <v>199</v>
      </c>
    </row>
    <row r="256" spans="1:10" x14ac:dyDescent="0.3">
      <c r="A256" s="6" t="s">
        <v>1228</v>
      </c>
      <c r="B256" s="7" t="s">
        <v>127</v>
      </c>
      <c r="C256" s="7" t="s">
        <v>589</v>
      </c>
      <c r="D256" s="7" t="s">
        <v>20</v>
      </c>
      <c r="E256" s="7" t="s">
        <v>1229</v>
      </c>
      <c r="F256" s="7" t="s">
        <v>1230</v>
      </c>
      <c r="G256" s="7" t="s">
        <v>1231</v>
      </c>
      <c r="H256" s="7"/>
      <c r="I256" s="7" t="s">
        <v>1232</v>
      </c>
      <c r="J256" s="7" t="s">
        <v>1233</v>
      </c>
    </row>
    <row r="257" spans="1:10" x14ac:dyDescent="0.3">
      <c r="A257" s="6" t="s">
        <v>1234</v>
      </c>
      <c r="B257" s="7" t="s">
        <v>127</v>
      </c>
      <c r="C257" s="7" t="s">
        <v>589</v>
      </c>
      <c r="D257" s="7" t="s">
        <v>20</v>
      </c>
      <c r="E257" s="7" t="s">
        <v>1235</v>
      </c>
      <c r="F257" s="7" t="s">
        <v>591</v>
      </c>
      <c r="G257" s="7" t="s">
        <v>1236</v>
      </c>
      <c r="H257" s="7"/>
      <c r="I257" s="7" t="s">
        <v>1237</v>
      </c>
      <c r="J257" s="7" t="s">
        <v>1238</v>
      </c>
    </row>
    <row r="258" spans="1:10" x14ac:dyDescent="0.3">
      <c r="A258" s="6" t="s">
        <v>1239</v>
      </c>
      <c r="B258" s="7" t="s">
        <v>127</v>
      </c>
      <c r="C258" s="7" t="s">
        <v>589</v>
      </c>
      <c r="D258" s="7" t="s">
        <v>20</v>
      </c>
      <c r="E258" s="7" t="s">
        <v>1240</v>
      </c>
      <c r="F258" s="7" t="s">
        <v>1241</v>
      </c>
      <c r="G258" s="7" t="s">
        <v>1242</v>
      </c>
      <c r="H258" s="7"/>
      <c r="I258" s="7" t="s">
        <v>1243</v>
      </c>
      <c r="J258" s="7" t="s">
        <v>1244</v>
      </c>
    </row>
    <row r="259" spans="1:10" x14ac:dyDescent="0.3">
      <c r="A259" s="6" t="s">
        <v>1245</v>
      </c>
      <c r="B259" s="7" t="s">
        <v>127</v>
      </c>
      <c r="C259" s="7" t="s">
        <v>589</v>
      </c>
      <c r="D259" s="7" t="s">
        <v>20</v>
      </c>
      <c r="E259" s="7" t="s">
        <v>1246</v>
      </c>
      <c r="F259" s="7" t="s">
        <v>1247</v>
      </c>
      <c r="G259" s="7" t="s">
        <v>1248</v>
      </c>
      <c r="H259" s="7"/>
      <c r="I259" s="7" t="s">
        <v>1249</v>
      </c>
      <c r="J259" s="7" t="s">
        <v>1081</v>
      </c>
    </row>
    <row r="260" spans="1:10" x14ac:dyDescent="0.3">
      <c r="A260" s="6" t="s">
        <v>1250</v>
      </c>
      <c r="B260" s="7" t="s">
        <v>127</v>
      </c>
      <c r="C260" s="7" t="s">
        <v>589</v>
      </c>
      <c r="D260" s="7" t="s">
        <v>20</v>
      </c>
      <c r="E260" s="7" t="s">
        <v>1251</v>
      </c>
      <c r="F260" s="7" t="s">
        <v>633</v>
      </c>
      <c r="G260" s="7" t="s">
        <v>1252</v>
      </c>
      <c r="H260" s="7"/>
      <c r="I260" s="7" t="s">
        <v>1253</v>
      </c>
      <c r="J260" s="7" t="s">
        <v>404</v>
      </c>
    </row>
    <row r="261" spans="1:10" x14ac:dyDescent="0.3">
      <c r="A261" s="6" t="s">
        <v>1254</v>
      </c>
      <c r="B261" s="7" t="s">
        <v>127</v>
      </c>
      <c r="C261" s="7" t="s">
        <v>589</v>
      </c>
      <c r="D261" s="7" t="s">
        <v>20</v>
      </c>
      <c r="E261" s="7" t="s">
        <v>1255</v>
      </c>
      <c r="F261" s="7" t="s">
        <v>1256</v>
      </c>
      <c r="G261" s="7" t="s">
        <v>1257</v>
      </c>
      <c r="H261" s="7"/>
      <c r="I261" s="7" t="s">
        <v>1258</v>
      </c>
      <c r="J261" s="7" t="s">
        <v>189</v>
      </c>
    </row>
    <row r="262" spans="1:10" x14ac:dyDescent="0.3">
      <c r="A262" s="6" t="s">
        <v>1259</v>
      </c>
      <c r="B262" s="7" t="s">
        <v>127</v>
      </c>
      <c r="C262" s="7" t="s">
        <v>589</v>
      </c>
      <c r="D262" s="7" t="s">
        <v>20</v>
      </c>
      <c r="E262" s="7" t="s">
        <v>1260</v>
      </c>
      <c r="F262" s="7" t="s">
        <v>723</v>
      </c>
      <c r="G262" s="7" t="s">
        <v>84</v>
      </c>
      <c r="H262" s="7"/>
      <c r="I262" s="7" t="s">
        <v>87</v>
      </c>
      <c r="J262" s="7" t="s">
        <v>725</v>
      </c>
    </row>
    <row r="263" spans="1:10" x14ac:dyDescent="0.3">
      <c r="A263" s="6" t="s">
        <v>1261</v>
      </c>
      <c r="B263" s="7" t="s">
        <v>127</v>
      </c>
      <c r="C263" s="7" t="s">
        <v>589</v>
      </c>
      <c r="D263" s="7" t="s">
        <v>20</v>
      </c>
      <c r="E263" s="7" t="s">
        <v>1262</v>
      </c>
      <c r="F263" s="7" t="s">
        <v>1263</v>
      </c>
      <c r="G263" s="7" t="s">
        <v>1264</v>
      </c>
      <c r="H263" s="7"/>
      <c r="I263" s="7" t="s">
        <v>308</v>
      </c>
      <c r="J263" s="7" t="s">
        <v>189</v>
      </c>
    </row>
    <row r="264" spans="1:10" x14ac:dyDescent="0.3">
      <c r="A264" s="6" t="s">
        <v>1265</v>
      </c>
      <c r="B264" s="7" t="s">
        <v>127</v>
      </c>
      <c r="C264" s="7" t="s">
        <v>589</v>
      </c>
      <c r="D264" s="7" t="s">
        <v>20</v>
      </c>
      <c r="E264" s="7" t="s">
        <v>1266</v>
      </c>
      <c r="F264" s="7" t="s">
        <v>649</v>
      </c>
      <c r="G264" s="7" t="s">
        <v>66</v>
      </c>
      <c r="H264" s="7"/>
      <c r="I264" s="7" t="s">
        <v>69</v>
      </c>
      <c r="J264" s="7" t="s">
        <v>348</v>
      </c>
    </row>
    <row r="265" spans="1:10" x14ac:dyDescent="0.3">
      <c r="A265" s="6" t="s">
        <v>1267</v>
      </c>
      <c r="B265" s="7" t="s">
        <v>127</v>
      </c>
      <c r="C265" s="7" t="s">
        <v>589</v>
      </c>
      <c r="D265" s="7" t="s">
        <v>20</v>
      </c>
      <c r="E265" s="7" t="s">
        <v>1268</v>
      </c>
      <c r="F265" s="7" t="s">
        <v>322</v>
      </c>
      <c r="G265" s="7" t="s">
        <v>1269</v>
      </c>
      <c r="H265" s="7"/>
      <c r="I265" s="7" t="s">
        <v>995</v>
      </c>
      <c r="J265" s="7" t="s">
        <v>1270</v>
      </c>
    </row>
    <row r="266" spans="1:10" x14ac:dyDescent="0.3">
      <c r="A266" s="6" t="s">
        <v>1271</v>
      </c>
      <c r="B266" s="7" t="s">
        <v>127</v>
      </c>
      <c r="C266" s="7" t="s">
        <v>589</v>
      </c>
      <c r="D266" s="7" t="s">
        <v>20</v>
      </c>
      <c r="E266" s="7" t="s">
        <v>1272</v>
      </c>
      <c r="F266" s="7" t="s">
        <v>1273</v>
      </c>
      <c r="G266" s="7" t="s">
        <v>1274</v>
      </c>
      <c r="H266" s="7"/>
      <c r="I266" s="7" t="s">
        <v>279</v>
      </c>
      <c r="J266" s="7" t="s">
        <v>1275</v>
      </c>
    </row>
    <row r="267" spans="1:10" x14ac:dyDescent="0.3">
      <c r="A267" s="6" t="s">
        <v>1276</v>
      </c>
      <c r="B267" s="7" t="s">
        <v>127</v>
      </c>
      <c r="C267" s="7" t="s">
        <v>589</v>
      </c>
      <c r="D267" s="7" t="s">
        <v>20</v>
      </c>
      <c r="E267" s="7" t="s">
        <v>1277</v>
      </c>
      <c r="F267" s="7" t="s">
        <v>1278</v>
      </c>
      <c r="G267" s="7" t="s">
        <v>1279</v>
      </c>
      <c r="H267" s="7"/>
      <c r="I267" s="7" t="s">
        <v>1280</v>
      </c>
      <c r="J267" s="7" t="s">
        <v>781</v>
      </c>
    </row>
    <row r="268" spans="1:10" x14ac:dyDescent="0.3">
      <c r="A268" s="6" t="s">
        <v>1281</v>
      </c>
      <c r="B268" s="7" t="s">
        <v>127</v>
      </c>
      <c r="C268" s="7" t="s">
        <v>589</v>
      </c>
      <c r="D268" s="7" t="s">
        <v>20</v>
      </c>
      <c r="E268" s="7" t="s">
        <v>1282</v>
      </c>
      <c r="F268" s="7" t="s">
        <v>1283</v>
      </c>
      <c r="G268" s="7" t="s">
        <v>1284</v>
      </c>
      <c r="H268" s="7"/>
      <c r="I268" s="7" t="s">
        <v>1280</v>
      </c>
      <c r="J268" s="7" t="s">
        <v>781</v>
      </c>
    </row>
    <row r="269" spans="1:10" x14ac:dyDescent="0.3">
      <c r="A269" s="6" t="s">
        <v>1285</v>
      </c>
      <c r="B269" s="7" t="s">
        <v>127</v>
      </c>
      <c r="C269" s="7" t="s">
        <v>589</v>
      </c>
      <c r="D269" s="7" t="s">
        <v>20</v>
      </c>
      <c r="E269" s="7" t="s">
        <v>1286</v>
      </c>
      <c r="F269" s="7" t="s">
        <v>1287</v>
      </c>
      <c r="G269" s="7" t="s">
        <v>1288</v>
      </c>
      <c r="H269" s="7"/>
      <c r="I269" s="7" t="s">
        <v>621</v>
      </c>
      <c r="J269" s="7" t="s">
        <v>1289</v>
      </c>
    </row>
    <row r="270" spans="1:10" x14ac:dyDescent="0.3">
      <c r="A270" s="6" t="s">
        <v>1290</v>
      </c>
      <c r="B270" s="7" t="s">
        <v>127</v>
      </c>
      <c r="C270" s="7" t="s">
        <v>589</v>
      </c>
      <c r="D270" s="7" t="s">
        <v>20</v>
      </c>
      <c r="E270" s="7" t="s">
        <v>1291</v>
      </c>
      <c r="F270" s="7"/>
      <c r="G270" s="7" t="s">
        <v>112</v>
      </c>
      <c r="H270" s="7"/>
      <c r="I270" s="7" t="s">
        <v>487</v>
      </c>
      <c r="J270" s="7" t="s">
        <v>683</v>
      </c>
    </row>
    <row r="271" spans="1:10" x14ac:dyDescent="0.3">
      <c r="A271" s="6" t="s">
        <v>1292</v>
      </c>
      <c r="B271" s="7" t="s">
        <v>127</v>
      </c>
      <c r="C271" s="7" t="s">
        <v>589</v>
      </c>
      <c r="D271" s="7" t="s">
        <v>20</v>
      </c>
      <c r="E271" s="7" t="s">
        <v>1293</v>
      </c>
      <c r="F271" s="7" t="s">
        <v>1294</v>
      </c>
      <c r="G271" s="7" t="s">
        <v>1295</v>
      </c>
      <c r="H271" s="7"/>
      <c r="I271" s="7" t="s">
        <v>1296</v>
      </c>
      <c r="J271" s="7" t="s">
        <v>1297</v>
      </c>
    </row>
    <row r="272" spans="1:10" x14ac:dyDescent="0.3">
      <c r="A272" s="6" t="s">
        <v>1298</v>
      </c>
      <c r="B272" s="7" t="s">
        <v>127</v>
      </c>
      <c r="C272" s="7" t="s">
        <v>589</v>
      </c>
      <c r="D272" s="7" t="s">
        <v>20</v>
      </c>
      <c r="E272" s="7" t="s">
        <v>1299</v>
      </c>
      <c r="F272" s="7" t="s">
        <v>1300</v>
      </c>
      <c r="G272" s="7" t="s">
        <v>1301</v>
      </c>
      <c r="H272" s="7"/>
      <c r="I272" s="7" t="s">
        <v>328</v>
      </c>
      <c r="J272" s="7" t="s">
        <v>1302</v>
      </c>
    </row>
    <row r="273" spans="1:10" x14ac:dyDescent="0.3">
      <c r="A273" s="6" t="s">
        <v>1303</v>
      </c>
      <c r="B273" s="7" t="s">
        <v>127</v>
      </c>
      <c r="C273" s="7" t="s">
        <v>589</v>
      </c>
      <c r="D273" s="7" t="s">
        <v>20</v>
      </c>
      <c r="E273" s="7" t="s">
        <v>1304</v>
      </c>
      <c r="F273" s="7" t="s">
        <v>1305</v>
      </c>
      <c r="G273" s="7" t="s">
        <v>1306</v>
      </c>
      <c r="H273" s="7"/>
      <c r="I273" s="7" t="s">
        <v>1307</v>
      </c>
      <c r="J273" s="7" t="s">
        <v>1308</v>
      </c>
    </row>
    <row r="274" spans="1:10" x14ac:dyDescent="0.3">
      <c r="A274" s="6" t="s">
        <v>1309</v>
      </c>
      <c r="B274" s="7" t="s">
        <v>127</v>
      </c>
      <c r="C274" s="7" t="s">
        <v>589</v>
      </c>
      <c r="D274" s="7" t="s">
        <v>20</v>
      </c>
      <c r="E274" s="7" t="s">
        <v>1310</v>
      </c>
      <c r="F274" s="7" t="s">
        <v>1311</v>
      </c>
      <c r="G274" s="7" t="s">
        <v>1312</v>
      </c>
      <c r="H274" s="7"/>
      <c r="I274" s="7" t="s">
        <v>1313</v>
      </c>
      <c r="J274" s="7" t="s">
        <v>189</v>
      </c>
    </row>
    <row r="275" spans="1:10" x14ac:dyDescent="0.3">
      <c r="A275" s="6" t="s">
        <v>1314</v>
      </c>
      <c r="B275" s="7" t="s">
        <v>127</v>
      </c>
      <c r="C275" s="7" t="s">
        <v>589</v>
      </c>
      <c r="D275" s="7" t="s">
        <v>20</v>
      </c>
      <c r="E275" s="7" t="s">
        <v>1315</v>
      </c>
      <c r="F275" s="7"/>
      <c r="G275" s="7" t="s">
        <v>1316</v>
      </c>
      <c r="H275" s="7"/>
      <c r="I275" s="7" t="s">
        <v>1317</v>
      </c>
      <c r="J275" s="7" t="s">
        <v>1318</v>
      </c>
    </row>
    <row r="276" spans="1:10" x14ac:dyDescent="0.3">
      <c r="A276" s="6" t="s">
        <v>1319</v>
      </c>
      <c r="B276" s="7" t="s">
        <v>127</v>
      </c>
      <c r="C276" s="7" t="s">
        <v>589</v>
      </c>
      <c r="D276" s="7" t="s">
        <v>20</v>
      </c>
      <c r="E276" s="7" t="s">
        <v>1320</v>
      </c>
      <c r="F276" s="7" t="s">
        <v>516</v>
      </c>
      <c r="G276" s="7" t="s">
        <v>1321</v>
      </c>
      <c r="H276" s="7"/>
      <c r="I276" s="7" t="s">
        <v>1212</v>
      </c>
      <c r="J276" s="7" t="s">
        <v>1308</v>
      </c>
    </row>
    <row r="277" spans="1:10" x14ac:dyDescent="0.3">
      <c r="A277" s="6" t="s">
        <v>1322</v>
      </c>
      <c r="B277" s="7" t="s">
        <v>127</v>
      </c>
      <c r="C277" s="7" t="s">
        <v>589</v>
      </c>
      <c r="D277" s="7" t="s">
        <v>20</v>
      </c>
      <c r="E277" s="7" t="s">
        <v>1323</v>
      </c>
      <c r="F277" s="7" t="s">
        <v>1324</v>
      </c>
      <c r="G277" s="7" t="s">
        <v>1325</v>
      </c>
      <c r="H277" s="7"/>
      <c r="I277" s="7" t="s">
        <v>1280</v>
      </c>
      <c r="J277" s="7" t="s">
        <v>781</v>
      </c>
    </row>
    <row r="278" spans="1:10" x14ac:dyDescent="0.3">
      <c r="A278" s="6" t="s">
        <v>1326</v>
      </c>
      <c r="B278" s="7" t="s">
        <v>127</v>
      </c>
      <c r="C278" s="7" t="s">
        <v>589</v>
      </c>
      <c r="D278" s="7" t="s">
        <v>20</v>
      </c>
      <c r="E278" s="7" t="s">
        <v>1327</v>
      </c>
      <c r="F278" s="7" t="s">
        <v>1035</v>
      </c>
      <c r="G278" s="7" t="s">
        <v>1328</v>
      </c>
      <c r="H278" s="7"/>
      <c r="I278" s="7" t="s">
        <v>1329</v>
      </c>
      <c r="J278" s="7" t="s">
        <v>1330</v>
      </c>
    </row>
    <row r="279" spans="1:10" x14ac:dyDescent="0.3">
      <c r="A279" s="6" t="s">
        <v>1331</v>
      </c>
      <c r="B279" s="7" t="s">
        <v>127</v>
      </c>
      <c r="C279" s="7" t="s">
        <v>589</v>
      </c>
      <c r="D279" s="7" t="s">
        <v>20</v>
      </c>
      <c r="E279" s="7" t="s">
        <v>1327</v>
      </c>
      <c r="F279" s="7" t="s">
        <v>1035</v>
      </c>
      <c r="G279" s="7" t="s">
        <v>1332</v>
      </c>
      <c r="H279" s="7"/>
      <c r="I279" s="7" t="s">
        <v>290</v>
      </c>
      <c r="J279" s="7" t="s">
        <v>1333</v>
      </c>
    </row>
    <row r="280" spans="1:10" x14ac:dyDescent="0.3">
      <c r="A280" s="6" t="s">
        <v>1334</v>
      </c>
      <c r="B280" s="7" t="s">
        <v>127</v>
      </c>
      <c r="C280" s="7" t="s">
        <v>589</v>
      </c>
      <c r="D280" s="7" t="s">
        <v>21</v>
      </c>
      <c r="E280" s="7" t="s">
        <v>1335</v>
      </c>
      <c r="F280" s="7" t="s">
        <v>1336</v>
      </c>
      <c r="G280" s="7" t="s">
        <v>1337</v>
      </c>
      <c r="H280" s="7">
        <v>38</v>
      </c>
      <c r="I280" s="7" t="s">
        <v>1338</v>
      </c>
      <c r="J280" s="7" t="s">
        <v>1339</v>
      </c>
    </row>
    <row r="281" spans="1:10" x14ac:dyDescent="0.3">
      <c r="A281" s="6" t="s">
        <v>1340</v>
      </c>
      <c r="B281" s="7" t="s">
        <v>127</v>
      </c>
      <c r="C281" s="7" t="s">
        <v>589</v>
      </c>
      <c r="D281" s="7" t="s">
        <v>21</v>
      </c>
      <c r="E281" s="7" t="s">
        <v>1341</v>
      </c>
      <c r="F281" s="7" t="s">
        <v>1342</v>
      </c>
      <c r="G281" s="7" t="s">
        <v>1343</v>
      </c>
      <c r="H281" s="7">
        <v>8</v>
      </c>
      <c r="I281" s="7" t="s">
        <v>764</v>
      </c>
      <c r="J281" s="7" t="s">
        <v>1344</v>
      </c>
    </row>
    <row r="282" spans="1:10" x14ac:dyDescent="0.3">
      <c r="A282" s="6" t="s">
        <v>1345</v>
      </c>
      <c r="B282" s="7" t="s">
        <v>127</v>
      </c>
      <c r="C282" s="7" t="s">
        <v>589</v>
      </c>
      <c r="D282" s="7" t="s">
        <v>22</v>
      </c>
      <c r="E282" s="7" t="s">
        <v>722</v>
      </c>
      <c r="F282" s="7" t="s">
        <v>723</v>
      </c>
      <c r="G282" s="7" t="s">
        <v>724</v>
      </c>
      <c r="H282" s="7"/>
      <c r="I282" s="7" t="s">
        <v>87</v>
      </c>
      <c r="J282" s="7" t="s">
        <v>725</v>
      </c>
    </row>
    <row r="283" spans="1:10" x14ac:dyDescent="0.3">
      <c r="A283" s="6" t="s">
        <v>1346</v>
      </c>
      <c r="B283" s="7" t="s">
        <v>127</v>
      </c>
      <c r="C283" s="7" t="s">
        <v>589</v>
      </c>
      <c r="D283" s="7" t="s">
        <v>22</v>
      </c>
      <c r="E283" s="7" t="s">
        <v>1347</v>
      </c>
      <c r="F283" s="7" t="s">
        <v>1204</v>
      </c>
      <c r="G283" s="7" t="s">
        <v>96</v>
      </c>
      <c r="H283" s="7"/>
      <c r="I283" s="7" t="s">
        <v>99</v>
      </c>
      <c r="J283" s="7" t="s">
        <v>593</v>
      </c>
    </row>
    <row r="284" spans="1:10" x14ac:dyDescent="0.3">
      <c r="A284" s="6" t="s">
        <v>1348</v>
      </c>
      <c r="B284" s="7" t="s">
        <v>127</v>
      </c>
      <c r="C284" s="7" t="s">
        <v>589</v>
      </c>
      <c r="D284" s="7" t="s">
        <v>22</v>
      </c>
      <c r="E284" s="7" t="s">
        <v>515</v>
      </c>
      <c r="F284" s="7" t="s">
        <v>516</v>
      </c>
      <c r="G284" s="7" t="s">
        <v>1349</v>
      </c>
      <c r="H284" s="7"/>
      <c r="I284" s="7" t="s">
        <v>1350</v>
      </c>
      <c r="J284" s="7" t="s">
        <v>367</v>
      </c>
    </row>
    <row r="285" spans="1:10" x14ac:dyDescent="0.3">
      <c r="A285" s="6" t="s">
        <v>1351</v>
      </c>
      <c r="B285" s="7" t="s">
        <v>127</v>
      </c>
      <c r="C285" s="7" t="s">
        <v>589</v>
      </c>
      <c r="D285" s="7" t="s">
        <v>22</v>
      </c>
      <c r="E285" s="7" t="s">
        <v>515</v>
      </c>
      <c r="F285" s="7" t="s">
        <v>516</v>
      </c>
      <c r="G285" s="7" t="s">
        <v>1352</v>
      </c>
      <c r="H285" s="7"/>
      <c r="I285" s="7" t="s">
        <v>165</v>
      </c>
      <c r="J285" s="7" t="s">
        <v>143</v>
      </c>
    </row>
    <row r="286" spans="1:10" x14ac:dyDescent="0.3">
      <c r="A286" s="6" t="s">
        <v>1353</v>
      </c>
      <c r="B286" s="7" t="s">
        <v>127</v>
      </c>
      <c r="C286" s="7" t="s">
        <v>589</v>
      </c>
      <c r="D286" s="7" t="s">
        <v>22</v>
      </c>
      <c r="E286" s="7" t="s">
        <v>1354</v>
      </c>
      <c r="F286" s="7" t="s">
        <v>1355</v>
      </c>
      <c r="G286" s="7" t="s">
        <v>1356</v>
      </c>
      <c r="H286" s="7"/>
      <c r="I286" s="7" t="s">
        <v>196</v>
      </c>
      <c r="J286" s="7" t="s">
        <v>676</v>
      </c>
    </row>
    <row r="287" spans="1:10" x14ac:dyDescent="0.3">
      <c r="A287" s="6" t="s">
        <v>1357</v>
      </c>
      <c r="B287" s="7" t="s">
        <v>127</v>
      </c>
      <c r="C287" s="7" t="s">
        <v>589</v>
      </c>
      <c r="D287" s="7" t="s">
        <v>22</v>
      </c>
      <c r="E287" s="7" t="s">
        <v>1034</v>
      </c>
      <c r="F287" s="7" t="s">
        <v>1035</v>
      </c>
      <c r="G287" s="7" t="s">
        <v>1358</v>
      </c>
      <c r="H287" s="7"/>
      <c r="I287" s="7" t="s">
        <v>1359</v>
      </c>
      <c r="J287" s="7" t="s">
        <v>1360</v>
      </c>
    </row>
    <row r="288" spans="1:10" x14ac:dyDescent="0.3">
      <c r="A288" s="6" t="s">
        <v>1361</v>
      </c>
      <c r="B288" s="7" t="s">
        <v>127</v>
      </c>
      <c r="C288" s="7" t="s">
        <v>589</v>
      </c>
      <c r="D288" s="7" t="s">
        <v>22</v>
      </c>
      <c r="E288" s="7" t="s">
        <v>1034</v>
      </c>
      <c r="F288" s="7" t="s">
        <v>1035</v>
      </c>
      <c r="G288" s="7" t="s">
        <v>1362</v>
      </c>
      <c r="H288" s="7"/>
      <c r="I288" s="7" t="s">
        <v>1363</v>
      </c>
      <c r="J288" s="7" t="s">
        <v>885</v>
      </c>
    </row>
    <row r="289" spans="1:10" x14ac:dyDescent="0.3">
      <c r="A289" s="6" t="s">
        <v>1364</v>
      </c>
      <c r="B289" s="7" t="s">
        <v>127</v>
      </c>
      <c r="C289" s="7" t="s">
        <v>1365</v>
      </c>
      <c r="D289" s="7" t="s">
        <v>24</v>
      </c>
      <c r="E289" s="7" t="s">
        <v>1034</v>
      </c>
      <c r="F289" s="7" t="s">
        <v>1035</v>
      </c>
      <c r="G289" s="7" t="s">
        <v>1366</v>
      </c>
      <c r="H289" s="7"/>
      <c r="I289" s="7" t="s">
        <v>1367</v>
      </c>
      <c r="J289" s="7" t="s">
        <v>1063</v>
      </c>
    </row>
    <row r="290" spans="1:10" x14ac:dyDescent="0.3">
      <c r="A290" s="6" t="s">
        <v>1368</v>
      </c>
      <c r="B290" s="7" t="s">
        <v>127</v>
      </c>
      <c r="C290" s="7" t="s">
        <v>589</v>
      </c>
      <c r="D290" s="7" t="s">
        <v>26</v>
      </c>
      <c r="E290" s="7" t="s">
        <v>1369</v>
      </c>
      <c r="F290" s="7" t="s">
        <v>607</v>
      </c>
      <c r="G290" s="7" t="s">
        <v>1370</v>
      </c>
      <c r="H290" s="7">
        <v>24</v>
      </c>
      <c r="I290" s="7" t="s">
        <v>1212</v>
      </c>
      <c r="J290" s="7" t="s">
        <v>1371</v>
      </c>
    </row>
    <row r="291" spans="1:10" x14ac:dyDescent="0.3">
      <c r="A291" s="6" t="s">
        <v>1372</v>
      </c>
      <c r="B291" s="7" t="s">
        <v>127</v>
      </c>
      <c r="C291" s="7" t="s">
        <v>589</v>
      </c>
      <c r="D291" s="7" t="s">
        <v>26</v>
      </c>
      <c r="E291" s="7" t="s">
        <v>1373</v>
      </c>
      <c r="F291" s="7" t="s">
        <v>615</v>
      </c>
      <c r="G291" s="7" t="s">
        <v>1374</v>
      </c>
      <c r="H291" s="7">
        <v>20</v>
      </c>
      <c r="I291" s="7" t="s">
        <v>131</v>
      </c>
      <c r="J291" s="7" t="s">
        <v>955</v>
      </c>
    </row>
    <row r="292" spans="1:10" x14ac:dyDescent="0.3">
      <c r="A292" s="6" t="s">
        <v>1375</v>
      </c>
      <c r="B292" s="7" t="s">
        <v>127</v>
      </c>
      <c r="C292" s="7" t="s">
        <v>589</v>
      </c>
      <c r="D292" s="7" t="s">
        <v>26</v>
      </c>
      <c r="E292" s="7" t="s">
        <v>1376</v>
      </c>
      <c r="F292" s="7" t="s">
        <v>1377</v>
      </c>
      <c r="G292" s="7" t="s">
        <v>1378</v>
      </c>
      <c r="H292" s="7">
        <v>2</v>
      </c>
      <c r="I292" s="7" t="s">
        <v>562</v>
      </c>
      <c r="J292" s="7" t="s">
        <v>294</v>
      </c>
    </row>
    <row r="293" spans="1:10" x14ac:dyDescent="0.3">
      <c r="A293" s="6" t="s">
        <v>1379</v>
      </c>
      <c r="B293" s="7" t="s">
        <v>127</v>
      </c>
      <c r="C293" s="7" t="s">
        <v>589</v>
      </c>
      <c r="D293" s="7" t="s">
        <v>26</v>
      </c>
      <c r="E293" s="7" t="s">
        <v>1380</v>
      </c>
      <c r="F293" s="7" t="s">
        <v>1381</v>
      </c>
      <c r="G293" s="7" t="s">
        <v>1382</v>
      </c>
      <c r="H293" s="7">
        <v>6</v>
      </c>
      <c r="I293" s="7" t="s">
        <v>604</v>
      </c>
      <c r="J293" s="7" t="s">
        <v>294</v>
      </c>
    </row>
    <row r="294" spans="1:10" x14ac:dyDescent="0.3">
      <c r="A294" s="6" t="s">
        <v>1383</v>
      </c>
      <c r="B294" s="7" t="s">
        <v>127</v>
      </c>
      <c r="C294" s="7" t="s">
        <v>589</v>
      </c>
      <c r="D294" s="7" t="s">
        <v>26</v>
      </c>
      <c r="E294" s="7" t="s">
        <v>1384</v>
      </c>
      <c r="F294" s="7" t="s">
        <v>1385</v>
      </c>
      <c r="G294" s="7" t="s">
        <v>1386</v>
      </c>
      <c r="H294" s="7">
        <v>20</v>
      </c>
      <c r="I294" s="7" t="s">
        <v>394</v>
      </c>
      <c r="J294" s="7" t="s">
        <v>612</v>
      </c>
    </row>
    <row r="295" spans="1:10" x14ac:dyDescent="0.3">
      <c r="A295" s="6" t="s">
        <v>1387</v>
      </c>
      <c r="B295" s="7" t="s">
        <v>127</v>
      </c>
      <c r="C295" s="7" t="s">
        <v>589</v>
      </c>
      <c r="D295" s="7" t="s">
        <v>26</v>
      </c>
      <c r="E295" s="7" t="s">
        <v>1388</v>
      </c>
      <c r="F295" s="7" t="s">
        <v>1389</v>
      </c>
      <c r="G295" s="7" t="s">
        <v>1390</v>
      </c>
      <c r="H295" s="7">
        <v>12</v>
      </c>
      <c r="I295" s="7" t="s">
        <v>250</v>
      </c>
      <c r="J295" s="7" t="s">
        <v>370</v>
      </c>
    </row>
    <row r="296" spans="1:10" x14ac:dyDescent="0.3">
      <c r="A296" s="6" t="s">
        <v>1391</v>
      </c>
      <c r="B296" s="7" t="s">
        <v>127</v>
      </c>
      <c r="C296" s="7" t="s">
        <v>589</v>
      </c>
      <c r="D296" s="7" t="s">
        <v>26</v>
      </c>
      <c r="E296" s="7" t="s">
        <v>1392</v>
      </c>
      <c r="F296" s="7" t="s">
        <v>1393</v>
      </c>
      <c r="G296" s="7" t="s">
        <v>1394</v>
      </c>
      <c r="H296" s="7">
        <v>12</v>
      </c>
      <c r="I296" s="7" t="s">
        <v>69</v>
      </c>
      <c r="J296" s="7" t="s">
        <v>696</v>
      </c>
    </row>
    <row r="297" spans="1:10" x14ac:dyDescent="0.3">
      <c r="A297" s="6" t="s">
        <v>1395</v>
      </c>
      <c r="B297" s="7" t="s">
        <v>127</v>
      </c>
      <c r="C297" s="7" t="s">
        <v>589</v>
      </c>
      <c r="D297" s="7" t="s">
        <v>26</v>
      </c>
      <c r="E297" s="7" t="s">
        <v>1392</v>
      </c>
      <c r="F297" s="7" t="s">
        <v>1393</v>
      </c>
      <c r="G297" s="7" t="s">
        <v>1396</v>
      </c>
      <c r="H297" s="7">
        <v>12</v>
      </c>
      <c r="I297" s="7" t="s">
        <v>69</v>
      </c>
      <c r="J297" s="7" t="s">
        <v>423</v>
      </c>
    </row>
    <row r="298" spans="1:10" x14ac:dyDescent="0.3">
      <c r="A298" s="6" t="s">
        <v>1397</v>
      </c>
      <c r="B298" s="7" t="s">
        <v>127</v>
      </c>
      <c r="C298" s="7" t="s">
        <v>589</v>
      </c>
      <c r="D298" s="7" t="s">
        <v>26</v>
      </c>
      <c r="E298" s="7" t="s">
        <v>1392</v>
      </c>
      <c r="F298" s="7" t="s">
        <v>1393</v>
      </c>
      <c r="G298" s="7" t="s">
        <v>1398</v>
      </c>
      <c r="H298" s="7">
        <v>1</v>
      </c>
      <c r="I298" s="7" t="s">
        <v>328</v>
      </c>
      <c r="J298" s="7" t="s">
        <v>371</v>
      </c>
    </row>
    <row r="299" spans="1:10" x14ac:dyDescent="0.3">
      <c r="A299" s="6" t="s">
        <v>1399</v>
      </c>
      <c r="B299" s="7" t="s">
        <v>127</v>
      </c>
      <c r="C299" s="7" t="s">
        <v>589</v>
      </c>
      <c r="D299" s="7" t="s">
        <v>26</v>
      </c>
      <c r="E299" s="7" t="s">
        <v>1392</v>
      </c>
      <c r="F299" s="7" t="s">
        <v>1393</v>
      </c>
      <c r="G299" s="7" t="s">
        <v>1400</v>
      </c>
      <c r="H299" s="7">
        <v>7</v>
      </c>
      <c r="I299" s="7" t="s">
        <v>328</v>
      </c>
      <c r="J299" s="7" t="s">
        <v>1401</v>
      </c>
    </row>
    <row r="300" spans="1:10" x14ac:dyDescent="0.3">
      <c r="A300" s="6" t="s">
        <v>1402</v>
      </c>
      <c r="B300" s="7" t="s">
        <v>127</v>
      </c>
      <c r="C300" s="7" t="s">
        <v>589</v>
      </c>
      <c r="D300" s="7" t="s">
        <v>26</v>
      </c>
      <c r="E300" s="7" t="s">
        <v>1403</v>
      </c>
      <c r="F300" s="7" t="s">
        <v>1404</v>
      </c>
      <c r="G300" s="7" t="s">
        <v>1405</v>
      </c>
      <c r="H300" s="7">
        <v>23</v>
      </c>
      <c r="I300" s="7" t="s">
        <v>328</v>
      </c>
      <c r="J300" s="7" t="s">
        <v>1406</v>
      </c>
    </row>
    <row r="301" spans="1:10" x14ac:dyDescent="0.3">
      <c r="A301" s="6" t="s">
        <v>1407</v>
      </c>
      <c r="B301" s="7" t="s">
        <v>127</v>
      </c>
      <c r="C301" s="7" t="s">
        <v>589</v>
      </c>
      <c r="D301" s="7" t="s">
        <v>26</v>
      </c>
      <c r="E301" s="7" t="s">
        <v>1408</v>
      </c>
      <c r="F301" s="7" t="s">
        <v>1409</v>
      </c>
      <c r="G301" s="7" t="s">
        <v>1410</v>
      </c>
      <c r="H301" s="7">
        <v>4</v>
      </c>
      <c r="I301" s="7" t="s">
        <v>1411</v>
      </c>
      <c r="J301" s="7" t="s">
        <v>199</v>
      </c>
    </row>
    <row r="302" spans="1:10" x14ac:dyDescent="0.3">
      <c r="A302" s="6" t="s">
        <v>1412</v>
      </c>
      <c r="B302" s="7" t="s">
        <v>127</v>
      </c>
      <c r="C302" s="7" t="s">
        <v>589</v>
      </c>
      <c r="D302" s="7" t="s">
        <v>26</v>
      </c>
      <c r="E302" s="7" t="s">
        <v>1413</v>
      </c>
      <c r="F302" s="7" t="s">
        <v>1414</v>
      </c>
      <c r="G302" s="7" t="s">
        <v>1415</v>
      </c>
      <c r="H302" s="7">
        <v>41</v>
      </c>
      <c r="I302" s="7" t="s">
        <v>1416</v>
      </c>
      <c r="J302" s="7" t="s">
        <v>599</v>
      </c>
    </row>
    <row r="303" spans="1:10" x14ac:dyDescent="0.3">
      <c r="A303" s="6" t="s">
        <v>1417</v>
      </c>
      <c r="B303" s="7" t="s">
        <v>127</v>
      </c>
      <c r="C303" s="7" t="s">
        <v>589</v>
      </c>
      <c r="D303" s="7" t="s">
        <v>26</v>
      </c>
      <c r="E303" s="7" t="s">
        <v>1418</v>
      </c>
      <c r="F303" s="7" t="s">
        <v>1419</v>
      </c>
      <c r="G303" s="7" t="s">
        <v>1420</v>
      </c>
      <c r="H303" s="7">
        <v>24</v>
      </c>
      <c r="I303" s="7" t="s">
        <v>196</v>
      </c>
      <c r="J303" s="7" t="s">
        <v>199</v>
      </c>
    </row>
    <row r="304" spans="1:10" x14ac:dyDescent="0.3">
      <c r="A304" s="6" t="s">
        <v>1421</v>
      </c>
      <c r="B304" s="7" t="s">
        <v>127</v>
      </c>
      <c r="C304" s="7" t="s">
        <v>589</v>
      </c>
      <c r="D304" s="7" t="s">
        <v>26</v>
      </c>
      <c r="E304" s="7" t="s">
        <v>1422</v>
      </c>
      <c r="F304" s="7" t="s">
        <v>649</v>
      </c>
      <c r="G304" s="7" t="s">
        <v>66</v>
      </c>
      <c r="H304" s="7">
        <v>36</v>
      </c>
      <c r="I304" s="7" t="s">
        <v>69</v>
      </c>
      <c r="J304" s="7" t="s">
        <v>348</v>
      </c>
    </row>
    <row r="305" spans="1:10" x14ac:dyDescent="0.3">
      <c r="A305" s="6" t="s">
        <v>1423</v>
      </c>
      <c r="B305" s="7" t="s">
        <v>127</v>
      </c>
      <c r="C305" s="7" t="s">
        <v>589</v>
      </c>
      <c r="D305" s="7" t="s">
        <v>26</v>
      </c>
      <c r="E305" s="7" t="s">
        <v>1424</v>
      </c>
      <c r="F305" s="7" t="s">
        <v>1425</v>
      </c>
      <c r="G305" s="7" t="s">
        <v>1426</v>
      </c>
      <c r="H305" s="7">
        <v>33</v>
      </c>
      <c r="I305" s="7" t="s">
        <v>308</v>
      </c>
      <c r="J305" s="7" t="s">
        <v>774</v>
      </c>
    </row>
    <row r="306" spans="1:10" x14ac:dyDescent="0.3">
      <c r="A306" s="6" t="s">
        <v>1427</v>
      </c>
      <c r="B306" s="7" t="s">
        <v>127</v>
      </c>
      <c r="C306" s="7" t="s">
        <v>589</v>
      </c>
      <c r="D306" s="7" t="s">
        <v>26</v>
      </c>
      <c r="E306" s="7" t="s">
        <v>1428</v>
      </c>
      <c r="F306" s="7" t="s">
        <v>415</v>
      </c>
      <c r="G306" s="7" t="s">
        <v>1429</v>
      </c>
      <c r="H306" s="7">
        <v>4</v>
      </c>
      <c r="I306" s="7" t="s">
        <v>270</v>
      </c>
      <c r="J306" s="7" t="s">
        <v>189</v>
      </c>
    </row>
    <row r="307" spans="1:10" x14ac:dyDescent="0.3">
      <c r="A307" s="6" t="s">
        <v>1430</v>
      </c>
      <c r="B307" s="7" t="s">
        <v>127</v>
      </c>
      <c r="C307" s="7" t="s">
        <v>589</v>
      </c>
      <c r="D307" s="7" t="s">
        <v>26</v>
      </c>
      <c r="E307" s="7" t="s">
        <v>1431</v>
      </c>
      <c r="F307" s="7" t="s">
        <v>1432</v>
      </c>
      <c r="G307" s="7" t="s">
        <v>1433</v>
      </c>
      <c r="H307" s="7">
        <v>1</v>
      </c>
      <c r="I307" s="7" t="s">
        <v>290</v>
      </c>
      <c r="J307" s="7" t="s">
        <v>542</v>
      </c>
    </row>
    <row r="308" spans="1:10" x14ac:dyDescent="0.3">
      <c r="A308" s="6" t="s">
        <v>1434</v>
      </c>
      <c r="B308" s="7" t="s">
        <v>127</v>
      </c>
      <c r="C308" s="7" t="s">
        <v>589</v>
      </c>
      <c r="D308" s="7" t="s">
        <v>26</v>
      </c>
      <c r="E308" s="7" t="s">
        <v>1435</v>
      </c>
      <c r="F308" s="7" t="s">
        <v>1436</v>
      </c>
      <c r="G308" s="7" t="s">
        <v>1437</v>
      </c>
      <c r="H308" s="7">
        <v>7</v>
      </c>
      <c r="I308" s="7" t="s">
        <v>1438</v>
      </c>
      <c r="J308" s="7" t="s">
        <v>1439</v>
      </c>
    </row>
    <row r="309" spans="1:10" x14ac:dyDescent="0.3">
      <c r="A309" s="6" t="s">
        <v>1440</v>
      </c>
      <c r="B309" s="7" t="s">
        <v>127</v>
      </c>
      <c r="C309" s="7" t="s">
        <v>589</v>
      </c>
      <c r="D309" s="7" t="s">
        <v>26</v>
      </c>
      <c r="E309" s="7" t="s">
        <v>1435</v>
      </c>
      <c r="F309" s="7" t="s">
        <v>1436</v>
      </c>
      <c r="G309" s="7" t="s">
        <v>1441</v>
      </c>
      <c r="H309" s="7">
        <v>6</v>
      </c>
      <c r="I309" s="7" t="s">
        <v>1442</v>
      </c>
      <c r="J309" s="7" t="s">
        <v>901</v>
      </c>
    </row>
    <row r="310" spans="1:10" x14ac:dyDescent="0.3">
      <c r="A310" s="6" t="s">
        <v>1443</v>
      </c>
      <c r="B310" s="7" t="s">
        <v>127</v>
      </c>
      <c r="C310" s="7" t="s">
        <v>589</v>
      </c>
      <c r="D310" s="7" t="s">
        <v>26</v>
      </c>
      <c r="E310" s="7" t="s">
        <v>1444</v>
      </c>
      <c r="F310" s="7" t="s">
        <v>1445</v>
      </c>
      <c r="G310" s="7" t="s">
        <v>1446</v>
      </c>
      <c r="H310" s="7">
        <v>3</v>
      </c>
      <c r="I310" s="7" t="s">
        <v>154</v>
      </c>
      <c r="J310" s="7" t="s">
        <v>612</v>
      </c>
    </row>
    <row r="311" spans="1:10" x14ac:dyDescent="0.3">
      <c r="A311" s="6" t="s">
        <v>1447</v>
      </c>
      <c r="B311" s="7" t="s">
        <v>127</v>
      </c>
      <c r="C311" s="7" t="s">
        <v>589</v>
      </c>
      <c r="D311" s="7" t="s">
        <v>26</v>
      </c>
      <c r="E311" s="7" t="s">
        <v>1448</v>
      </c>
      <c r="F311" s="7" t="s">
        <v>1449</v>
      </c>
      <c r="G311" s="7" t="s">
        <v>1450</v>
      </c>
      <c r="H311" s="7">
        <v>9</v>
      </c>
      <c r="I311" s="7" t="s">
        <v>170</v>
      </c>
      <c r="J311" s="7" t="s">
        <v>1451</v>
      </c>
    </row>
    <row r="312" spans="1:10" x14ac:dyDescent="0.3">
      <c r="A312" s="6" t="s">
        <v>1452</v>
      </c>
      <c r="B312" s="7" t="s">
        <v>127</v>
      </c>
      <c r="C312" s="7" t="s">
        <v>589</v>
      </c>
      <c r="D312" s="7" t="s">
        <v>26</v>
      </c>
      <c r="E312" s="7" t="s">
        <v>1448</v>
      </c>
      <c r="F312" s="7" t="s">
        <v>1449</v>
      </c>
      <c r="G312" s="7" t="s">
        <v>1453</v>
      </c>
      <c r="H312" s="7">
        <v>27</v>
      </c>
      <c r="I312" s="7" t="s">
        <v>577</v>
      </c>
      <c r="J312" s="7" t="s">
        <v>294</v>
      </c>
    </row>
    <row r="313" spans="1:10" x14ac:dyDescent="0.3">
      <c r="A313" s="6" t="s">
        <v>1454</v>
      </c>
      <c r="B313" s="7" t="s">
        <v>127</v>
      </c>
      <c r="C313" s="7" t="s">
        <v>589</v>
      </c>
      <c r="D313" s="7" t="s">
        <v>26</v>
      </c>
      <c r="E313" s="7" t="s">
        <v>1455</v>
      </c>
      <c r="F313" s="7" t="s">
        <v>704</v>
      </c>
      <c r="G313" s="7" t="s">
        <v>1456</v>
      </c>
      <c r="H313" s="7">
        <v>2</v>
      </c>
      <c r="I313" s="7" t="s">
        <v>1457</v>
      </c>
      <c r="J313" s="7" t="s">
        <v>998</v>
      </c>
    </row>
    <row r="314" spans="1:10" x14ac:dyDescent="0.3">
      <c r="A314" s="6" t="s">
        <v>1458</v>
      </c>
      <c r="B314" s="7" t="s">
        <v>127</v>
      </c>
      <c r="C314" s="7" t="s">
        <v>589</v>
      </c>
      <c r="D314" s="7" t="s">
        <v>26</v>
      </c>
      <c r="E314" s="7" t="s">
        <v>1455</v>
      </c>
      <c r="F314" s="7" t="s">
        <v>704</v>
      </c>
      <c r="G314" s="7" t="s">
        <v>1459</v>
      </c>
      <c r="H314" s="7">
        <v>15</v>
      </c>
      <c r="I314" s="7" t="s">
        <v>290</v>
      </c>
      <c r="J314" s="7" t="s">
        <v>1333</v>
      </c>
    </row>
    <row r="315" spans="1:10" x14ac:dyDescent="0.3">
      <c r="A315" s="6" t="s">
        <v>1460</v>
      </c>
      <c r="B315" s="7" t="s">
        <v>127</v>
      </c>
      <c r="C315" s="7" t="s">
        <v>589</v>
      </c>
      <c r="D315" s="7" t="s">
        <v>26</v>
      </c>
      <c r="E315" s="7" t="s">
        <v>1461</v>
      </c>
      <c r="F315" s="7" t="s">
        <v>1462</v>
      </c>
      <c r="G315" s="7" t="s">
        <v>1463</v>
      </c>
      <c r="H315" s="7">
        <v>3</v>
      </c>
      <c r="I315" s="7" t="s">
        <v>1464</v>
      </c>
      <c r="J315" s="7" t="s">
        <v>593</v>
      </c>
    </row>
    <row r="316" spans="1:10" x14ac:dyDescent="0.3">
      <c r="A316" s="6" t="s">
        <v>1465</v>
      </c>
      <c r="B316" s="7" t="s">
        <v>127</v>
      </c>
      <c r="C316" s="7" t="s">
        <v>589</v>
      </c>
      <c r="D316" s="7" t="s">
        <v>27</v>
      </c>
      <c r="E316" s="7" t="s">
        <v>1466</v>
      </c>
      <c r="F316" s="7" t="s">
        <v>1467</v>
      </c>
      <c r="G316" s="7" t="s">
        <v>1468</v>
      </c>
      <c r="H316" s="7">
        <v>12</v>
      </c>
      <c r="I316" s="7" t="s">
        <v>604</v>
      </c>
      <c r="J316" s="7" t="s">
        <v>166</v>
      </c>
    </row>
    <row r="317" spans="1:10" x14ac:dyDescent="0.3">
      <c r="A317" s="6" t="s">
        <v>1469</v>
      </c>
      <c r="B317" s="7" t="s">
        <v>127</v>
      </c>
      <c r="C317" s="7" t="s">
        <v>589</v>
      </c>
      <c r="D317" s="7" t="s">
        <v>27</v>
      </c>
      <c r="E317" s="7" t="s">
        <v>1466</v>
      </c>
      <c r="F317" s="7" t="s">
        <v>1467</v>
      </c>
      <c r="G317" s="7" t="s">
        <v>1470</v>
      </c>
      <c r="H317" s="7">
        <v>5</v>
      </c>
      <c r="I317" s="7" t="s">
        <v>645</v>
      </c>
      <c r="J317" s="7" t="s">
        <v>1471</v>
      </c>
    </row>
    <row r="318" spans="1:10" x14ac:dyDescent="0.3">
      <c r="A318" s="6" t="s">
        <v>1472</v>
      </c>
      <c r="B318" s="7" t="s">
        <v>127</v>
      </c>
      <c r="C318" s="7" t="s">
        <v>589</v>
      </c>
      <c r="D318" s="7" t="s">
        <v>27</v>
      </c>
      <c r="E318" s="7" t="s">
        <v>1473</v>
      </c>
      <c r="F318" s="7" t="s">
        <v>1474</v>
      </c>
      <c r="G318" s="7" t="s">
        <v>1475</v>
      </c>
      <c r="H318" s="7">
        <v>17</v>
      </c>
      <c r="I318" s="7" t="s">
        <v>394</v>
      </c>
      <c r="J318" s="7" t="s">
        <v>1476</v>
      </c>
    </row>
    <row r="319" spans="1:10" x14ac:dyDescent="0.3">
      <c r="A319" s="6" t="s">
        <v>1477</v>
      </c>
      <c r="B319" s="7" t="s">
        <v>127</v>
      </c>
      <c r="C319" s="7" t="s">
        <v>589</v>
      </c>
      <c r="D319" s="7" t="s">
        <v>27</v>
      </c>
      <c r="E319" s="7" t="s">
        <v>1473</v>
      </c>
      <c r="F319" s="7" t="s">
        <v>1474</v>
      </c>
      <c r="G319" s="7" t="s">
        <v>1478</v>
      </c>
      <c r="H319" s="7">
        <v>8</v>
      </c>
      <c r="I319" s="7" t="s">
        <v>879</v>
      </c>
      <c r="J319" s="7" t="s">
        <v>1479</v>
      </c>
    </row>
    <row r="320" spans="1:10" x14ac:dyDescent="0.3">
      <c r="A320" s="6" t="s">
        <v>1480</v>
      </c>
      <c r="B320" s="7" t="s">
        <v>127</v>
      </c>
      <c r="C320" s="7" t="s">
        <v>589</v>
      </c>
      <c r="D320" s="7" t="s">
        <v>27</v>
      </c>
      <c r="E320" s="7" t="s">
        <v>1481</v>
      </c>
      <c r="F320" s="7" t="s">
        <v>1482</v>
      </c>
      <c r="G320" s="7" t="s">
        <v>1483</v>
      </c>
      <c r="H320" s="7">
        <v>18</v>
      </c>
      <c r="I320" s="7" t="s">
        <v>196</v>
      </c>
      <c r="J320" s="7" t="s">
        <v>505</v>
      </c>
    </row>
    <row r="321" spans="1:10" x14ac:dyDescent="0.3">
      <c r="A321" s="6" t="s">
        <v>1484</v>
      </c>
      <c r="B321" s="7" t="s">
        <v>127</v>
      </c>
      <c r="C321" s="7" t="s">
        <v>589</v>
      </c>
      <c r="D321" s="7" t="s">
        <v>27</v>
      </c>
      <c r="E321" s="7" t="s">
        <v>1485</v>
      </c>
      <c r="F321" s="7" t="s">
        <v>1486</v>
      </c>
      <c r="G321" s="7" t="s">
        <v>1487</v>
      </c>
      <c r="H321" s="7">
        <v>14</v>
      </c>
      <c r="I321" s="7" t="s">
        <v>625</v>
      </c>
      <c r="J321" s="7" t="s">
        <v>622</v>
      </c>
    </row>
    <row r="322" spans="1:10" x14ac:dyDescent="0.3">
      <c r="A322" s="6" t="s">
        <v>1488</v>
      </c>
      <c r="B322" s="7" t="s">
        <v>127</v>
      </c>
      <c r="C322" s="7" t="s">
        <v>589</v>
      </c>
      <c r="D322" s="7" t="s">
        <v>27</v>
      </c>
      <c r="E322" s="7" t="s">
        <v>1485</v>
      </c>
      <c r="F322" s="7" t="s">
        <v>1486</v>
      </c>
      <c r="G322" s="7" t="s">
        <v>1489</v>
      </c>
      <c r="H322" s="7">
        <v>9</v>
      </c>
      <c r="I322" s="7" t="s">
        <v>290</v>
      </c>
      <c r="J322" s="7" t="s">
        <v>1333</v>
      </c>
    </row>
    <row r="323" spans="1:10" x14ac:dyDescent="0.3">
      <c r="A323" s="6" t="s">
        <v>1490</v>
      </c>
      <c r="B323" s="7" t="s">
        <v>127</v>
      </c>
      <c r="C323" s="7" t="s">
        <v>589</v>
      </c>
      <c r="D323" s="7" t="s">
        <v>27</v>
      </c>
      <c r="E323" s="7" t="s">
        <v>1485</v>
      </c>
      <c r="F323" s="7" t="s">
        <v>1486</v>
      </c>
      <c r="G323" s="7" t="s">
        <v>1491</v>
      </c>
      <c r="H323" s="7">
        <v>6</v>
      </c>
      <c r="I323" s="7" t="s">
        <v>1492</v>
      </c>
      <c r="J323" s="7" t="s">
        <v>696</v>
      </c>
    </row>
    <row r="324" spans="1:10" x14ac:dyDescent="0.3">
      <c r="A324" s="6" t="s">
        <v>1493</v>
      </c>
      <c r="B324" s="7" t="s">
        <v>127</v>
      </c>
      <c r="C324" s="7" t="s">
        <v>589</v>
      </c>
      <c r="D324" s="7" t="s">
        <v>27</v>
      </c>
      <c r="E324" s="7" t="s">
        <v>1485</v>
      </c>
      <c r="F324" s="7" t="s">
        <v>1486</v>
      </c>
      <c r="G324" s="7" t="s">
        <v>1494</v>
      </c>
      <c r="H324" s="7">
        <v>8</v>
      </c>
      <c r="I324" s="7" t="s">
        <v>1495</v>
      </c>
      <c r="J324" s="7" t="s">
        <v>612</v>
      </c>
    </row>
    <row r="325" spans="1:10" x14ac:dyDescent="0.3">
      <c r="A325" s="6" t="s">
        <v>1496</v>
      </c>
      <c r="B325" s="7" t="s">
        <v>127</v>
      </c>
      <c r="C325" s="7" t="s">
        <v>589</v>
      </c>
      <c r="D325" s="7" t="s">
        <v>27</v>
      </c>
      <c r="E325" s="7" t="s">
        <v>1497</v>
      </c>
      <c r="F325" s="7" t="s">
        <v>638</v>
      </c>
      <c r="G325" s="7" t="s">
        <v>1498</v>
      </c>
      <c r="H325" s="7">
        <v>4</v>
      </c>
      <c r="I325" s="7" t="s">
        <v>934</v>
      </c>
      <c r="J325" s="7" t="s">
        <v>945</v>
      </c>
    </row>
    <row r="326" spans="1:10" x14ac:dyDescent="0.3">
      <c r="A326" s="6" t="s">
        <v>1499</v>
      </c>
      <c r="B326" s="7" t="s">
        <v>127</v>
      </c>
      <c r="C326" s="7" t="s">
        <v>589</v>
      </c>
      <c r="D326" s="7" t="s">
        <v>27</v>
      </c>
      <c r="E326" s="7" t="s">
        <v>1500</v>
      </c>
      <c r="F326" s="7" t="s">
        <v>1501</v>
      </c>
      <c r="G326" s="7" t="s">
        <v>1502</v>
      </c>
      <c r="H326" s="7">
        <v>2</v>
      </c>
      <c r="I326" s="7" t="s">
        <v>176</v>
      </c>
      <c r="J326" s="7" t="s">
        <v>856</v>
      </c>
    </row>
    <row r="327" spans="1:10" x14ac:dyDescent="0.3">
      <c r="A327" s="6" t="s">
        <v>1503</v>
      </c>
      <c r="B327" s="7" t="s">
        <v>127</v>
      </c>
      <c r="C327" s="7" t="s">
        <v>589</v>
      </c>
      <c r="D327" s="7" t="s">
        <v>27</v>
      </c>
      <c r="E327" s="7" t="s">
        <v>1504</v>
      </c>
      <c r="F327" s="7" t="s">
        <v>1505</v>
      </c>
      <c r="G327" s="7" t="s">
        <v>1506</v>
      </c>
      <c r="H327" s="7">
        <v>7</v>
      </c>
      <c r="I327" s="7" t="s">
        <v>487</v>
      </c>
      <c r="J327" s="7" t="s">
        <v>1507</v>
      </c>
    </row>
    <row r="328" spans="1:10" x14ac:dyDescent="0.3">
      <c r="A328" s="6" t="s">
        <v>1508</v>
      </c>
      <c r="B328" s="7" t="s">
        <v>127</v>
      </c>
      <c r="C328" s="7" t="s">
        <v>589</v>
      </c>
      <c r="D328" s="7" t="s">
        <v>27</v>
      </c>
      <c r="E328" s="7" t="s">
        <v>1509</v>
      </c>
      <c r="F328" s="7" t="s">
        <v>283</v>
      </c>
      <c r="G328" s="7" t="s">
        <v>1510</v>
      </c>
      <c r="H328" s="7">
        <v>15</v>
      </c>
      <c r="I328" s="7" t="s">
        <v>1511</v>
      </c>
      <c r="J328" s="7" t="s">
        <v>1512</v>
      </c>
    </row>
    <row r="329" spans="1:10" x14ac:dyDescent="0.3">
      <c r="A329" s="6" t="s">
        <v>1513</v>
      </c>
      <c r="B329" s="7" t="s">
        <v>127</v>
      </c>
      <c r="C329" s="7" t="s">
        <v>589</v>
      </c>
      <c r="D329" s="7" t="s">
        <v>27</v>
      </c>
      <c r="E329" s="7" t="s">
        <v>1514</v>
      </c>
      <c r="F329" s="7" t="s">
        <v>1515</v>
      </c>
      <c r="G329" s="7" t="s">
        <v>1516</v>
      </c>
      <c r="H329" s="7">
        <v>10</v>
      </c>
      <c r="I329" s="7" t="s">
        <v>1517</v>
      </c>
      <c r="J329" s="7" t="s">
        <v>1518</v>
      </c>
    </row>
    <row r="330" spans="1:10" x14ac:dyDescent="0.3">
      <c r="A330" s="6" t="s">
        <v>1519</v>
      </c>
      <c r="B330" s="7" t="s">
        <v>127</v>
      </c>
      <c r="C330" s="7" t="s">
        <v>589</v>
      </c>
      <c r="D330" s="7" t="s">
        <v>27</v>
      </c>
      <c r="E330" s="7" t="s">
        <v>1520</v>
      </c>
      <c r="F330" s="7" t="s">
        <v>1521</v>
      </c>
      <c r="G330" s="7" t="s">
        <v>1522</v>
      </c>
      <c r="H330" s="7">
        <v>16</v>
      </c>
      <c r="I330" s="7" t="s">
        <v>1523</v>
      </c>
      <c r="J330" s="7" t="s">
        <v>1524</v>
      </c>
    </row>
    <row r="331" spans="1:10" x14ac:dyDescent="0.3">
      <c r="A331" s="6" t="s">
        <v>1525</v>
      </c>
      <c r="B331" s="7" t="s">
        <v>127</v>
      </c>
      <c r="C331" s="7" t="s">
        <v>589</v>
      </c>
      <c r="D331" s="7" t="s">
        <v>27</v>
      </c>
      <c r="E331" s="7" t="s">
        <v>1526</v>
      </c>
      <c r="F331" s="7" t="s">
        <v>1527</v>
      </c>
      <c r="G331" s="7" t="s">
        <v>1528</v>
      </c>
      <c r="H331" s="7">
        <v>6</v>
      </c>
      <c r="I331" s="7" t="s">
        <v>1212</v>
      </c>
      <c r="J331" s="7" t="s">
        <v>189</v>
      </c>
    </row>
    <row r="332" spans="1:10" x14ac:dyDescent="0.3">
      <c r="A332" s="6" t="s">
        <v>1529</v>
      </c>
      <c r="B332" s="7" t="s">
        <v>127</v>
      </c>
      <c r="C332" s="7" t="s">
        <v>589</v>
      </c>
      <c r="D332" s="7" t="s">
        <v>27</v>
      </c>
      <c r="E332" s="7" t="s">
        <v>1530</v>
      </c>
      <c r="F332" s="7" t="s">
        <v>1531</v>
      </c>
      <c r="G332" s="7" t="s">
        <v>1532</v>
      </c>
      <c r="H332" s="7">
        <v>11</v>
      </c>
      <c r="I332" s="7" t="s">
        <v>1533</v>
      </c>
      <c r="J332" s="7" t="s">
        <v>1518</v>
      </c>
    </row>
    <row r="333" spans="1:10" x14ac:dyDescent="0.3">
      <c r="A333" s="6" t="s">
        <v>1534</v>
      </c>
      <c r="B333" s="7" t="s">
        <v>127</v>
      </c>
      <c r="C333" s="7" t="s">
        <v>589</v>
      </c>
      <c r="D333" s="7" t="s">
        <v>27</v>
      </c>
      <c r="E333" s="7" t="s">
        <v>1530</v>
      </c>
      <c r="F333" s="7" t="s">
        <v>1531</v>
      </c>
      <c r="G333" s="7" t="s">
        <v>1535</v>
      </c>
      <c r="H333" s="7">
        <v>7</v>
      </c>
      <c r="I333" s="7" t="s">
        <v>69</v>
      </c>
      <c r="J333" s="7" t="s">
        <v>404</v>
      </c>
    </row>
    <row r="334" spans="1:10" x14ac:dyDescent="0.3">
      <c r="A334" s="6" t="s">
        <v>1536</v>
      </c>
      <c r="B334" s="7" t="s">
        <v>127</v>
      </c>
      <c r="C334" s="7" t="s">
        <v>589</v>
      </c>
      <c r="D334" s="7" t="s">
        <v>27</v>
      </c>
      <c r="E334" s="7" t="s">
        <v>1537</v>
      </c>
      <c r="F334" s="7" t="s">
        <v>1538</v>
      </c>
      <c r="G334" s="7" t="s">
        <v>1539</v>
      </c>
      <c r="H334" s="7">
        <v>0</v>
      </c>
      <c r="I334" s="7" t="s">
        <v>1540</v>
      </c>
      <c r="J334" s="7" t="s">
        <v>192</v>
      </c>
    </row>
    <row r="335" spans="1:10" x14ac:dyDescent="0.3">
      <c r="A335" s="6" t="s">
        <v>1541</v>
      </c>
      <c r="B335" s="7" t="s">
        <v>127</v>
      </c>
      <c r="C335" s="7" t="s">
        <v>589</v>
      </c>
      <c r="D335" s="7" t="s">
        <v>27</v>
      </c>
      <c r="E335" s="7" t="s">
        <v>1537</v>
      </c>
      <c r="F335" s="7" t="s">
        <v>1538</v>
      </c>
      <c r="G335" s="7" t="s">
        <v>1542</v>
      </c>
      <c r="H335" s="7">
        <v>7</v>
      </c>
      <c r="I335" s="7" t="s">
        <v>279</v>
      </c>
      <c r="J335" s="7" t="s">
        <v>1543</v>
      </c>
    </row>
    <row r="336" spans="1:10" x14ac:dyDescent="0.3">
      <c r="A336" s="6" t="s">
        <v>1544</v>
      </c>
      <c r="B336" s="7" t="s">
        <v>127</v>
      </c>
      <c r="C336" s="7" t="s">
        <v>589</v>
      </c>
      <c r="D336" s="7" t="s">
        <v>27</v>
      </c>
      <c r="E336" s="7" t="s">
        <v>1545</v>
      </c>
      <c r="F336" s="7" t="s">
        <v>1546</v>
      </c>
      <c r="G336" s="7" t="s">
        <v>1547</v>
      </c>
      <c r="H336" s="7">
        <v>0</v>
      </c>
      <c r="I336" s="7" t="s">
        <v>604</v>
      </c>
      <c r="J336" s="7" t="s">
        <v>404</v>
      </c>
    </row>
    <row r="337" spans="1:10" x14ac:dyDescent="0.3">
      <c r="A337" s="6" t="s">
        <v>1548</v>
      </c>
      <c r="B337" s="7" t="s">
        <v>127</v>
      </c>
      <c r="C337" s="7" t="s">
        <v>589</v>
      </c>
      <c r="D337" s="7" t="s">
        <v>27</v>
      </c>
      <c r="E337" s="7" t="s">
        <v>1545</v>
      </c>
      <c r="F337" s="7" t="s">
        <v>1546</v>
      </c>
      <c r="G337" s="7" t="s">
        <v>1549</v>
      </c>
      <c r="H337" s="7">
        <v>10</v>
      </c>
      <c r="I337" s="7" t="s">
        <v>1550</v>
      </c>
      <c r="J337" s="7" t="s">
        <v>612</v>
      </c>
    </row>
    <row r="338" spans="1:10" x14ac:dyDescent="0.3">
      <c r="A338" s="6" t="s">
        <v>1551</v>
      </c>
      <c r="B338" s="7" t="s">
        <v>127</v>
      </c>
      <c r="C338" s="7" t="s">
        <v>589</v>
      </c>
      <c r="D338" s="7" t="s">
        <v>27</v>
      </c>
      <c r="E338" s="7" t="s">
        <v>1545</v>
      </c>
      <c r="F338" s="7" t="s">
        <v>1546</v>
      </c>
      <c r="G338" s="7" t="s">
        <v>1552</v>
      </c>
      <c r="H338" s="7">
        <v>6</v>
      </c>
      <c r="I338" s="7" t="s">
        <v>1553</v>
      </c>
      <c r="J338" s="7" t="s">
        <v>612</v>
      </c>
    </row>
    <row r="339" spans="1:10" x14ac:dyDescent="0.3">
      <c r="A339" s="6" t="s">
        <v>1554</v>
      </c>
      <c r="B339" s="7" t="s">
        <v>127</v>
      </c>
      <c r="C339" s="7" t="s">
        <v>589</v>
      </c>
      <c r="D339" s="7" t="s">
        <v>27</v>
      </c>
      <c r="E339" s="7" t="s">
        <v>1555</v>
      </c>
      <c r="F339" s="7" t="s">
        <v>1556</v>
      </c>
      <c r="G339" s="7" t="s">
        <v>1557</v>
      </c>
      <c r="H339" s="7">
        <v>10</v>
      </c>
      <c r="I339" s="7" t="s">
        <v>78</v>
      </c>
      <c r="J339" s="7" t="s">
        <v>1558</v>
      </c>
    </row>
    <row r="340" spans="1:10" x14ac:dyDescent="0.3">
      <c r="A340" s="6" t="s">
        <v>1559</v>
      </c>
      <c r="B340" s="7" t="s">
        <v>127</v>
      </c>
      <c r="C340" s="7" t="s">
        <v>589</v>
      </c>
      <c r="D340" s="7" t="s">
        <v>27</v>
      </c>
      <c r="E340" s="7" t="s">
        <v>1560</v>
      </c>
      <c r="F340" s="7" t="s">
        <v>1561</v>
      </c>
      <c r="G340" s="7" t="s">
        <v>1562</v>
      </c>
      <c r="H340" s="7">
        <v>15</v>
      </c>
      <c r="I340" s="7" t="s">
        <v>625</v>
      </c>
      <c r="J340" s="7" t="s">
        <v>696</v>
      </c>
    </row>
    <row r="341" spans="1:10" x14ac:dyDescent="0.3">
      <c r="A341" s="6" t="s">
        <v>1563</v>
      </c>
      <c r="B341" s="7" t="s">
        <v>127</v>
      </c>
      <c r="C341" s="7" t="s">
        <v>589</v>
      </c>
      <c r="D341" s="7" t="s">
        <v>27</v>
      </c>
      <c r="E341" s="7" t="s">
        <v>1564</v>
      </c>
      <c r="F341" s="7" t="s">
        <v>1565</v>
      </c>
      <c r="G341" s="7" t="s">
        <v>1566</v>
      </c>
      <c r="H341" s="7">
        <v>12</v>
      </c>
      <c r="I341" s="7" t="s">
        <v>208</v>
      </c>
      <c r="J341" s="7" t="s">
        <v>612</v>
      </c>
    </row>
    <row r="342" spans="1:10" x14ac:dyDescent="0.3">
      <c r="A342" s="6" t="s">
        <v>1567</v>
      </c>
      <c r="B342" s="7" t="s">
        <v>127</v>
      </c>
      <c r="C342" s="7" t="s">
        <v>589</v>
      </c>
      <c r="D342" s="7" t="s">
        <v>27</v>
      </c>
      <c r="E342" s="7" t="s">
        <v>1568</v>
      </c>
      <c r="F342" s="7" t="s">
        <v>1569</v>
      </c>
      <c r="G342" s="7" t="s">
        <v>1570</v>
      </c>
      <c r="H342" s="7">
        <v>7</v>
      </c>
      <c r="I342" s="7" t="s">
        <v>1571</v>
      </c>
      <c r="J342" s="7" t="s">
        <v>404</v>
      </c>
    </row>
    <row r="343" spans="1:10" x14ac:dyDescent="0.3">
      <c r="A343" s="6" t="s">
        <v>1572</v>
      </c>
      <c r="B343" s="7" t="s">
        <v>127</v>
      </c>
      <c r="C343" s="7" t="s">
        <v>589</v>
      </c>
      <c r="D343" s="7" t="s">
        <v>27</v>
      </c>
      <c r="E343" s="7" t="s">
        <v>1573</v>
      </c>
      <c r="F343" s="7" t="s">
        <v>1574</v>
      </c>
      <c r="G343" s="7" t="s">
        <v>1575</v>
      </c>
      <c r="H343" s="7">
        <v>8</v>
      </c>
      <c r="I343" s="7" t="s">
        <v>407</v>
      </c>
      <c r="J343" s="7" t="s">
        <v>666</v>
      </c>
    </row>
    <row r="344" spans="1:10" x14ac:dyDescent="0.3">
      <c r="A344" s="6" t="s">
        <v>1576</v>
      </c>
      <c r="B344" s="7" t="s">
        <v>127</v>
      </c>
      <c r="C344" s="7" t="s">
        <v>589</v>
      </c>
      <c r="D344" s="7" t="s">
        <v>27</v>
      </c>
      <c r="E344" s="7" t="s">
        <v>1577</v>
      </c>
      <c r="F344" s="7"/>
      <c r="G344" s="7" t="s">
        <v>1578</v>
      </c>
      <c r="H344" s="7">
        <v>3</v>
      </c>
      <c r="I344" s="7" t="s">
        <v>780</v>
      </c>
      <c r="J344" s="7" t="s">
        <v>304</v>
      </c>
    </row>
    <row r="345" spans="1:10" x14ac:dyDescent="0.3">
      <c r="A345" s="6" t="s">
        <v>1579</v>
      </c>
      <c r="B345" s="7" t="s">
        <v>127</v>
      </c>
      <c r="C345" s="7" t="s">
        <v>589</v>
      </c>
      <c r="D345" s="7" t="s">
        <v>27</v>
      </c>
      <c r="E345" s="7" t="s">
        <v>1580</v>
      </c>
      <c r="F345" s="7" t="s">
        <v>1581</v>
      </c>
      <c r="G345" s="7" t="s">
        <v>1582</v>
      </c>
      <c r="H345" s="7">
        <v>64</v>
      </c>
      <c r="I345" s="7" t="s">
        <v>541</v>
      </c>
      <c r="J345" s="7" t="s">
        <v>189</v>
      </c>
    </row>
    <row r="346" spans="1:10" x14ac:dyDescent="0.3">
      <c r="A346" s="6" t="s">
        <v>1583</v>
      </c>
      <c r="B346" s="7" t="s">
        <v>127</v>
      </c>
      <c r="C346" s="7" t="s">
        <v>589</v>
      </c>
      <c r="D346" s="7" t="s">
        <v>27</v>
      </c>
      <c r="E346" s="7" t="s">
        <v>1584</v>
      </c>
      <c r="F346" s="7" t="s">
        <v>1585</v>
      </c>
      <c r="G346" s="7" t="s">
        <v>1586</v>
      </c>
      <c r="H346" s="7">
        <v>170</v>
      </c>
      <c r="I346" s="7" t="s">
        <v>992</v>
      </c>
      <c r="J346" s="7" t="s">
        <v>1587</v>
      </c>
    </row>
    <row r="347" spans="1:10" x14ac:dyDescent="0.3">
      <c r="A347" s="6" t="s">
        <v>1588</v>
      </c>
      <c r="B347" s="7" t="s">
        <v>127</v>
      </c>
      <c r="C347" s="7" t="s">
        <v>589</v>
      </c>
      <c r="D347" s="7" t="s">
        <v>27</v>
      </c>
      <c r="E347" s="7" t="s">
        <v>1589</v>
      </c>
      <c r="F347" s="7" t="s">
        <v>1590</v>
      </c>
      <c r="G347" s="7" t="s">
        <v>1591</v>
      </c>
      <c r="H347" s="7">
        <v>12</v>
      </c>
      <c r="I347" s="7" t="s">
        <v>1592</v>
      </c>
      <c r="J347" s="7" t="s">
        <v>189</v>
      </c>
    </row>
    <row r="348" spans="1:10" x14ac:dyDescent="0.3">
      <c r="A348" s="6" t="s">
        <v>1593</v>
      </c>
      <c r="B348" s="7" t="s">
        <v>127</v>
      </c>
      <c r="C348" s="7" t="s">
        <v>589</v>
      </c>
      <c r="D348" s="7" t="s">
        <v>27</v>
      </c>
      <c r="E348" s="7" t="s">
        <v>1594</v>
      </c>
      <c r="F348" s="7" t="s">
        <v>1595</v>
      </c>
      <c r="G348" s="7" t="s">
        <v>1596</v>
      </c>
      <c r="H348" s="7">
        <v>8</v>
      </c>
      <c r="I348" s="7" t="s">
        <v>1212</v>
      </c>
      <c r="J348" s="7" t="s">
        <v>404</v>
      </c>
    </row>
    <row r="349" spans="1:10" x14ac:dyDescent="0.3">
      <c r="A349" s="6" t="s">
        <v>1597</v>
      </c>
      <c r="B349" s="7" t="s">
        <v>127</v>
      </c>
      <c r="C349" s="7" t="s">
        <v>589</v>
      </c>
      <c r="D349" s="7" t="s">
        <v>27</v>
      </c>
      <c r="E349" s="7" t="s">
        <v>1598</v>
      </c>
      <c r="F349" s="7" t="s">
        <v>1311</v>
      </c>
      <c r="G349" s="7" t="s">
        <v>1599</v>
      </c>
      <c r="H349" s="7">
        <v>12</v>
      </c>
      <c r="I349" s="7" t="s">
        <v>1313</v>
      </c>
      <c r="J349" s="7" t="s">
        <v>612</v>
      </c>
    </row>
    <row r="350" spans="1:10" x14ac:dyDescent="0.3">
      <c r="A350" s="6" t="s">
        <v>1600</v>
      </c>
      <c r="B350" s="7" t="s">
        <v>127</v>
      </c>
      <c r="C350" s="7" t="s">
        <v>589</v>
      </c>
      <c r="D350" s="7" t="s">
        <v>27</v>
      </c>
      <c r="E350" s="7" t="s">
        <v>1601</v>
      </c>
      <c r="F350" s="7" t="s">
        <v>1602</v>
      </c>
      <c r="G350" s="7" t="s">
        <v>1603</v>
      </c>
      <c r="H350" s="7">
        <v>20</v>
      </c>
      <c r="I350" s="7" t="s">
        <v>1604</v>
      </c>
      <c r="J350" s="7" t="s">
        <v>199</v>
      </c>
    </row>
    <row r="351" spans="1:10" x14ac:dyDescent="0.3">
      <c r="A351" s="6" t="s">
        <v>1605</v>
      </c>
      <c r="B351" s="7" t="s">
        <v>127</v>
      </c>
      <c r="C351" s="7" t="s">
        <v>589</v>
      </c>
      <c r="D351" s="7" t="s">
        <v>27</v>
      </c>
      <c r="E351" s="7" t="s">
        <v>1341</v>
      </c>
      <c r="F351" s="7" t="s">
        <v>516</v>
      </c>
      <c r="G351" s="7" t="s">
        <v>1606</v>
      </c>
      <c r="H351" s="7">
        <v>20</v>
      </c>
      <c r="I351" s="7" t="s">
        <v>407</v>
      </c>
      <c r="J351" s="7" t="s">
        <v>408</v>
      </c>
    </row>
    <row r="352" spans="1:10" x14ac:dyDescent="0.3">
      <c r="A352" s="6" t="s">
        <v>1607</v>
      </c>
      <c r="B352" s="7" t="s">
        <v>127</v>
      </c>
      <c r="C352" s="7" t="s">
        <v>589</v>
      </c>
      <c r="D352" s="7" t="s">
        <v>27</v>
      </c>
      <c r="E352" s="7" t="s">
        <v>1608</v>
      </c>
      <c r="F352" s="7" t="s">
        <v>1609</v>
      </c>
      <c r="G352" s="7" t="s">
        <v>1610</v>
      </c>
      <c r="H352" s="7">
        <v>2</v>
      </c>
      <c r="I352" s="7" t="s">
        <v>339</v>
      </c>
      <c r="J352" s="7" t="s">
        <v>1333</v>
      </c>
    </row>
    <row r="353" spans="1:10" x14ac:dyDescent="0.3">
      <c r="A353" s="6" t="s">
        <v>1611</v>
      </c>
      <c r="B353" s="7" t="s">
        <v>127</v>
      </c>
      <c r="C353" s="7" t="s">
        <v>589</v>
      </c>
      <c r="D353" s="7" t="s">
        <v>27</v>
      </c>
      <c r="E353" s="7" t="s">
        <v>1608</v>
      </c>
      <c r="F353" s="7" t="s">
        <v>1609</v>
      </c>
      <c r="G353" s="7" t="s">
        <v>1612</v>
      </c>
      <c r="H353" s="7">
        <v>1</v>
      </c>
      <c r="I353" s="7" t="s">
        <v>939</v>
      </c>
      <c r="J353" s="7" t="s">
        <v>1613</v>
      </c>
    </row>
    <row r="354" spans="1:10" x14ac:dyDescent="0.3">
      <c r="A354" s="6" t="s">
        <v>1614</v>
      </c>
      <c r="B354" s="7" t="s">
        <v>127</v>
      </c>
      <c r="C354" s="7" t="s">
        <v>589</v>
      </c>
      <c r="D354" s="7" t="s">
        <v>27</v>
      </c>
      <c r="E354" s="7" t="s">
        <v>1608</v>
      </c>
      <c r="F354" s="7" t="s">
        <v>1609</v>
      </c>
      <c r="G354" s="7" t="s">
        <v>1615</v>
      </c>
      <c r="H354" s="7">
        <v>8</v>
      </c>
      <c r="I354" s="7" t="s">
        <v>196</v>
      </c>
      <c r="J354" s="7" t="s">
        <v>197</v>
      </c>
    </row>
    <row r="355" spans="1:10" x14ac:dyDescent="0.3">
      <c r="A355" s="6" t="s">
        <v>1616</v>
      </c>
      <c r="B355" s="7" t="s">
        <v>127</v>
      </c>
      <c r="C355" s="7" t="s">
        <v>589</v>
      </c>
      <c r="D355" s="7" t="s">
        <v>27</v>
      </c>
      <c r="E355" s="7" t="s">
        <v>1617</v>
      </c>
      <c r="F355" s="7" t="s">
        <v>1618</v>
      </c>
      <c r="G355" s="7" t="s">
        <v>1619</v>
      </c>
      <c r="H355" s="7">
        <v>3</v>
      </c>
      <c r="I355" s="7" t="s">
        <v>1620</v>
      </c>
      <c r="J355" s="7" t="s">
        <v>1621</v>
      </c>
    </row>
    <row r="356" spans="1:10" x14ac:dyDescent="0.3">
      <c r="A356" s="6" t="s">
        <v>1622</v>
      </c>
      <c r="B356" s="7" t="s">
        <v>127</v>
      </c>
      <c r="C356" s="7" t="s">
        <v>589</v>
      </c>
      <c r="D356" s="7" t="s">
        <v>27</v>
      </c>
      <c r="E356" s="7" t="s">
        <v>1623</v>
      </c>
      <c r="F356" s="7" t="s">
        <v>1624</v>
      </c>
      <c r="G356" s="7" t="s">
        <v>1625</v>
      </c>
      <c r="H356" s="7">
        <v>9</v>
      </c>
      <c r="I356" s="7" t="s">
        <v>568</v>
      </c>
      <c r="J356" s="7" t="s">
        <v>189</v>
      </c>
    </row>
    <row r="357" spans="1:10" x14ac:dyDescent="0.3">
      <c r="A357" s="6" t="s">
        <v>1626</v>
      </c>
      <c r="B357" s="7" t="s">
        <v>127</v>
      </c>
      <c r="C357" s="7" t="s">
        <v>589</v>
      </c>
      <c r="D357" s="7" t="s">
        <v>27</v>
      </c>
      <c r="E357" s="7" t="s">
        <v>1627</v>
      </c>
      <c r="F357" s="7" t="s">
        <v>1628</v>
      </c>
      <c r="G357" s="7" t="s">
        <v>1629</v>
      </c>
      <c r="H357" s="7">
        <v>3</v>
      </c>
      <c r="I357" s="7" t="s">
        <v>1630</v>
      </c>
      <c r="J357" s="7" t="s">
        <v>781</v>
      </c>
    </row>
    <row r="358" spans="1:10" x14ac:dyDescent="0.3">
      <c r="A358" s="6" t="s">
        <v>1631</v>
      </c>
      <c r="B358" s="7" t="s">
        <v>127</v>
      </c>
      <c r="C358" s="7" t="s">
        <v>589</v>
      </c>
      <c r="D358" s="7" t="s">
        <v>27</v>
      </c>
      <c r="E358" s="7" t="s">
        <v>1627</v>
      </c>
      <c r="F358" s="7" t="s">
        <v>1628</v>
      </c>
      <c r="G358" s="7" t="s">
        <v>1632</v>
      </c>
      <c r="H358" s="7">
        <v>6</v>
      </c>
      <c r="I358" s="7" t="s">
        <v>64</v>
      </c>
      <c r="J358" s="7" t="s">
        <v>1633</v>
      </c>
    </row>
    <row r="359" spans="1:10" x14ac:dyDescent="0.3">
      <c r="A359" s="6" t="s">
        <v>1634</v>
      </c>
      <c r="B359" s="7" t="s">
        <v>127</v>
      </c>
      <c r="C359" s="7" t="s">
        <v>589</v>
      </c>
      <c r="D359" s="7" t="s">
        <v>27</v>
      </c>
      <c r="E359" s="7" t="s">
        <v>1635</v>
      </c>
      <c r="F359" s="7" t="s">
        <v>1636</v>
      </c>
      <c r="G359" s="7" t="s">
        <v>1637</v>
      </c>
      <c r="H359" s="7">
        <v>20</v>
      </c>
      <c r="I359" s="7" t="s">
        <v>1638</v>
      </c>
      <c r="J359" s="7" t="s">
        <v>294</v>
      </c>
    </row>
    <row r="360" spans="1:10" x14ac:dyDescent="0.3">
      <c r="A360" s="6" t="s">
        <v>1639</v>
      </c>
      <c r="B360" s="7" t="s">
        <v>127</v>
      </c>
      <c r="C360" s="7" t="s">
        <v>589</v>
      </c>
      <c r="D360" s="7" t="s">
        <v>27</v>
      </c>
      <c r="E360" s="7" t="s">
        <v>1640</v>
      </c>
      <c r="F360" s="7" t="s">
        <v>1188</v>
      </c>
      <c r="G360" s="7" t="s">
        <v>1641</v>
      </c>
      <c r="H360" s="7">
        <v>49</v>
      </c>
      <c r="I360" s="7" t="s">
        <v>1134</v>
      </c>
      <c r="J360" s="7" t="s">
        <v>189</v>
      </c>
    </row>
    <row r="361" spans="1:10" x14ac:dyDescent="0.3">
      <c r="A361" s="6" t="s">
        <v>1642</v>
      </c>
      <c r="B361" s="7" t="s">
        <v>127</v>
      </c>
      <c r="C361" s="7" t="s">
        <v>589</v>
      </c>
      <c r="D361" s="7" t="s">
        <v>27</v>
      </c>
      <c r="E361" s="7" t="s">
        <v>709</v>
      </c>
      <c r="F361" s="7" t="s">
        <v>710</v>
      </c>
      <c r="G361" s="7" t="s">
        <v>1643</v>
      </c>
      <c r="H361" s="7">
        <v>7</v>
      </c>
      <c r="I361" s="7" t="s">
        <v>1212</v>
      </c>
      <c r="J361" s="7" t="s">
        <v>149</v>
      </c>
    </row>
    <row r="362" spans="1:10" x14ac:dyDescent="0.3">
      <c r="A362" s="6" t="s">
        <v>1644</v>
      </c>
      <c r="B362" s="7" t="s">
        <v>127</v>
      </c>
      <c r="C362" s="7" t="s">
        <v>589</v>
      </c>
      <c r="D362" s="7" t="s">
        <v>30</v>
      </c>
      <c r="E362" s="7" t="s">
        <v>1341</v>
      </c>
      <c r="F362" s="7" t="s">
        <v>516</v>
      </c>
      <c r="G362" s="7" t="s">
        <v>1645</v>
      </c>
      <c r="H362" s="7">
        <v>4</v>
      </c>
      <c r="I362" s="7" t="s">
        <v>1280</v>
      </c>
      <c r="J362" s="7" t="s">
        <v>1646</v>
      </c>
    </row>
    <row r="363" spans="1:10" x14ac:dyDescent="0.3">
      <c r="A363" s="6" t="s">
        <v>1647</v>
      </c>
      <c r="B363" s="7" t="s">
        <v>127</v>
      </c>
      <c r="C363" s="7" t="s">
        <v>589</v>
      </c>
      <c r="D363" s="7" t="s">
        <v>30</v>
      </c>
      <c r="E363" s="7" t="s">
        <v>1648</v>
      </c>
      <c r="F363" s="7" t="s">
        <v>1035</v>
      </c>
      <c r="G363" s="7" t="s">
        <v>1649</v>
      </c>
      <c r="H363" s="7">
        <v>3</v>
      </c>
      <c r="I363" s="7" t="s">
        <v>1650</v>
      </c>
      <c r="J363" s="7" t="s">
        <v>1651</v>
      </c>
    </row>
    <row r="364" spans="1:10" x14ac:dyDescent="0.3">
      <c r="A364" s="6" t="s">
        <v>1652</v>
      </c>
      <c r="B364" s="7" t="s">
        <v>127</v>
      </c>
      <c r="C364" s="7" t="s">
        <v>589</v>
      </c>
      <c r="D364" s="7" t="s">
        <v>33</v>
      </c>
      <c r="E364" s="7" t="s">
        <v>109</v>
      </c>
      <c r="F364" s="7" t="s">
        <v>718</v>
      </c>
      <c r="G364" s="7" t="s">
        <v>108</v>
      </c>
      <c r="H364" s="7"/>
      <c r="I364" s="7" t="s">
        <v>111</v>
      </c>
      <c r="J364" s="7" t="s">
        <v>1218</v>
      </c>
    </row>
    <row r="365" spans="1:10" x14ac:dyDescent="0.3">
      <c r="A365" s="6" t="s">
        <v>1653</v>
      </c>
      <c r="B365" s="7" t="s">
        <v>127</v>
      </c>
      <c r="C365" s="7" t="s">
        <v>589</v>
      </c>
      <c r="D365" s="7" t="s">
        <v>34</v>
      </c>
      <c r="E365" s="7" t="s">
        <v>109</v>
      </c>
      <c r="F365" s="7" t="s">
        <v>718</v>
      </c>
      <c r="G365" s="7" t="s">
        <v>108</v>
      </c>
      <c r="H365" s="7"/>
      <c r="I365" s="7" t="s">
        <v>111</v>
      </c>
      <c r="J365" s="7" t="s">
        <v>1218</v>
      </c>
    </row>
  </sheetData>
  <hyperlinks>
    <hyperlink ref="A1" location="'Dashboard-R'!A1" display="⬅️ Dashboard Principal"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70"/>
  <sheetViews>
    <sheetView showGridLines="0" showRowColHeaders="0" topLeftCell="A66" workbookViewId="0">
      <selection activeCell="A98" sqref="A98"/>
    </sheetView>
  </sheetViews>
  <sheetFormatPr baseColWidth="10" defaultColWidth="8.88671875" defaultRowHeight="14.4" x14ac:dyDescent="0.3"/>
  <cols>
    <col min="1" max="1" width="13" customWidth="1"/>
    <col min="2" max="2" width="8" customWidth="1"/>
    <col min="3" max="3" width="14" customWidth="1"/>
    <col min="4" max="4" width="42" customWidth="1"/>
    <col min="5" max="6" width="43" customWidth="1"/>
    <col min="7" max="7" width="50" customWidth="1"/>
    <col min="8" max="8" width="17" customWidth="1"/>
    <col min="9" max="9" width="42" customWidth="1"/>
    <col min="10" max="10" width="50" customWidth="1"/>
    <col min="11" max="11" width="35" customWidth="1"/>
    <col min="12" max="12" width="50" customWidth="1"/>
    <col min="13" max="13" width="36" customWidth="1"/>
    <col min="14" max="14" width="26" customWidth="1"/>
    <col min="15" max="15" width="25" customWidth="1"/>
    <col min="16" max="16" width="37" customWidth="1"/>
    <col min="17" max="17" width="17" customWidth="1"/>
    <col min="18" max="18" width="24" customWidth="1"/>
    <col min="19" max="19" width="7" customWidth="1"/>
    <col min="20" max="20" width="8" customWidth="1"/>
    <col min="21" max="21" width="17" customWidth="1"/>
    <col min="22" max="22" width="14" customWidth="1"/>
    <col min="23" max="23" width="13" customWidth="1"/>
  </cols>
  <sheetData>
    <row r="1" spans="1:21" ht="30" customHeight="1" x14ac:dyDescent="0.3">
      <c r="A1" s="1" t="s">
        <v>0</v>
      </c>
      <c r="B1" s="2"/>
      <c r="C1" s="2"/>
      <c r="D1" s="2"/>
      <c r="E1" s="2"/>
      <c r="F1" s="2"/>
      <c r="G1" s="2"/>
      <c r="H1" s="2"/>
      <c r="I1" s="2"/>
      <c r="J1" s="2"/>
      <c r="K1" s="2"/>
      <c r="L1" s="2"/>
      <c r="M1" s="2"/>
      <c r="N1" s="2"/>
      <c r="O1" s="2"/>
      <c r="P1" s="2"/>
      <c r="Q1" s="2"/>
      <c r="R1" s="2"/>
      <c r="S1" s="2"/>
      <c r="T1" s="2"/>
      <c r="U1" s="3" t="s">
        <v>1</v>
      </c>
    </row>
    <row r="2" spans="1:21" ht="25.05" customHeight="1" x14ac:dyDescent="0.3">
      <c r="A2" s="4" t="s">
        <v>117</v>
      </c>
      <c r="B2" s="5" t="s">
        <v>118</v>
      </c>
      <c r="C2" s="5" t="s">
        <v>119</v>
      </c>
      <c r="D2" s="5" t="s">
        <v>120</v>
      </c>
      <c r="E2" s="5" t="s">
        <v>121</v>
      </c>
      <c r="F2" s="5" t="s">
        <v>122</v>
      </c>
      <c r="G2" s="5" t="s">
        <v>44</v>
      </c>
      <c r="H2" s="5" t="s">
        <v>1654</v>
      </c>
      <c r="I2" s="5" t="s">
        <v>1655</v>
      </c>
      <c r="J2" s="5" t="s">
        <v>1656</v>
      </c>
      <c r="K2" s="5" t="s">
        <v>1657</v>
      </c>
      <c r="L2" s="5" t="s">
        <v>1658</v>
      </c>
      <c r="M2" s="5" t="s">
        <v>1659</v>
      </c>
      <c r="N2" s="5" t="s">
        <v>1660</v>
      </c>
      <c r="O2" s="5" t="s">
        <v>1661</v>
      </c>
      <c r="P2" s="5" t="s">
        <v>1662</v>
      </c>
      <c r="Q2" s="5" t="s">
        <v>1663</v>
      </c>
      <c r="R2" s="5" t="s">
        <v>1664</v>
      </c>
      <c r="S2" s="5" t="s">
        <v>123</v>
      </c>
      <c r="T2" s="5" t="s">
        <v>124</v>
      </c>
      <c r="U2" s="5" t="s">
        <v>125</v>
      </c>
    </row>
    <row r="3" spans="1:21" x14ac:dyDescent="0.3">
      <c r="A3" s="6" t="s">
        <v>1665</v>
      </c>
      <c r="B3" s="7" t="s">
        <v>127</v>
      </c>
      <c r="C3" s="7" t="s">
        <v>589</v>
      </c>
      <c r="D3" s="7" t="s">
        <v>8</v>
      </c>
      <c r="E3" s="7" t="s">
        <v>515</v>
      </c>
      <c r="F3" s="7" t="s">
        <v>516</v>
      </c>
      <c r="G3" s="7" t="s">
        <v>1666</v>
      </c>
      <c r="H3" s="7" t="s">
        <v>1667</v>
      </c>
      <c r="I3" s="7" t="s">
        <v>1668</v>
      </c>
      <c r="J3" s="7" t="s">
        <v>1669</v>
      </c>
      <c r="K3" s="7" t="s">
        <v>1670</v>
      </c>
      <c r="L3" s="7">
        <v>68</v>
      </c>
      <c r="M3" s="7"/>
      <c r="N3" s="7"/>
      <c r="O3" s="7">
        <v>68</v>
      </c>
      <c r="P3" s="7"/>
      <c r="Q3" s="7">
        <v>3</v>
      </c>
      <c r="R3" s="7">
        <v>65</v>
      </c>
      <c r="S3" s="7"/>
      <c r="T3" s="7" t="s">
        <v>142</v>
      </c>
      <c r="U3" s="7" t="s">
        <v>1233</v>
      </c>
    </row>
    <row r="4" spans="1:21" x14ac:dyDescent="0.3">
      <c r="A4" s="6" t="s">
        <v>1671</v>
      </c>
      <c r="B4" s="7" t="s">
        <v>127</v>
      </c>
      <c r="C4" s="7" t="s">
        <v>128</v>
      </c>
      <c r="D4" s="7" t="s">
        <v>9</v>
      </c>
      <c r="E4" s="7" t="s">
        <v>1672</v>
      </c>
      <c r="F4" s="7"/>
      <c r="G4" s="7" t="s">
        <v>1673</v>
      </c>
      <c r="H4" s="7" t="s">
        <v>1674</v>
      </c>
      <c r="I4" s="7" t="s">
        <v>1675</v>
      </c>
      <c r="J4" s="7" t="s">
        <v>1676</v>
      </c>
      <c r="K4" s="7" t="s">
        <v>1677</v>
      </c>
      <c r="L4" s="7"/>
      <c r="M4" s="7" t="s">
        <v>588</v>
      </c>
      <c r="N4" s="7"/>
      <c r="O4" s="7">
        <v>3</v>
      </c>
      <c r="P4" s="7"/>
      <c r="Q4" s="7">
        <v>2</v>
      </c>
      <c r="R4" s="7">
        <v>2</v>
      </c>
      <c r="S4" s="7">
        <v>4</v>
      </c>
      <c r="T4" s="7" t="s">
        <v>1630</v>
      </c>
      <c r="U4" s="7" t="s">
        <v>138</v>
      </c>
    </row>
    <row r="5" spans="1:21" x14ac:dyDescent="0.3">
      <c r="A5" s="6" t="s">
        <v>1678</v>
      </c>
      <c r="B5" s="7" t="s">
        <v>127</v>
      </c>
      <c r="C5" s="7" t="s">
        <v>128</v>
      </c>
      <c r="D5" s="7" t="s">
        <v>9</v>
      </c>
      <c r="E5" s="7" t="s">
        <v>1679</v>
      </c>
      <c r="F5" s="7"/>
      <c r="G5" s="7" t="s">
        <v>1680</v>
      </c>
      <c r="H5" s="7" t="s">
        <v>1681</v>
      </c>
      <c r="I5" s="7" t="s">
        <v>1682</v>
      </c>
      <c r="J5" s="7" t="s">
        <v>1683</v>
      </c>
      <c r="K5" s="7" t="s">
        <v>1670</v>
      </c>
      <c r="L5" s="7"/>
      <c r="M5" s="7" t="s">
        <v>600</v>
      </c>
      <c r="N5" s="7"/>
      <c r="O5" s="7">
        <v>2</v>
      </c>
      <c r="P5" s="7"/>
      <c r="Q5" s="7">
        <v>1</v>
      </c>
      <c r="R5" s="7">
        <v>2</v>
      </c>
      <c r="S5" s="7">
        <v>3</v>
      </c>
      <c r="T5" s="7" t="s">
        <v>1684</v>
      </c>
      <c r="U5" s="7" t="s">
        <v>319</v>
      </c>
    </row>
    <row r="6" spans="1:21" x14ac:dyDescent="0.3">
      <c r="A6" s="6" t="s">
        <v>1685</v>
      </c>
      <c r="B6" s="7" t="s">
        <v>127</v>
      </c>
      <c r="C6" s="7" t="s">
        <v>128</v>
      </c>
      <c r="D6" s="7" t="s">
        <v>9</v>
      </c>
      <c r="E6" s="7" t="s">
        <v>1686</v>
      </c>
      <c r="F6" s="7"/>
      <c r="G6" s="7" t="s">
        <v>1687</v>
      </c>
      <c r="H6" s="7" t="s">
        <v>1688</v>
      </c>
      <c r="I6" s="7" t="s">
        <v>1689</v>
      </c>
      <c r="J6" s="7" t="s">
        <v>1690</v>
      </c>
      <c r="K6" s="7" t="s">
        <v>1691</v>
      </c>
      <c r="L6" s="7"/>
      <c r="M6" s="7" t="s">
        <v>600</v>
      </c>
      <c r="N6" s="7"/>
      <c r="O6" s="7">
        <v>2</v>
      </c>
      <c r="P6" s="7"/>
      <c r="Q6" s="7">
        <v>0</v>
      </c>
      <c r="R6" s="7">
        <v>2</v>
      </c>
      <c r="S6" s="7">
        <v>2</v>
      </c>
      <c r="T6" s="7" t="s">
        <v>1692</v>
      </c>
      <c r="U6" s="7" t="s">
        <v>1693</v>
      </c>
    </row>
    <row r="7" spans="1:21" x14ac:dyDescent="0.3">
      <c r="A7" s="6" t="s">
        <v>1694</v>
      </c>
      <c r="B7" s="7" t="s">
        <v>127</v>
      </c>
      <c r="C7" s="7" t="s">
        <v>128</v>
      </c>
      <c r="D7" s="7" t="s">
        <v>9</v>
      </c>
      <c r="E7" s="7" t="s">
        <v>1695</v>
      </c>
      <c r="F7" s="7" t="s">
        <v>1696</v>
      </c>
      <c r="G7" s="7" t="s">
        <v>1697</v>
      </c>
      <c r="H7" s="7" t="s">
        <v>1698</v>
      </c>
      <c r="I7" s="7" t="s">
        <v>1699</v>
      </c>
      <c r="J7" s="7" t="s">
        <v>1676</v>
      </c>
      <c r="K7" s="7" t="s">
        <v>1670</v>
      </c>
      <c r="L7" s="7"/>
      <c r="M7" s="7" t="s">
        <v>600</v>
      </c>
      <c r="N7" s="7"/>
      <c r="O7" s="7">
        <v>2</v>
      </c>
      <c r="P7" s="7"/>
      <c r="Q7" s="7">
        <v>0</v>
      </c>
      <c r="R7" s="7">
        <v>3</v>
      </c>
      <c r="S7" s="7">
        <v>3</v>
      </c>
      <c r="T7" s="7" t="s">
        <v>82</v>
      </c>
      <c r="U7" s="7" t="s">
        <v>189</v>
      </c>
    </row>
    <row r="8" spans="1:21" x14ac:dyDescent="0.3">
      <c r="A8" s="6" t="s">
        <v>1700</v>
      </c>
      <c r="B8" s="7" t="s">
        <v>127</v>
      </c>
      <c r="C8" s="7" t="s">
        <v>128</v>
      </c>
      <c r="D8" s="7" t="s">
        <v>9</v>
      </c>
      <c r="E8" s="7" t="s">
        <v>1701</v>
      </c>
      <c r="F8" s="7" t="s">
        <v>1702</v>
      </c>
      <c r="G8" s="7" t="s">
        <v>1703</v>
      </c>
      <c r="H8" s="7" t="s">
        <v>1704</v>
      </c>
      <c r="I8" s="7" t="s">
        <v>1705</v>
      </c>
      <c r="J8" s="7" t="s">
        <v>1706</v>
      </c>
      <c r="K8" s="7" t="s">
        <v>1691</v>
      </c>
      <c r="L8" s="7">
        <v>3</v>
      </c>
      <c r="M8" s="7"/>
      <c r="N8" s="7"/>
      <c r="O8" s="7">
        <v>3</v>
      </c>
      <c r="P8" s="7"/>
      <c r="Q8" s="7">
        <v>0</v>
      </c>
      <c r="R8" s="7">
        <v>3</v>
      </c>
      <c r="S8" s="7">
        <v>3</v>
      </c>
      <c r="T8" s="7" t="s">
        <v>1707</v>
      </c>
      <c r="U8" s="7" t="s">
        <v>505</v>
      </c>
    </row>
    <row r="9" spans="1:21" x14ac:dyDescent="0.3">
      <c r="A9" s="6" t="s">
        <v>1708</v>
      </c>
      <c r="B9" s="7" t="s">
        <v>127</v>
      </c>
      <c r="C9" s="7" t="s">
        <v>128</v>
      </c>
      <c r="D9" s="7" t="s">
        <v>9</v>
      </c>
      <c r="E9" s="7" t="s">
        <v>1709</v>
      </c>
      <c r="F9" s="7"/>
      <c r="G9" s="7" t="s">
        <v>1710</v>
      </c>
      <c r="H9" s="7" t="s">
        <v>1711</v>
      </c>
      <c r="I9" s="7" t="s">
        <v>1712</v>
      </c>
      <c r="J9" s="7" t="s">
        <v>1676</v>
      </c>
      <c r="K9" s="7" t="s">
        <v>1713</v>
      </c>
      <c r="L9" s="7"/>
      <c r="M9" s="7" t="s">
        <v>667</v>
      </c>
      <c r="N9" s="7"/>
      <c r="O9" s="7">
        <v>26</v>
      </c>
      <c r="P9" s="7"/>
      <c r="Q9" s="7">
        <v>2</v>
      </c>
      <c r="R9" s="7">
        <v>24</v>
      </c>
      <c r="S9" s="7">
        <v>26</v>
      </c>
      <c r="T9" s="7" t="s">
        <v>513</v>
      </c>
      <c r="U9" s="7" t="s">
        <v>1318</v>
      </c>
    </row>
    <row r="10" spans="1:21" x14ac:dyDescent="0.3">
      <c r="A10" s="6" t="s">
        <v>1714</v>
      </c>
      <c r="B10" s="7" t="s">
        <v>127</v>
      </c>
      <c r="C10" s="7" t="s">
        <v>128</v>
      </c>
      <c r="D10" s="7" t="s">
        <v>9</v>
      </c>
      <c r="E10" s="7" t="s">
        <v>1715</v>
      </c>
      <c r="F10" s="7"/>
      <c r="G10" s="7" t="s">
        <v>1716</v>
      </c>
      <c r="H10" s="7" t="s">
        <v>1717</v>
      </c>
      <c r="I10" s="7" t="s">
        <v>1718</v>
      </c>
      <c r="J10" s="7" t="s">
        <v>1676</v>
      </c>
      <c r="K10" s="7" t="s">
        <v>1670</v>
      </c>
      <c r="L10" s="7"/>
      <c r="M10" s="7" t="s">
        <v>600</v>
      </c>
      <c r="N10" s="7"/>
      <c r="O10" s="7">
        <v>2</v>
      </c>
      <c r="P10" s="7"/>
      <c r="Q10" s="7">
        <v>0</v>
      </c>
      <c r="R10" s="7">
        <v>2</v>
      </c>
      <c r="S10" s="7">
        <v>2</v>
      </c>
      <c r="T10" s="7" t="s">
        <v>487</v>
      </c>
      <c r="U10" s="7" t="s">
        <v>998</v>
      </c>
    </row>
    <row r="11" spans="1:21" x14ac:dyDescent="0.3">
      <c r="A11" s="6" t="s">
        <v>1719</v>
      </c>
      <c r="B11" s="7" t="s">
        <v>127</v>
      </c>
      <c r="C11" s="7" t="s">
        <v>128</v>
      </c>
      <c r="D11" s="7" t="s">
        <v>9</v>
      </c>
      <c r="E11" s="7" t="s">
        <v>1720</v>
      </c>
      <c r="F11" s="7" t="s">
        <v>1721</v>
      </c>
      <c r="G11" s="7" t="s">
        <v>1722</v>
      </c>
      <c r="H11" s="7" t="s">
        <v>1723</v>
      </c>
      <c r="I11" s="7" t="s">
        <v>1705</v>
      </c>
      <c r="J11" s="7" t="s">
        <v>1676</v>
      </c>
      <c r="K11" s="7" t="s">
        <v>1691</v>
      </c>
      <c r="L11" s="7">
        <v>11</v>
      </c>
      <c r="M11" s="7"/>
      <c r="N11" s="7"/>
      <c r="O11" s="7">
        <v>11</v>
      </c>
      <c r="P11" s="7"/>
      <c r="Q11" s="7">
        <v>1</v>
      </c>
      <c r="R11" s="7">
        <v>14</v>
      </c>
      <c r="S11" s="7">
        <v>15</v>
      </c>
      <c r="T11" s="7" t="s">
        <v>496</v>
      </c>
      <c r="U11" s="7" t="s">
        <v>189</v>
      </c>
    </row>
    <row r="12" spans="1:21" x14ac:dyDescent="0.3">
      <c r="A12" s="6" t="s">
        <v>1724</v>
      </c>
      <c r="B12" s="7" t="s">
        <v>127</v>
      </c>
      <c r="C12" s="7" t="s">
        <v>128</v>
      </c>
      <c r="D12" s="7" t="s">
        <v>9</v>
      </c>
      <c r="E12" s="7" t="s">
        <v>1725</v>
      </c>
      <c r="F12" s="7"/>
      <c r="G12" s="7" t="s">
        <v>1726</v>
      </c>
      <c r="H12" s="7" t="s">
        <v>1727</v>
      </c>
      <c r="I12" s="7" t="s">
        <v>1728</v>
      </c>
      <c r="J12" s="7" t="s">
        <v>1676</v>
      </c>
      <c r="K12" s="7" t="s">
        <v>1670</v>
      </c>
      <c r="L12" s="7"/>
      <c r="M12" s="7" t="s">
        <v>1729</v>
      </c>
      <c r="N12" s="7"/>
      <c r="O12" s="7">
        <v>0</v>
      </c>
      <c r="P12" s="7"/>
      <c r="Q12" s="7">
        <v>0</v>
      </c>
      <c r="R12" s="7">
        <v>4</v>
      </c>
      <c r="S12" s="7">
        <v>4</v>
      </c>
      <c r="T12" s="7" t="s">
        <v>403</v>
      </c>
      <c r="U12" s="7" t="s">
        <v>189</v>
      </c>
    </row>
    <row r="13" spans="1:21" x14ac:dyDescent="0.3">
      <c r="A13" s="6" t="s">
        <v>1730</v>
      </c>
      <c r="B13" s="7" t="s">
        <v>127</v>
      </c>
      <c r="C13" s="7" t="s">
        <v>128</v>
      </c>
      <c r="D13" s="7" t="s">
        <v>9</v>
      </c>
      <c r="E13" s="7" t="s">
        <v>1731</v>
      </c>
      <c r="F13" s="7" t="s">
        <v>1204</v>
      </c>
      <c r="G13" s="7" t="s">
        <v>1732</v>
      </c>
      <c r="H13" s="7" t="s">
        <v>1733</v>
      </c>
      <c r="I13" s="7" t="s">
        <v>1734</v>
      </c>
      <c r="J13" s="7" t="s">
        <v>1676</v>
      </c>
      <c r="K13" s="7" t="s">
        <v>1735</v>
      </c>
      <c r="L13" s="7">
        <v>3</v>
      </c>
      <c r="M13" s="7"/>
      <c r="N13" s="7"/>
      <c r="O13" s="7">
        <v>3</v>
      </c>
      <c r="P13" s="7"/>
      <c r="Q13" s="7">
        <v>3</v>
      </c>
      <c r="R13" s="7">
        <v>0</v>
      </c>
      <c r="S13" s="7">
        <v>3</v>
      </c>
      <c r="T13" s="7" t="s">
        <v>1736</v>
      </c>
      <c r="U13" s="7" t="s">
        <v>189</v>
      </c>
    </row>
    <row r="14" spans="1:21" x14ac:dyDescent="0.3">
      <c r="A14" s="6" t="s">
        <v>1737</v>
      </c>
      <c r="B14" s="7" t="s">
        <v>127</v>
      </c>
      <c r="C14" s="7" t="s">
        <v>128</v>
      </c>
      <c r="D14" s="7" t="s">
        <v>9</v>
      </c>
      <c r="E14" s="7" t="s">
        <v>1738</v>
      </c>
      <c r="F14" s="7" t="s">
        <v>1739</v>
      </c>
      <c r="G14" s="7" t="s">
        <v>1740</v>
      </c>
      <c r="H14" s="7" t="s">
        <v>1741</v>
      </c>
      <c r="I14" s="7" t="s">
        <v>1742</v>
      </c>
      <c r="J14" s="7" t="s">
        <v>1742</v>
      </c>
      <c r="K14" s="7" t="s">
        <v>1713</v>
      </c>
      <c r="L14" s="7"/>
      <c r="M14" s="7" t="s">
        <v>600</v>
      </c>
      <c r="N14" s="7"/>
      <c r="O14" s="7">
        <v>2</v>
      </c>
      <c r="P14" s="7"/>
      <c r="Q14" s="7">
        <v>0</v>
      </c>
      <c r="R14" s="7">
        <v>2</v>
      </c>
      <c r="S14" s="7">
        <v>2</v>
      </c>
      <c r="T14" s="7" t="s">
        <v>423</v>
      </c>
      <c r="U14" s="7" t="s">
        <v>736</v>
      </c>
    </row>
    <row r="15" spans="1:21" x14ac:dyDescent="0.3">
      <c r="A15" s="6" t="s">
        <v>1743</v>
      </c>
      <c r="B15" s="7" t="s">
        <v>127</v>
      </c>
      <c r="C15" s="7" t="s">
        <v>128</v>
      </c>
      <c r="D15" s="7" t="s">
        <v>9</v>
      </c>
      <c r="E15" s="7" t="s">
        <v>81</v>
      </c>
      <c r="F15" s="7" t="s">
        <v>377</v>
      </c>
      <c r="G15" s="7" t="s">
        <v>80</v>
      </c>
      <c r="H15" s="7" t="s">
        <v>1744</v>
      </c>
      <c r="I15" s="7" t="s">
        <v>1705</v>
      </c>
      <c r="J15" s="7" t="s">
        <v>1706</v>
      </c>
      <c r="K15" s="7" t="s">
        <v>1691</v>
      </c>
      <c r="L15" s="7">
        <v>55</v>
      </c>
      <c r="M15" s="7"/>
      <c r="N15" s="7"/>
      <c r="O15" s="7">
        <v>55</v>
      </c>
      <c r="P15" s="7"/>
      <c r="Q15" s="7">
        <v>7</v>
      </c>
      <c r="R15" s="7">
        <v>105</v>
      </c>
      <c r="S15" s="7">
        <v>112</v>
      </c>
      <c r="T15" s="7" t="s">
        <v>82</v>
      </c>
      <c r="U15" s="7" t="s">
        <v>1745</v>
      </c>
    </row>
    <row r="16" spans="1:21" x14ac:dyDescent="0.3">
      <c r="A16" s="6" t="s">
        <v>1746</v>
      </c>
      <c r="B16" s="7" t="s">
        <v>127</v>
      </c>
      <c r="C16" s="7" t="s">
        <v>128</v>
      </c>
      <c r="D16" s="7" t="s">
        <v>9</v>
      </c>
      <c r="E16" s="7" t="s">
        <v>81</v>
      </c>
      <c r="F16" s="7" t="s">
        <v>907</v>
      </c>
      <c r="G16" s="7" t="s">
        <v>80</v>
      </c>
      <c r="H16" s="7" t="s">
        <v>1744</v>
      </c>
      <c r="I16" s="7" t="s">
        <v>1705</v>
      </c>
      <c r="J16" s="7" t="s">
        <v>1706</v>
      </c>
      <c r="K16" s="7" t="s">
        <v>1691</v>
      </c>
      <c r="L16" s="7"/>
      <c r="M16" s="7" t="s">
        <v>600</v>
      </c>
      <c r="N16" s="7"/>
      <c r="O16" s="7">
        <v>2</v>
      </c>
      <c r="P16" s="7"/>
      <c r="Q16" s="7">
        <v>0</v>
      </c>
      <c r="R16" s="7">
        <v>7</v>
      </c>
      <c r="S16" s="7">
        <v>7</v>
      </c>
      <c r="T16" s="7" t="s">
        <v>82</v>
      </c>
      <c r="U16" s="7" t="s">
        <v>1745</v>
      </c>
    </row>
    <row r="17" spans="1:21" x14ac:dyDescent="0.3">
      <c r="A17" s="6" t="s">
        <v>1747</v>
      </c>
      <c r="B17" s="7" t="s">
        <v>127</v>
      </c>
      <c r="C17" s="7" t="s">
        <v>128</v>
      </c>
      <c r="D17" s="7" t="s">
        <v>9</v>
      </c>
      <c r="E17" s="7" t="s">
        <v>81</v>
      </c>
      <c r="F17" s="7" t="s">
        <v>1748</v>
      </c>
      <c r="G17" s="7" t="s">
        <v>80</v>
      </c>
      <c r="H17" s="7" t="s">
        <v>1744</v>
      </c>
      <c r="I17" s="7" t="s">
        <v>1705</v>
      </c>
      <c r="J17" s="7" t="s">
        <v>1706</v>
      </c>
      <c r="K17" s="7" t="s">
        <v>1691</v>
      </c>
      <c r="L17" s="7"/>
      <c r="M17" s="7" t="s">
        <v>1729</v>
      </c>
      <c r="N17" s="7"/>
      <c r="O17" s="7">
        <v>0</v>
      </c>
      <c r="P17" s="7"/>
      <c r="Q17" s="7">
        <v>0</v>
      </c>
      <c r="R17" s="7">
        <v>3</v>
      </c>
      <c r="S17" s="7">
        <v>3</v>
      </c>
      <c r="T17" s="7" t="s">
        <v>82</v>
      </c>
      <c r="U17" s="7" t="s">
        <v>1745</v>
      </c>
    </row>
    <row r="18" spans="1:21" x14ac:dyDescent="0.3">
      <c r="A18" s="6" t="s">
        <v>1749</v>
      </c>
      <c r="B18" s="7" t="s">
        <v>127</v>
      </c>
      <c r="C18" s="7" t="s">
        <v>128</v>
      </c>
      <c r="D18" s="7" t="s">
        <v>9</v>
      </c>
      <c r="E18" s="7" t="s">
        <v>1750</v>
      </c>
      <c r="F18" s="7"/>
      <c r="G18" s="7" t="s">
        <v>1751</v>
      </c>
      <c r="H18" s="7" t="s">
        <v>1752</v>
      </c>
      <c r="I18" s="7" t="s">
        <v>1742</v>
      </c>
      <c r="J18" s="7" t="s">
        <v>1753</v>
      </c>
      <c r="K18" s="7" t="s">
        <v>1713</v>
      </c>
      <c r="L18" s="7"/>
      <c r="M18" s="7" t="s">
        <v>610</v>
      </c>
      <c r="N18" s="7"/>
      <c r="O18" s="7">
        <v>4</v>
      </c>
      <c r="P18" s="7"/>
      <c r="Q18" s="7">
        <v>1</v>
      </c>
      <c r="R18" s="7">
        <v>12</v>
      </c>
      <c r="S18" s="7">
        <v>13</v>
      </c>
      <c r="T18" s="7" t="s">
        <v>513</v>
      </c>
      <c r="U18" s="7" t="s">
        <v>424</v>
      </c>
    </row>
    <row r="19" spans="1:21" x14ac:dyDescent="0.3">
      <c r="A19" s="6" t="s">
        <v>1754</v>
      </c>
      <c r="B19" s="7" t="s">
        <v>127</v>
      </c>
      <c r="C19" s="7" t="s">
        <v>128</v>
      </c>
      <c r="D19" s="7" t="s">
        <v>9</v>
      </c>
      <c r="E19" s="7" t="s">
        <v>1755</v>
      </c>
      <c r="F19" s="7"/>
      <c r="G19" s="7" t="s">
        <v>1756</v>
      </c>
      <c r="H19" s="7" t="s">
        <v>1757</v>
      </c>
      <c r="I19" s="7" t="s">
        <v>1705</v>
      </c>
      <c r="J19" s="7" t="s">
        <v>1706</v>
      </c>
      <c r="K19" s="7" t="s">
        <v>1691</v>
      </c>
      <c r="L19" s="7"/>
      <c r="M19" s="7" t="s">
        <v>588</v>
      </c>
      <c r="N19" s="7"/>
      <c r="O19" s="7">
        <v>3</v>
      </c>
      <c r="P19" s="7"/>
      <c r="Q19" s="7">
        <v>1</v>
      </c>
      <c r="R19" s="7">
        <v>4</v>
      </c>
      <c r="S19" s="7">
        <v>5</v>
      </c>
      <c r="T19" s="7" t="s">
        <v>1758</v>
      </c>
      <c r="U19" s="7" t="s">
        <v>542</v>
      </c>
    </row>
    <row r="20" spans="1:21" x14ac:dyDescent="0.3">
      <c r="A20" s="6" t="s">
        <v>1759</v>
      </c>
      <c r="B20" s="7" t="s">
        <v>127</v>
      </c>
      <c r="C20" s="7" t="s">
        <v>128</v>
      </c>
      <c r="D20" s="7" t="s">
        <v>9</v>
      </c>
      <c r="E20" s="7" t="s">
        <v>1760</v>
      </c>
      <c r="F20" s="7" t="s">
        <v>1761</v>
      </c>
      <c r="G20" s="7" t="s">
        <v>1762</v>
      </c>
      <c r="H20" s="7" t="s">
        <v>1763</v>
      </c>
      <c r="I20" s="7" t="s">
        <v>1764</v>
      </c>
      <c r="J20" s="7" t="s">
        <v>1676</v>
      </c>
      <c r="K20" s="7" t="s">
        <v>1670</v>
      </c>
      <c r="L20" s="7"/>
      <c r="M20" s="7" t="s">
        <v>594</v>
      </c>
      <c r="N20" s="7"/>
      <c r="O20" s="7">
        <v>1</v>
      </c>
      <c r="P20" s="7"/>
      <c r="Q20" s="7">
        <v>2</v>
      </c>
      <c r="R20" s="7">
        <v>4</v>
      </c>
      <c r="S20" s="7">
        <v>6</v>
      </c>
      <c r="T20" s="7" t="s">
        <v>111</v>
      </c>
      <c r="U20" s="7" t="s">
        <v>487</v>
      </c>
    </row>
    <row r="21" spans="1:21" x14ac:dyDescent="0.3">
      <c r="A21" s="6" t="s">
        <v>1765</v>
      </c>
      <c r="B21" s="7" t="s">
        <v>127</v>
      </c>
      <c r="C21" s="7" t="s">
        <v>128</v>
      </c>
      <c r="D21" s="7" t="s">
        <v>9</v>
      </c>
      <c r="E21" s="7" t="s">
        <v>1766</v>
      </c>
      <c r="F21" s="7"/>
      <c r="G21" s="7" t="s">
        <v>1767</v>
      </c>
      <c r="H21" s="7" t="s">
        <v>1768</v>
      </c>
      <c r="I21" s="7" t="s">
        <v>1734</v>
      </c>
      <c r="J21" s="7" t="s">
        <v>1676</v>
      </c>
      <c r="K21" s="7" t="s">
        <v>1670</v>
      </c>
      <c r="L21" s="7"/>
      <c r="M21" s="7" t="s">
        <v>606</v>
      </c>
      <c r="N21" s="7"/>
      <c r="O21" s="7">
        <v>5</v>
      </c>
      <c r="P21" s="7"/>
      <c r="Q21" s="7">
        <v>3</v>
      </c>
      <c r="R21" s="7">
        <v>2</v>
      </c>
      <c r="S21" s="7">
        <v>5</v>
      </c>
      <c r="T21" s="7" t="s">
        <v>1769</v>
      </c>
      <c r="U21" s="7" t="s">
        <v>563</v>
      </c>
    </row>
    <row r="22" spans="1:21" x14ac:dyDescent="0.3">
      <c r="A22" s="6" t="s">
        <v>1770</v>
      </c>
      <c r="B22" s="7" t="s">
        <v>127</v>
      </c>
      <c r="C22" s="7" t="s">
        <v>589</v>
      </c>
      <c r="D22" s="7" t="s">
        <v>10</v>
      </c>
      <c r="E22" s="7" t="s">
        <v>1771</v>
      </c>
      <c r="F22" s="7" t="s">
        <v>1772</v>
      </c>
      <c r="G22" s="7" t="s">
        <v>1773</v>
      </c>
      <c r="H22" s="7" t="s">
        <v>1774</v>
      </c>
      <c r="I22" s="7" t="s">
        <v>1775</v>
      </c>
      <c r="J22" s="7" t="s">
        <v>1776</v>
      </c>
      <c r="K22" s="7" t="s">
        <v>1691</v>
      </c>
      <c r="L22" s="7">
        <v>7</v>
      </c>
      <c r="M22" s="7"/>
      <c r="N22" s="7"/>
      <c r="O22" s="7">
        <v>7</v>
      </c>
      <c r="P22" s="7"/>
      <c r="Q22" s="7">
        <v>2</v>
      </c>
      <c r="R22" s="7">
        <v>11</v>
      </c>
      <c r="S22" s="7">
        <v>13</v>
      </c>
      <c r="T22" s="7" t="s">
        <v>403</v>
      </c>
      <c r="U22" s="7"/>
    </row>
    <row r="23" spans="1:21" x14ac:dyDescent="0.3">
      <c r="A23" s="6" t="s">
        <v>1777</v>
      </c>
      <c r="B23" s="7" t="s">
        <v>127</v>
      </c>
      <c r="C23" s="7" t="s">
        <v>589</v>
      </c>
      <c r="D23" s="7" t="s">
        <v>10</v>
      </c>
      <c r="E23" s="7" t="s">
        <v>1778</v>
      </c>
      <c r="F23" s="7" t="s">
        <v>1467</v>
      </c>
      <c r="G23" s="7" t="s">
        <v>1779</v>
      </c>
      <c r="H23" s="7" t="s">
        <v>1780</v>
      </c>
      <c r="I23" s="7" t="s">
        <v>1781</v>
      </c>
      <c r="J23" s="7" t="s">
        <v>1776</v>
      </c>
      <c r="K23" s="7" t="s">
        <v>1782</v>
      </c>
      <c r="L23" s="7"/>
      <c r="M23" s="7"/>
      <c r="N23" s="7" t="s">
        <v>1777</v>
      </c>
      <c r="O23" s="7">
        <v>9</v>
      </c>
      <c r="P23" s="7"/>
      <c r="Q23" s="7">
        <v>1</v>
      </c>
      <c r="R23" s="7">
        <v>8</v>
      </c>
      <c r="S23" s="7">
        <v>9</v>
      </c>
      <c r="T23" s="7" t="s">
        <v>82</v>
      </c>
      <c r="U23" s="7" t="s">
        <v>1783</v>
      </c>
    </row>
    <row r="24" spans="1:21" x14ac:dyDescent="0.3">
      <c r="A24" s="6" t="s">
        <v>1784</v>
      </c>
      <c r="B24" s="7" t="s">
        <v>127</v>
      </c>
      <c r="C24" s="7" t="s">
        <v>589</v>
      </c>
      <c r="D24" s="7" t="s">
        <v>10</v>
      </c>
      <c r="E24" s="7" t="s">
        <v>614</v>
      </c>
      <c r="F24" s="7" t="s">
        <v>615</v>
      </c>
      <c r="G24" s="7" t="s">
        <v>1785</v>
      </c>
      <c r="H24" s="7" t="s">
        <v>1786</v>
      </c>
      <c r="I24" s="7" t="s">
        <v>1781</v>
      </c>
      <c r="J24" s="7" t="s">
        <v>1776</v>
      </c>
      <c r="K24" s="7" t="s">
        <v>1782</v>
      </c>
      <c r="L24" s="7"/>
      <c r="M24" s="7"/>
      <c r="N24" s="7" t="s">
        <v>617</v>
      </c>
      <c r="O24" s="7">
        <v>11</v>
      </c>
      <c r="P24" s="7"/>
      <c r="Q24" s="7">
        <v>1</v>
      </c>
      <c r="R24" s="7">
        <v>10</v>
      </c>
      <c r="S24" s="7">
        <v>11</v>
      </c>
      <c r="T24" s="7" t="s">
        <v>513</v>
      </c>
      <c r="U24" s="7" t="s">
        <v>1783</v>
      </c>
    </row>
    <row r="25" spans="1:21" x14ac:dyDescent="0.3">
      <c r="A25" s="6" t="s">
        <v>1787</v>
      </c>
      <c r="B25" s="7" t="s">
        <v>127</v>
      </c>
      <c r="C25" s="7" t="s">
        <v>589</v>
      </c>
      <c r="D25" s="7" t="s">
        <v>10</v>
      </c>
      <c r="E25" s="7" t="s">
        <v>1788</v>
      </c>
      <c r="F25" s="7" t="s">
        <v>1789</v>
      </c>
      <c r="G25" s="7" t="s">
        <v>1790</v>
      </c>
      <c r="H25" s="7" t="s">
        <v>1791</v>
      </c>
      <c r="I25" s="7" t="s">
        <v>1735</v>
      </c>
      <c r="J25" s="7" t="s">
        <v>2</v>
      </c>
      <c r="K25" s="7" t="s">
        <v>1792</v>
      </c>
      <c r="L25" s="7">
        <v>1</v>
      </c>
      <c r="M25" s="7"/>
      <c r="N25" s="7"/>
      <c r="O25" s="7">
        <v>1</v>
      </c>
      <c r="P25" s="7"/>
      <c r="Q25" s="7">
        <v>0</v>
      </c>
      <c r="R25" s="7">
        <v>1</v>
      </c>
      <c r="S25" s="7">
        <v>1</v>
      </c>
      <c r="T25" s="7" t="s">
        <v>111</v>
      </c>
      <c r="U25" s="7" t="s">
        <v>189</v>
      </c>
    </row>
    <row r="26" spans="1:21" x14ac:dyDescent="0.3">
      <c r="A26" s="6" t="s">
        <v>1793</v>
      </c>
      <c r="B26" s="7" t="s">
        <v>127</v>
      </c>
      <c r="C26" s="7" t="s">
        <v>589</v>
      </c>
      <c r="D26" s="7" t="s">
        <v>10</v>
      </c>
      <c r="E26" s="7" t="s">
        <v>627</v>
      </c>
      <c r="F26" s="7" t="s">
        <v>628</v>
      </c>
      <c r="G26" s="7" t="s">
        <v>1794</v>
      </c>
      <c r="H26" s="7" t="s">
        <v>1795</v>
      </c>
      <c r="I26" s="7" t="s">
        <v>1796</v>
      </c>
      <c r="J26" s="7" t="s">
        <v>2</v>
      </c>
      <c r="K26" s="7" t="s">
        <v>1670</v>
      </c>
      <c r="L26" s="7"/>
      <c r="M26" s="7" t="s">
        <v>1777</v>
      </c>
      <c r="N26" s="7"/>
      <c r="O26" s="7">
        <v>9</v>
      </c>
      <c r="P26" s="7"/>
      <c r="Q26" s="7">
        <v>0</v>
      </c>
      <c r="R26" s="7">
        <v>9</v>
      </c>
      <c r="S26" s="7">
        <v>9</v>
      </c>
      <c r="T26" s="7" t="s">
        <v>1062</v>
      </c>
      <c r="U26" s="7" t="s">
        <v>404</v>
      </c>
    </row>
    <row r="27" spans="1:21" x14ac:dyDescent="0.3">
      <c r="A27" s="6" t="s">
        <v>1797</v>
      </c>
      <c r="B27" s="7" t="s">
        <v>127</v>
      </c>
      <c r="C27" s="7" t="s">
        <v>589</v>
      </c>
      <c r="D27" s="7" t="s">
        <v>10</v>
      </c>
      <c r="E27" s="7" t="s">
        <v>651</v>
      </c>
      <c r="F27" s="7" t="s">
        <v>652</v>
      </c>
      <c r="G27" s="7" t="s">
        <v>1798</v>
      </c>
      <c r="H27" s="7" t="s">
        <v>1799</v>
      </c>
      <c r="I27" s="7" t="s">
        <v>1796</v>
      </c>
      <c r="J27" s="7" t="s">
        <v>1800</v>
      </c>
      <c r="K27" s="7" t="s">
        <v>1670</v>
      </c>
      <c r="L27" s="7"/>
      <c r="M27" s="7" t="s">
        <v>610</v>
      </c>
      <c r="N27" s="7"/>
      <c r="O27" s="7">
        <v>4</v>
      </c>
      <c r="P27" s="7"/>
      <c r="Q27" s="7">
        <v>1</v>
      </c>
      <c r="R27" s="7">
        <v>3</v>
      </c>
      <c r="S27" s="7">
        <v>4</v>
      </c>
      <c r="T27" s="7" t="s">
        <v>318</v>
      </c>
      <c r="U27" s="7" t="s">
        <v>1801</v>
      </c>
    </row>
    <row r="28" spans="1:21" x14ac:dyDescent="0.3">
      <c r="A28" s="6" t="s">
        <v>1802</v>
      </c>
      <c r="B28" s="7" t="s">
        <v>127</v>
      </c>
      <c r="C28" s="7" t="s">
        <v>589</v>
      </c>
      <c r="D28" s="7" t="s">
        <v>10</v>
      </c>
      <c r="E28" s="7" t="s">
        <v>1803</v>
      </c>
      <c r="F28" s="7" t="s">
        <v>322</v>
      </c>
      <c r="G28" s="7" t="s">
        <v>1804</v>
      </c>
      <c r="H28" s="7" t="s">
        <v>1805</v>
      </c>
      <c r="I28" s="7" t="s">
        <v>1806</v>
      </c>
      <c r="J28" s="7" t="s">
        <v>2</v>
      </c>
      <c r="K28" s="7" t="s">
        <v>1807</v>
      </c>
      <c r="L28" s="7">
        <v>1</v>
      </c>
      <c r="M28" s="7"/>
      <c r="N28" s="7"/>
      <c r="O28" s="7">
        <v>1</v>
      </c>
      <c r="P28" s="7"/>
      <c r="Q28" s="7">
        <v>0</v>
      </c>
      <c r="R28" s="7">
        <v>1</v>
      </c>
      <c r="S28" s="7">
        <v>1</v>
      </c>
      <c r="T28" s="7" t="s">
        <v>1808</v>
      </c>
      <c r="U28" s="7" t="s">
        <v>199</v>
      </c>
    </row>
    <row r="29" spans="1:21" x14ac:dyDescent="0.3">
      <c r="A29" s="6" t="s">
        <v>1809</v>
      </c>
      <c r="B29" s="7" t="s">
        <v>127</v>
      </c>
      <c r="C29" s="7" t="s">
        <v>589</v>
      </c>
      <c r="D29" s="7" t="s">
        <v>10</v>
      </c>
      <c r="E29" s="7" t="s">
        <v>1810</v>
      </c>
      <c r="F29" s="7" t="s">
        <v>1811</v>
      </c>
      <c r="G29" s="7" t="s">
        <v>1812</v>
      </c>
      <c r="H29" s="7" t="s">
        <v>1813</v>
      </c>
      <c r="I29" s="7" t="s">
        <v>1781</v>
      </c>
      <c r="J29" s="7" t="s">
        <v>1814</v>
      </c>
      <c r="K29" s="7" t="s">
        <v>1782</v>
      </c>
      <c r="L29" s="7"/>
      <c r="M29" s="7"/>
      <c r="N29" s="7" t="s">
        <v>610</v>
      </c>
      <c r="O29" s="7">
        <v>4</v>
      </c>
      <c r="P29" s="7"/>
      <c r="Q29" s="7">
        <v>0</v>
      </c>
      <c r="R29" s="7">
        <v>4</v>
      </c>
      <c r="S29" s="7">
        <v>4</v>
      </c>
      <c r="T29" s="7" t="s">
        <v>1815</v>
      </c>
      <c r="U29" s="7" t="s">
        <v>955</v>
      </c>
    </row>
    <row r="30" spans="1:21" x14ac:dyDescent="0.3">
      <c r="A30" s="6" t="s">
        <v>1816</v>
      </c>
      <c r="B30" s="7" t="s">
        <v>127</v>
      </c>
      <c r="C30" s="7" t="s">
        <v>589</v>
      </c>
      <c r="D30" s="7" t="s">
        <v>10</v>
      </c>
      <c r="E30" s="7" t="s">
        <v>1817</v>
      </c>
      <c r="F30" s="7" t="s">
        <v>1818</v>
      </c>
      <c r="G30" s="7" t="s">
        <v>1819</v>
      </c>
      <c r="H30" s="7" t="s">
        <v>1820</v>
      </c>
      <c r="I30" s="7" t="s">
        <v>1775</v>
      </c>
      <c r="J30" s="7" t="s">
        <v>1821</v>
      </c>
      <c r="K30" s="7" t="s">
        <v>1670</v>
      </c>
      <c r="L30" s="7">
        <v>7</v>
      </c>
      <c r="M30" s="7"/>
      <c r="N30" s="7"/>
      <c r="O30" s="7">
        <v>7</v>
      </c>
      <c r="P30" s="7"/>
      <c r="Q30" s="7">
        <v>0</v>
      </c>
      <c r="R30" s="7">
        <v>7</v>
      </c>
      <c r="S30" s="7">
        <v>7</v>
      </c>
      <c r="T30" s="7" t="s">
        <v>1822</v>
      </c>
      <c r="U30" s="7" t="s">
        <v>1201</v>
      </c>
    </row>
    <row r="31" spans="1:21" x14ac:dyDescent="0.3">
      <c r="A31" s="6" t="s">
        <v>721</v>
      </c>
      <c r="B31" s="7" t="s">
        <v>127</v>
      </c>
      <c r="C31" s="7" t="s">
        <v>589</v>
      </c>
      <c r="D31" s="7" t="s">
        <v>11</v>
      </c>
      <c r="E31" s="7" t="s">
        <v>722</v>
      </c>
      <c r="F31" s="7" t="s">
        <v>723</v>
      </c>
      <c r="G31" s="7" t="s">
        <v>724</v>
      </c>
      <c r="H31" s="7" t="s">
        <v>1823</v>
      </c>
      <c r="I31" s="7" t="s">
        <v>1824</v>
      </c>
      <c r="J31" s="7" t="s">
        <v>1825</v>
      </c>
      <c r="K31" s="7" t="s">
        <v>1670</v>
      </c>
      <c r="L31" s="7">
        <v>3</v>
      </c>
      <c r="M31" s="7"/>
      <c r="N31" s="7"/>
      <c r="O31" s="7">
        <v>3</v>
      </c>
      <c r="P31" s="7"/>
      <c r="Q31" s="7"/>
      <c r="R31" s="7">
        <v>3</v>
      </c>
      <c r="S31" s="7"/>
      <c r="T31" s="7" t="s">
        <v>87</v>
      </c>
      <c r="U31" s="7" t="s">
        <v>725</v>
      </c>
    </row>
    <row r="32" spans="1:21" x14ac:dyDescent="0.3">
      <c r="A32" s="6" t="s">
        <v>1826</v>
      </c>
      <c r="B32" s="7" t="s">
        <v>127</v>
      </c>
      <c r="C32" s="7" t="s">
        <v>727</v>
      </c>
      <c r="D32" s="7" t="s">
        <v>12</v>
      </c>
      <c r="E32" s="7" t="s">
        <v>748</v>
      </c>
      <c r="F32" s="7" t="s">
        <v>174</v>
      </c>
      <c r="G32" s="7" t="s">
        <v>1827</v>
      </c>
      <c r="H32" s="7" t="s">
        <v>1828</v>
      </c>
      <c r="I32" s="7" t="s">
        <v>1829</v>
      </c>
      <c r="J32" s="7" t="s">
        <v>1830</v>
      </c>
      <c r="K32" s="7" t="s">
        <v>1670</v>
      </c>
      <c r="L32" s="7">
        <v>17</v>
      </c>
      <c r="M32" s="7"/>
      <c r="N32" s="7"/>
      <c r="O32" s="7">
        <v>17</v>
      </c>
      <c r="P32" s="7"/>
      <c r="Q32" s="7">
        <v>17</v>
      </c>
      <c r="R32" s="7">
        <v>0</v>
      </c>
      <c r="S32" s="7">
        <v>17</v>
      </c>
      <c r="T32" s="7" t="s">
        <v>1350</v>
      </c>
      <c r="U32" s="7" t="s">
        <v>1831</v>
      </c>
    </row>
    <row r="33" spans="1:21" x14ac:dyDescent="0.3">
      <c r="A33" s="6" t="s">
        <v>1832</v>
      </c>
      <c r="B33" s="7" t="s">
        <v>127</v>
      </c>
      <c r="C33" s="7" t="s">
        <v>727</v>
      </c>
      <c r="D33" s="7" t="s">
        <v>12</v>
      </c>
      <c r="E33" s="7" t="s">
        <v>1833</v>
      </c>
      <c r="F33" s="7" t="s">
        <v>1834</v>
      </c>
      <c r="G33" s="7" t="s">
        <v>1835</v>
      </c>
      <c r="H33" s="7" t="s">
        <v>1836</v>
      </c>
      <c r="I33" s="7" t="s">
        <v>1837</v>
      </c>
      <c r="J33" s="7" t="s">
        <v>1838</v>
      </c>
      <c r="K33" s="7" t="s">
        <v>1677</v>
      </c>
      <c r="L33" s="7">
        <v>5</v>
      </c>
      <c r="M33" s="7"/>
      <c r="N33" s="7"/>
      <c r="O33" s="7">
        <v>5</v>
      </c>
      <c r="P33" s="7"/>
      <c r="Q33" s="7">
        <v>1</v>
      </c>
      <c r="R33" s="7">
        <v>4</v>
      </c>
      <c r="S33" s="7">
        <v>5</v>
      </c>
      <c r="T33" s="7" t="s">
        <v>682</v>
      </c>
      <c r="U33" s="7" t="s">
        <v>1839</v>
      </c>
    </row>
    <row r="34" spans="1:21" x14ac:dyDescent="0.3">
      <c r="A34" s="6" t="s">
        <v>1840</v>
      </c>
      <c r="B34" s="7" t="s">
        <v>127</v>
      </c>
      <c r="C34" s="7" t="s">
        <v>727</v>
      </c>
      <c r="D34" s="7" t="s">
        <v>12</v>
      </c>
      <c r="E34" s="7" t="s">
        <v>1841</v>
      </c>
      <c r="F34" s="7" t="s">
        <v>322</v>
      </c>
      <c r="G34" s="7" t="s">
        <v>1842</v>
      </c>
      <c r="H34" s="7" t="s">
        <v>1843</v>
      </c>
      <c r="I34" s="7" t="s">
        <v>1844</v>
      </c>
      <c r="J34" s="7" t="s">
        <v>1845</v>
      </c>
      <c r="K34" s="7" t="s">
        <v>1807</v>
      </c>
      <c r="L34" s="7"/>
      <c r="M34" s="7" t="s">
        <v>600</v>
      </c>
      <c r="N34" s="7"/>
      <c r="O34" s="7">
        <v>2</v>
      </c>
      <c r="P34" s="7"/>
      <c r="Q34" s="7"/>
      <c r="R34" s="7">
        <v>2</v>
      </c>
      <c r="S34" s="7">
        <v>2</v>
      </c>
      <c r="T34" s="7" t="s">
        <v>154</v>
      </c>
      <c r="U34" s="7" t="s">
        <v>404</v>
      </c>
    </row>
    <row r="35" spans="1:21" x14ac:dyDescent="0.3">
      <c r="A35" s="6" t="s">
        <v>1846</v>
      </c>
      <c r="B35" s="7" t="s">
        <v>127</v>
      </c>
      <c r="C35" s="7" t="s">
        <v>727</v>
      </c>
      <c r="D35" s="7" t="s">
        <v>12</v>
      </c>
      <c r="E35" s="7" t="s">
        <v>1847</v>
      </c>
      <c r="F35" s="7" t="s">
        <v>1848</v>
      </c>
      <c r="G35" s="7" t="s">
        <v>1849</v>
      </c>
      <c r="H35" s="7" t="s">
        <v>1850</v>
      </c>
      <c r="I35" s="7" t="s">
        <v>1851</v>
      </c>
      <c r="J35" s="7" t="s">
        <v>1852</v>
      </c>
      <c r="K35" s="7" t="s">
        <v>1670</v>
      </c>
      <c r="L35" s="7">
        <v>21</v>
      </c>
      <c r="M35" s="7"/>
      <c r="N35" s="7"/>
      <c r="O35" s="7">
        <v>21</v>
      </c>
      <c r="P35" s="7"/>
      <c r="Q35" s="7">
        <v>1</v>
      </c>
      <c r="R35" s="7">
        <v>20</v>
      </c>
      <c r="S35" s="7">
        <v>21</v>
      </c>
      <c r="T35" s="7" t="s">
        <v>165</v>
      </c>
      <c r="U35" s="7" t="s">
        <v>143</v>
      </c>
    </row>
    <row r="36" spans="1:21" x14ac:dyDescent="0.3">
      <c r="A36" s="6" t="s">
        <v>1853</v>
      </c>
      <c r="B36" s="7" t="s">
        <v>127</v>
      </c>
      <c r="C36" s="7" t="s">
        <v>727</v>
      </c>
      <c r="D36" s="7" t="s">
        <v>12</v>
      </c>
      <c r="E36" s="7" t="s">
        <v>942</v>
      </c>
      <c r="F36" s="7" t="s">
        <v>943</v>
      </c>
      <c r="G36" s="7" t="s">
        <v>1854</v>
      </c>
      <c r="H36" s="7" t="s">
        <v>1855</v>
      </c>
      <c r="I36" s="7" t="s">
        <v>1856</v>
      </c>
      <c r="J36" s="7" t="s">
        <v>1857</v>
      </c>
      <c r="K36" s="7" t="s">
        <v>1670</v>
      </c>
      <c r="L36" s="7">
        <v>11</v>
      </c>
      <c r="M36" s="7"/>
      <c r="N36" s="7"/>
      <c r="O36" s="7">
        <v>11</v>
      </c>
      <c r="P36" s="7"/>
      <c r="Q36" s="7">
        <v>1</v>
      </c>
      <c r="R36" s="7">
        <v>10</v>
      </c>
      <c r="S36" s="7">
        <v>11</v>
      </c>
      <c r="T36" s="7" t="s">
        <v>874</v>
      </c>
      <c r="U36" s="7" t="s">
        <v>640</v>
      </c>
    </row>
    <row r="37" spans="1:21" x14ac:dyDescent="0.3">
      <c r="A37" s="6" t="s">
        <v>1858</v>
      </c>
      <c r="B37" s="7" t="s">
        <v>127</v>
      </c>
      <c r="C37" s="7" t="s">
        <v>727</v>
      </c>
      <c r="D37" s="7" t="s">
        <v>12</v>
      </c>
      <c r="E37" s="7" t="s">
        <v>957</v>
      </c>
      <c r="F37" s="7" t="s">
        <v>958</v>
      </c>
      <c r="G37" s="7" t="s">
        <v>1859</v>
      </c>
      <c r="H37" s="7" t="s">
        <v>1860</v>
      </c>
      <c r="I37" s="7" t="s">
        <v>1829</v>
      </c>
      <c r="J37" s="7" t="s">
        <v>1861</v>
      </c>
      <c r="K37" s="7" t="s">
        <v>1670</v>
      </c>
      <c r="L37" s="7">
        <v>3</v>
      </c>
      <c r="M37" s="7"/>
      <c r="N37" s="7"/>
      <c r="O37" s="7">
        <v>3</v>
      </c>
      <c r="P37" s="7"/>
      <c r="Q37" s="7"/>
      <c r="R37" s="7">
        <v>3</v>
      </c>
      <c r="S37" s="7">
        <v>3</v>
      </c>
      <c r="T37" s="7" t="s">
        <v>562</v>
      </c>
      <c r="U37" s="7" t="s">
        <v>155</v>
      </c>
    </row>
    <row r="38" spans="1:21" x14ac:dyDescent="0.3">
      <c r="A38" s="6" t="s">
        <v>1862</v>
      </c>
      <c r="B38" s="7" t="s">
        <v>127</v>
      </c>
      <c r="C38" s="7" t="s">
        <v>727</v>
      </c>
      <c r="D38" s="7" t="s">
        <v>12</v>
      </c>
      <c r="E38" s="7" t="s">
        <v>1024</v>
      </c>
      <c r="F38" s="7" t="s">
        <v>1025</v>
      </c>
      <c r="G38" s="7" t="s">
        <v>1863</v>
      </c>
      <c r="H38" s="7" t="s">
        <v>1864</v>
      </c>
      <c r="I38" s="7" t="s">
        <v>1865</v>
      </c>
      <c r="J38" s="7" t="s">
        <v>1866</v>
      </c>
      <c r="K38" s="7" t="s">
        <v>1677</v>
      </c>
      <c r="L38" s="7">
        <v>9</v>
      </c>
      <c r="M38" s="7"/>
      <c r="N38" s="7"/>
      <c r="O38" s="7">
        <v>9</v>
      </c>
      <c r="P38" s="7"/>
      <c r="Q38" s="7">
        <v>4</v>
      </c>
      <c r="R38" s="7">
        <v>5</v>
      </c>
      <c r="S38" s="7">
        <v>9</v>
      </c>
      <c r="T38" s="7" t="s">
        <v>339</v>
      </c>
      <c r="U38" s="7" t="s">
        <v>294</v>
      </c>
    </row>
    <row r="39" spans="1:21" x14ac:dyDescent="0.3">
      <c r="A39" s="6" t="s">
        <v>1867</v>
      </c>
      <c r="B39" s="7" t="s">
        <v>127</v>
      </c>
      <c r="C39" s="7" t="s">
        <v>727</v>
      </c>
      <c r="D39" s="7" t="s">
        <v>12</v>
      </c>
      <c r="E39" s="7" t="s">
        <v>1024</v>
      </c>
      <c r="F39" s="7" t="s">
        <v>1025</v>
      </c>
      <c r="G39" s="7" t="s">
        <v>1868</v>
      </c>
      <c r="H39" s="7" t="s">
        <v>1869</v>
      </c>
      <c r="I39" s="7" t="s">
        <v>1829</v>
      </c>
      <c r="J39" s="7" t="s">
        <v>1870</v>
      </c>
      <c r="K39" s="7" t="s">
        <v>1677</v>
      </c>
      <c r="L39" s="7">
        <v>1</v>
      </c>
      <c r="M39" s="7"/>
      <c r="N39" s="7"/>
      <c r="O39" s="7">
        <v>1</v>
      </c>
      <c r="P39" s="7"/>
      <c r="Q39" s="7"/>
      <c r="R39" s="7">
        <v>1</v>
      </c>
      <c r="S39" s="7">
        <v>1</v>
      </c>
      <c r="T39" s="7" t="s">
        <v>1871</v>
      </c>
      <c r="U39" s="7" t="s">
        <v>1872</v>
      </c>
    </row>
    <row r="40" spans="1:21" x14ac:dyDescent="0.3">
      <c r="A40" s="6" t="s">
        <v>1873</v>
      </c>
      <c r="B40" s="7" t="s">
        <v>127</v>
      </c>
      <c r="C40" s="7" t="s">
        <v>727</v>
      </c>
      <c r="D40" s="7" t="s">
        <v>12</v>
      </c>
      <c r="E40" s="7" t="s">
        <v>582</v>
      </c>
      <c r="F40" s="7" t="s">
        <v>718</v>
      </c>
      <c r="G40" s="7" t="s">
        <v>1874</v>
      </c>
      <c r="H40" s="7" t="s">
        <v>1875</v>
      </c>
      <c r="I40" s="7" t="s">
        <v>1876</v>
      </c>
      <c r="J40" s="7" t="s">
        <v>1877</v>
      </c>
      <c r="K40" s="7" t="s">
        <v>1677</v>
      </c>
      <c r="L40" s="7">
        <v>52</v>
      </c>
      <c r="M40" s="7"/>
      <c r="N40" s="7"/>
      <c r="O40" s="7">
        <v>52</v>
      </c>
      <c r="P40" s="7"/>
      <c r="Q40" s="7">
        <v>19</v>
      </c>
      <c r="R40" s="7">
        <v>33</v>
      </c>
      <c r="S40" s="7">
        <v>52</v>
      </c>
      <c r="T40" s="7" t="s">
        <v>1878</v>
      </c>
      <c r="U40" s="7" t="s">
        <v>1218</v>
      </c>
    </row>
    <row r="41" spans="1:21" x14ac:dyDescent="0.3">
      <c r="A41" s="6" t="s">
        <v>1879</v>
      </c>
      <c r="B41" s="7" t="s">
        <v>127</v>
      </c>
      <c r="C41" s="7" t="s">
        <v>1045</v>
      </c>
      <c r="D41" s="7" t="s">
        <v>13</v>
      </c>
      <c r="E41" s="7" t="s">
        <v>1880</v>
      </c>
      <c r="F41" s="7" t="s">
        <v>1881</v>
      </c>
      <c r="G41" s="7" t="s">
        <v>1882</v>
      </c>
      <c r="H41" s="7" t="s">
        <v>1883</v>
      </c>
      <c r="I41" s="7" t="s">
        <v>1713</v>
      </c>
      <c r="J41" s="7" t="s">
        <v>1884</v>
      </c>
      <c r="K41" s="7" t="s">
        <v>1713</v>
      </c>
      <c r="L41" s="7">
        <v>1</v>
      </c>
      <c r="M41" s="7"/>
      <c r="N41" s="7"/>
      <c r="O41" s="7">
        <v>1</v>
      </c>
      <c r="P41" s="7"/>
      <c r="Q41" s="7">
        <v>0</v>
      </c>
      <c r="R41" s="7">
        <v>1</v>
      </c>
      <c r="S41" s="7">
        <v>1</v>
      </c>
      <c r="T41" s="7" t="s">
        <v>1885</v>
      </c>
      <c r="U41" s="7" t="s">
        <v>304</v>
      </c>
    </row>
    <row r="42" spans="1:21" x14ac:dyDescent="0.3">
      <c r="A42" s="6" t="s">
        <v>1886</v>
      </c>
      <c r="B42" s="7" t="s">
        <v>127</v>
      </c>
      <c r="C42" s="7" t="s">
        <v>1045</v>
      </c>
      <c r="D42" s="7" t="s">
        <v>13</v>
      </c>
      <c r="E42" s="7" t="s">
        <v>1887</v>
      </c>
      <c r="F42" s="7" t="s">
        <v>1888</v>
      </c>
      <c r="G42" s="7" t="s">
        <v>1889</v>
      </c>
      <c r="H42" s="7" t="s">
        <v>1890</v>
      </c>
      <c r="I42" s="7" t="s">
        <v>1713</v>
      </c>
      <c r="J42" s="7" t="s">
        <v>1713</v>
      </c>
      <c r="K42" s="7" t="s">
        <v>1713</v>
      </c>
      <c r="L42" s="7">
        <v>1</v>
      </c>
      <c r="M42" s="7"/>
      <c r="N42" s="7"/>
      <c r="O42" s="7">
        <v>1</v>
      </c>
      <c r="P42" s="7"/>
      <c r="Q42" s="7">
        <v>0</v>
      </c>
      <c r="R42" s="7">
        <v>1</v>
      </c>
      <c r="S42" s="7">
        <v>1</v>
      </c>
      <c r="T42" s="7" t="s">
        <v>1891</v>
      </c>
      <c r="U42" s="7" t="s">
        <v>304</v>
      </c>
    </row>
    <row r="43" spans="1:21" x14ac:dyDescent="0.3">
      <c r="A43" s="6" t="s">
        <v>1892</v>
      </c>
      <c r="B43" s="7" t="s">
        <v>127</v>
      </c>
      <c r="C43" s="7" t="s">
        <v>1045</v>
      </c>
      <c r="D43" s="7" t="s">
        <v>13</v>
      </c>
      <c r="E43" s="7" t="s">
        <v>1893</v>
      </c>
      <c r="F43" s="7" t="s">
        <v>1721</v>
      </c>
      <c r="G43" s="7" t="s">
        <v>1894</v>
      </c>
      <c r="H43" s="7" t="s">
        <v>1895</v>
      </c>
      <c r="I43" s="7" t="s">
        <v>1713</v>
      </c>
      <c r="J43" s="7" t="s">
        <v>1713</v>
      </c>
      <c r="K43" s="7" t="s">
        <v>1670</v>
      </c>
      <c r="L43" s="7"/>
      <c r="M43" s="7" t="s">
        <v>1770</v>
      </c>
      <c r="N43" s="7"/>
      <c r="O43" s="7">
        <v>6</v>
      </c>
      <c r="P43" s="7"/>
      <c r="Q43" s="7">
        <v>1</v>
      </c>
      <c r="R43" s="7">
        <v>5</v>
      </c>
      <c r="S43" s="7">
        <v>6</v>
      </c>
      <c r="T43" s="7" t="s">
        <v>562</v>
      </c>
      <c r="U43" s="7" t="s">
        <v>143</v>
      </c>
    </row>
    <row r="44" spans="1:21" x14ac:dyDescent="0.3">
      <c r="A44" s="6" t="s">
        <v>1896</v>
      </c>
      <c r="B44" s="7" t="s">
        <v>127</v>
      </c>
      <c r="C44" s="7" t="s">
        <v>1045</v>
      </c>
      <c r="D44" s="7" t="s">
        <v>13</v>
      </c>
      <c r="E44" s="7" t="s">
        <v>1897</v>
      </c>
      <c r="F44" s="7" t="s">
        <v>322</v>
      </c>
      <c r="G44" s="7" t="s">
        <v>1898</v>
      </c>
      <c r="H44" s="7" t="s">
        <v>1899</v>
      </c>
      <c r="I44" s="7" t="s">
        <v>1900</v>
      </c>
      <c r="J44" s="7" t="s">
        <v>1901</v>
      </c>
      <c r="K44" s="7" t="s">
        <v>1807</v>
      </c>
      <c r="L44" s="7">
        <v>2</v>
      </c>
      <c r="M44" s="7"/>
      <c r="N44" s="7"/>
      <c r="O44" s="7">
        <v>2</v>
      </c>
      <c r="P44" s="7"/>
      <c r="Q44" s="7">
        <v>0</v>
      </c>
      <c r="R44" s="7">
        <v>2</v>
      </c>
      <c r="S44" s="7">
        <v>2</v>
      </c>
      <c r="T44" s="7" t="s">
        <v>1902</v>
      </c>
      <c r="U44" s="7" t="s">
        <v>404</v>
      </c>
    </row>
    <row r="45" spans="1:21" x14ac:dyDescent="0.3">
      <c r="A45" s="6" t="s">
        <v>1903</v>
      </c>
      <c r="B45" s="7" t="s">
        <v>127</v>
      </c>
      <c r="C45" s="7" t="s">
        <v>1045</v>
      </c>
      <c r="D45" s="7" t="s">
        <v>13</v>
      </c>
      <c r="E45" s="7" t="s">
        <v>1904</v>
      </c>
      <c r="F45" s="7" t="s">
        <v>1905</v>
      </c>
      <c r="G45" s="7" t="s">
        <v>1906</v>
      </c>
      <c r="H45" s="7" t="s">
        <v>1907</v>
      </c>
      <c r="I45" s="7" t="s">
        <v>1908</v>
      </c>
      <c r="J45" s="7" t="s">
        <v>1909</v>
      </c>
      <c r="K45" s="7" t="s">
        <v>1670</v>
      </c>
      <c r="L45" s="7"/>
      <c r="M45" s="7" t="s">
        <v>1793</v>
      </c>
      <c r="N45" s="7"/>
      <c r="O45" s="7">
        <v>14</v>
      </c>
      <c r="P45" s="7"/>
      <c r="Q45" s="7">
        <v>0</v>
      </c>
      <c r="R45" s="7">
        <v>14</v>
      </c>
      <c r="S45" s="7">
        <v>14</v>
      </c>
      <c r="T45" s="7" t="s">
        <v>1071</v>
      </c>
      <c r="U45" s="7" t="s">
        <v>750</v>
      </c>
    </row>
    <row r="46" spans="1:21" x14ac:dyDescent="0.3">
      <c r="A46" s="6" t="s">
        <v>1910</v>
      </c>
      <c r="B46" s="7" t="s">
        <v>127</v>
      </c>
      <c r="C46" s="7" t="s">
        <v>1045</v>
      </c>
      <c r="D46" s="7" t="s">
        <v>13</v>
      </c>
      <c r="E46" s="7" t="s">
        <v>1911</v>
      </c>
      <c r="F46" s="7" t="s">
        <v>430</v>
      </c>
      <c r="G46" s="7" t="s">
        <v>88</v>
      </c>
      <c r="H46" s="7" t="s">
        <v>1912</v>
      </c>
      <c r="I46" s="7" t="s">
        <v>1691</v>
      </c>
      <c r="J46" s="7" t="s">
        <v>1691</v>
      </c>
      <c r="K46" s="7" t="s">
        <v>1670</v>
      </c>
      <c r="L46" s="7">
        <v>61</v>
      </c>
      <c r="M46" s="7"/>
      <c r="N46" s="7"/>
      <c r="O46" s="7">
        <v>61</v>
      </c>
      <c r="P46" s="7"/>
      <c r="Q46" s="7">
        <v>0</v>
      </c>
      <c r="R46" s="7">
        <v>61</v>
      </c>
      <c r="S46" s="7">
        <v>61</v>
      </c>
      <c r="T46" s="7" t="s">
        <v>90</v>
      </c>
      <c r="U46" s="7"/>
    </row>
    <row r="47" spans="1:21" x14ac:dyDescent="0.3">
      <c r="A47" s="6" t="s">
        <v>1913</v>
      </c>
      <c r="B47" s="7" t="s">
        <v>127</v>
      </c>
      <c r="C47" s="7" t="s">
        <v>1045</v>
      </c>
      <c r="D47" s="7" t="s">
        <v>13</v>
      </c>
      <c r="E47" s="7" t="s">
        <v>1914</v>
      </c>
      <c r="F47" s="7" t="s">
        <v>433</v>
      </c>
      <c r="G47" s="7" t="s">
        <v>88</v>
      </c>
      <c r="H47" s="7" t="s">
        <v>1912</v>
      </c>
      <c r="I47" s="7" t="s">
        <v>1691</v>
      </c>
      <c r="J47" s="7" t="s">
        <v>1691</v>
      </c>
      <c r="K47" s="7" t="s">
        <v>1670</v>
      </c>
      <c r="L47" s="7">
        <v>22</v>
      </c>
      <c r="M47" s="7"/>
      <c r="N47" s="7"/>
      <c r="O47" s="7">
        <v>22</v>
      </c>
      <c r="P47" s="7"/>
      <c r="Q47" s="7">
        <v>0</v>
      </c>
      <c r="R47" s="7">
        <v>22</v>
      </c>
      <c r="S47" s="7">
        <v>22</v>
      </c>
      <c r="T47" s="7" t="s">
        <v>90</v>
      </c>
      <c r="U47" s="7"/>
    </row>
    <row r="48" spans="1:21" x14ac:dyDescent="0.3">
      <c r="A48" s="6" t="s">
        <v>1915</v>
      </c>
      <c r="B48" s="7" t="s">
        <v>127</v>
      </c>
      <c r="C48" s="7" t="s">
        <v>1045</v>
      </c>
      <c r="D48" s="7" t="s">
        <v>13</v>
      </c>
      <c r="E48" s="7" t="s">
        <v>1916</v>
      </c>
      <c r="F48" s="7" t="s">
        <v>460</v>
      </c>
      <c r="G48" s="7" t="s">
        <v>1917</v>
      </c>
      <c r="H48" s="7" t="s">
        <v>1918</v>
      </c>
      <c r="I48" s="7" t="s">
        <v>1713</v>
      </c>
      <c r="J48" s="7" t="s">
        <v>1884</v>
      </c>
      <c r="K48" s="7" t="s">
        <v>1713</v>
      </c>
      <c r="L48" s="7"/>
      <c r="M48" s="7" t="s">
        <v>594</v>
      </c>
      <c r="N48" s="7"/>
      <c r="O48" s="7">
        <v>1</v>
      </c>
      <c r="P48" s="7"/>
      <c r="Q48" s="7">
        <v>0</v>
      </c>
      <c r="R48" s="7">
        <v>1</v>
      </c>
      <c r="S48" s="7">
        <v>1</v>
      </c>
      <c r="T48" s="7" t="s">
        <v>1919</v>
      </c>
      <c r="U48" s="7" t="s">
        <v>304</v>
      </c>
    </row>
    <row r="49" spans="1:21" x14ac:dyDescent="0.3">
      <c r="A49" s="6" t="s">
        <v>1920</v>
      </c>
      <c r="B49" s="7" t="s">
        <v>127</v>
      </c>
      <c r="C49" s="7" t="s">
        <v>1045</v>
      </c>
      <c r="D49" s="7" t="s">
        <v>13</v>
      </c>
      <c r="E49" s="7" t="s">
        <v>1921</v>
      </c>
      <c r="F49" s="7" t="s">
        <v>1922</v>
      </c>
      <c r="G49" s="7" t="s">
        <v>1923</v>
      </c>
      <c r="H49" s="7" t="s">
        <v>1924</v>
      </c>
      <c r="I49" s="7" t="s">
        <v>1713</v>
      </c>
      <c r="J49" s="7" t="s">
        <v>1884</v>
      </c>
      <c r="K49" s="7" t="s">
        <v>1670</v>
      </c>
      <c r="L49" s="7"/>
      <c r="M49" s="7" t="s">
        <v>594</v>
      </c>
      <c r="N49" s="7"/>
      <c r="O49" s="7">
        <v>1</v>
      </c>
      <c r="P49" s="7"/>
      <c r="Q49" s="7">
        <v>1</v>
      </c>
      <c r="R49" s="7">
        <v>0</v>
      </c>
      <c r="S49" s="7">
        <v>1</v>
      </c>
      <c r="T49" s="7" t="s">
        <v>1919</v>
      </c>
      <c r="U49" s="7" t="s">
        <v>304</v>
      </c>
    </row>
    <row r="50" spans="1:21" x14ac:dyDescent="0.3">
      <c r="A50" s="6" t="s">
        <v>1925</v>
      </c>
      <c r="B50" s="7" t="s">
        <v>127</v>
      </c>
      <c r="C50" s="7" t="s">
        <v>1045</v>
      </c>
      <c r="D50" s="7" t="s">
        <v>13</v>
      </c>
      <c r="E50" s="7" t="s">
        <v>1193</v>
      </c>
      <c r="F50" s="7" t="s">
        <v>1194</v>
      </c>
      <c r="G50" s="7" t="s">
        <v>1926</v>
      </c>
      <c r="H50" s="7" t="s">
        <v>1927</v>
      </c>
      <c r="I50" s="7" t="s">
        <v>1928</v>
      </c>
      <c r="J50" s="7" t="s">
        <v>1929</v>
      </c>
      <c r="K50" s="7" t="s">
        <v>1929</v>
      </c>
      <c r="L50" s="7"/>
      <c r="M50" s="7" t="s">
        <v>672</v>
      </c>
      <c r="N50" s="7"/>
      <c r="O50" s="7">
        <v>27</v>
      </c>
      <c r="P50" s="7"/>
      <c r="Q50" s="7">
        <v>2</v>
      </c>
      <c r="R50" s="7">
        <v>25</v>
      </c>
      <c r="S50" s="7">
        <v>27</v>
      </c>
      <c r="T50" s="7" t="s">
        <v>165</v>
      </c>
      <c r="U50" s="7" t="s">
        <v>542</v>
      </c>
    </row>
    <row r="51" spans="1:21" x14ac:dyDescent="0.3">
      <c r="A51" s="6" t="s">
        <v>1930</v>
      </c>
      <c r="B51" s="7" t="s">
        <v>127</v>
      </c>
      <c r="C51" s="7" t="s">
        <v>1045</v>
      </c>
      <c r="D51" s="7" t="s">
        <v>13</v>
      </c>
      <c r="E51" s="7" t="s">
        <v>1931</v>
      </c>
      <c r="F51" s="7" t="s">
        <v>1932</v>
      </c>
      <c r="G51" s="7" t="s">
        <v>1933</v>
      </c>
      <c r="H51" s="7" t="s">
        <v>1934</v>
      </c>
      <c r="I51" s="7" t="s">
        <v>1935</v>
      </c>
      <c r="J51" s="7" t="s">
        <v>1713</v>
      </c>
      <c r="K51" s="7" t="s">
        <v>1670</v>
      </c>
      <c r="L51" s="7"/>
      <c r="M51" s="7" t="s">
        <v>1777</v>
      </c>
      <c r="N51" s="7"/>
      <c r="O51" s="7">
        <v>9</v>
      </c>
      <c r="P51" s="7"/>
      <c r="Q51" s="7">
        <v>0</v>
      </c>
      <c r="R51" s="7">
        <v>9</v>
      </c>
      <c r="S51" s="7">
        <v>9</v>
      </c>
      <c r="T51" s="7" t="s">
        <v>90</v>
      </c>
      <c r="U51" s="7" t="s">
        <v>304</v>
      </c>
    </row>
    <row r="52" spans="1:21" x14ac:dyDescent="0.3">
      <c r="A52" s="6" t="s">
        <v>1936</v>
      </c>
      <c r="B52" s="7" t="s">
        <v>127</v>
      </c>
      <c r="C52" s="7" t="s">
        <v>589</v>
      </c>
      <c r="D52" s="7" t="s">
        <v>14</v>
      </c>
      <c r="E52" s="7" t="s">
        <v>1937</v>
      </c>
      <c r="F52" s="7" t="s">
        <v>1938</v>
      </c>
      <c r="G52" s="7" t="s">
        <v>1939</v>
      </c>
      <c r="H52" s="7" t="s">
        <v>1940</v>
      </c>
      <c r="I52" s="7" t="s">
        <v>1735</v>
      </c>
      <c r="J52" s="7" t="s">
        <v>2</v>
      </c>
      <c r="K52" s="7" t="s">
        <v>1735</v>
      </c>
      <c r="L52" s="7">
        <v>1</v>
      </c>
      <c r="M52" s="7"/>
      <c r="N52" s="7"/>
      <c r="O52" s="7">
        <v>1</v>
      </c>
      <c r="P52" s="7"/>
      <c r="Q52" s="7">
        <v>1</v>
      </c>
      <c r="R52" s="7"/>
      <c r="S52" s="7">
        <v>1</v>
      </c>
      <c r="T52" s="7" t="s">
        <v>1941</v>
      </c>
      <c r="U52" s="7" t="s">
        <v>780</v>
      </c>
    </row>
    <row r="53" spans="1:21" x14ac:dyDescent="0.3">
      <c r="A53" s="6" t="s">
        <v>1202</v>
      </c>
      <c r="B53" s="7" t="s">
        <v>127</v>
      </c>
      <c r="C53" s="7" t="s">
        <v>589</v>
      </c>
      <c r="D53" s="7" t="s">
        <v>14</v>
      </c>
      <c r="E53" s="7" t="s">
        <v>1203</v>
      </c>
      <c r="F53" s="7" t="s">
        <v>1204</v>
      </c>
      <c r="G53" s="7" t="s">
        <v>1205</v>
      </c>
      <c r="H53" s="7" t="s">
        <v>1942</v>
      </c>
      <c r="I53" s="7" t="s">
        <v>1781</v>
      </c>
      <c r="J53" s="7" t="s">
        <v>1943</v>
      </c>
      <c r="K53" s="7" t="s">
        <v>1782</v>
      </c>
      <c r="L53" s="7">
        <v>2</v>
      </c>
      <c r="M53" s="7"/>
      <c r="N53" s="7"/>
      <c r="O53" s="7">
        <v>2</v>
      </c>
      <c r="P53" s="7"/>
      <c r="Q53" s="7">
        <v>2</v>
      </c>
      <c r="R53" s="7">
        <v>0</v>
      </c>
      <c r="S53" s="7">
        <v>2</v>
      </c>
      <c r="T53" s="7" t="s">
        <v>99</v>
      </c>
      <c r="U53" s="7" t="s">
        <v>593</v>
      </c>
    </row>
    <row r="54" spans="1:21" x14ac:dyDescent="0.3">
      <c r="A54" s="6" t="s">
        <v>1944</v>
      </c>
      <c r="B54" s="7" t="s">
        <v>1945</v>
      </c>
      <c r="C54" s="7" t="s">
        <v>1946</v>
      </c>
      <c r="D54" s="7" t="s">
        <v>15</v>
      </c>
      <c r="E54" s="7" t="s">
        <v>1947</v>
      </c>
      <c r="F54" s="7" t="s">
        <v>1948</v>
      </c>
      <c r="G54" s="7" t="s">
        <v>1949</v>
      </c>
      <c r="H54" s="7" t="s">
        <v>1950</v>
      </c>
      <c r="I54" s="7" t="s">
        <v>1951</v>
      </c>
      <c r="J54" s="7" t="s">
        <v>1952</v>
      </c>
      <c r="K54" s="7" t="s">
        <v>1782</v>
      </c>
      <c r="L54" s="7"/>
      <c r="M54" s="7"/>
      <c r="N54" s="7" t="s">
        <v>1784</v>
      </c>
      <c r="O54" s="7">
        <v>7</v>
      </c>
      <c r="P54" s="7"/>
      <c r="Q54" s="7"/>
      <c r="R54" s="7">
        <v>7</v>
      </c>
      <c r="S54" s="7">
        <v>7</v>
      </c>
      <c r="T54" s="7" t="s">
        <v>303</v>
      </c>
      <c r="U54" s="7" t="s">
        <v>166</v>
      </c>
    </row>
    <row r="55" spans="1:21" x14ac:dyDescent="0.3">
      <c r="A55" s="6" t="s">
        <v>1953</v>
      </c>
      <c r="B55" s="7" t="s">
        <v>1945</v>
      </c>
      <c r="C55" s="7" t="s">
        <v>1946</v>
      </c>
      <c r="D55" s="7" t="s">
        <v>15</v>
      </c>
      <c r="E55" s="7" t="s">
        <v>1954</v>
      </c>
      <c r="F55" s="7" t="s">
        <v>1955</v>
      </c>
      <c r="G55" s="7" t="s">
        <v>1956</v>
      </c>
      <c r="H55" s="7" t="s">
        <v>1957</v>
      </c>
      <c r="I55" s="7" t="s">
        <v>1951</v>
      </c>
      <c r="J55" s="7" t="s">
        <v>1958</v>
      </c>
      <c r="K55" s="7" t="s">
        <v>1782</v>
      </c>
      <c r="L55" s="7"/>
      <c r="M55" s="7"/>
      <c r="N55" s="7" t="s">
        <v>677</v>
      </c>
      <c r="O55" s="7">
        <v>28</v>
      </c>
      <c r="P55" s="7"/>
      <c r="Q55" s="7">
        <v>0</v>
      </c>
      <c r="R55" s="7">
        <v>28</v>
      </c>
      <c r="S55" s="7">
        <v>28</v>
      </c>
      <c r="T55" s="7" t="s">
        <v>893</v>
      </c>
      <c r="U55" s="7" t="s">
        <v>155</v>
      </c>
    </row>
    <row r="56" spans="1:21" x14ac:dyDescent="0.3">
      <c r="A56" s="6" t="s">
        <v>1959</v>
      </c>
      <c r="B56" s="7" t="s">
        <v>1945</v>
      </c>
      <c r="C56" s="7" t="s">
        <v>1946</v>
      </c>
      <c r="D56" s="7" t="s">
        <v>15</v>
      </c>
      <c r="E56" s="7" t="s">
        <v>1954</v>
      </c>
      <c r="F56" s="7" t="s">
        <v>1955</v>
      </c>
      <c r="G56" s="7" t="s">
        <v>1960</v>
      </c>
      <c r="H56" s="7" t="s">
        <v>1961</v>
      </c>
      <c r="I56" s="7" t="s">
        <v>1962</v>
      </c>
      <c r="J56" s="7" t="s">
        <v>1958</v>
      </c>
      <c r="K56" s="7" t="s">
        <v>1782</v>
      </c>
      <c r="L56" s="7"/>
      <c r="M56" s="7"/>
      <c r="N56" s="7" t="s">
        <v>677</v>
      </c>
      <c r="O56" s="7">
        <v>28</v>
      </c>
      <c r="P56" s="7"/>
      <c r="Q56" s="7">
        <v>0</v>
      </c>
      <c r="R56" s="7">
        <v>28</v>
      </c>
      <c r="S56" s="7">
        <v>28</v>
      </c>
      <c r="T56" s="7" t="s">
        <v>604</v>
      </c>
      <c r="U56" s="7" t="s">
        <v>1963</v>
      </c>
    </row>
    <row r="57" spans="1:21" x14ac:dyDescent="0.3">
      <c r="A57" s="6" t="s">
        <v>1964</v>
      </c>
      <c r="B57" s="7" t="s">
        <v>1945</v>
      </c>
      <c r="C57" s="7" t="s">
        <v>1946</v>
      </c>
      <c r="D57" s="7" t="s">
        <v>15</v>
      </c>
      <c r="E57" s="7" t="s">
        <v>1965</v>
      </c>
      <c r="F57" s="7" t="s">
        <v>1966</v>
      </c>
      <c r="G57" s="7" t="s">
        <v>1967</v>
      </c>
      <c r="H57" s="7" t="s">
        <v>1968</v>
      </c>
      <c r="I57" s="7" t="s">
        <v>1951</v>
      </c>
      <c r="J57" s="7" t="s">
        <v>1952</v>
      </c>
      <c r="K57" s="7" t="s">
        <v>1782</v>
      </c>
      <c r="L57" s="7"/>
      <c r="M57" s="7"/>
      <c r="N57" s="7" t="s">
        <v>610</v>
      </c>
      <c r="O57" s="7">
        <v>4</v>
      </c>
      <c r="P57" s="7"/>
      <c r="Q57" s="7"/>
      <c r="R57" s="7">
        <v>3</v>
      </c>
      <c r="S57" s="7">
        <v>3</v>
      </c>
      <c r="T57" s="7" t="s">
        <v>82</v>
      </c>
      <c r="U57" s="7" t="s">
        <v>304</v>
      </c>
    </row>
    <row r="58" spans="1:21" x14ac:dyDescent="0.3">
      <c r="A58" s="6" t="s">
        <v>1969</v>
      </c>
      <c r="B58" s="7" t="s">
        <v>1945</v>
      </c>
      <c r="C58" s="7" t="s">
        <v>1946</v>
      </c>
      <c r="D58" s="7" t="s">
        <v>15</v>
      </c>
      <c r="E58" s="7" t="s">
        <v>1970</v>
      </c>
      <c r="F58" s="7" t="s">
        <v>194</v>
      </c>
      <c r="G58" s="7" t="s">
        <v>1971</v>
      </c>
      <c r="H58" s="7" t="s">
        <v>1972</v>
      </c>
      <c r="I58" s="7" t="s">
        <v>1951</v>
      </c>
      <c r="J58" s="7" t="s">
        <v>1952</v>
      </c>
      <c r="K58" s="7" t="s">
        <v>1782</v>
      </c>
      <c r="L58" s="7"/>
      <c r="M58" s="7"/>
      <c r="N58" s="7" t="s">
        <v>623</v>
      </c>
      <c r="O58" s="7">
        <v>10</v>
      </c>
      <c r="P58" s="7"/>
      <c r="Q58" s="7"/>
      <c r="R58" s="7">
        <v>10</v>
      </c>
      <c r="S58" s="7">
        <v>10</v>
      </c>
      <c r="T58" s="7" t="s">
        <v>1973</v>
      </c>
      <c r="U58" s="7" t="s">
        <v>806</v>
      </c>
    </row>
    <row r="59" spans="1:21" x14ac:dyDescent="0.3">
      <c r="A59" s="6" t="s">
        <v>1974</v>
      </c>
      <c r="B59" s="7" t="s">
        <v>1945</v>
      </c>
      <c r="C59" s="7" t="s">
        <v>1946</v>
      </c>
      <c r="D59" s="7" t="s">
        <v>15</v>
      </c>
      <c r="E59" s="7" t="s">
        <v>1975</v>
      </c>
      <c r="F59" s="7" t="s">
        <v>1976</v>
      </c>
      <c r="G59" s="7" t="s">
        <v>1977</v>
      </c>
      <c r="H59" s="7" t="s">
        <v>1978</v>
      </c>
      <c r="I59" s="7" t="s">
        <v>1951</v>
      </c>
      <c r="J59" s="7" t="s">
        <v>1979</v>
      </c>
      <c r="K59" s="7" t="s">
        <v>1782</v>
      </c>
      <c r="L59" s="7"/>
      <c r="M59" s="7"/>
      <c r="N59" s="7" t="s">
        <v>1809</v>
      </c>
      <c r="O59" s="7">
        <v>25</v>
      </c>
      <c r="P59" s="7"/>
      <c r="Q59" s="7">
        <v>3</v>
      </c>
      <c r="R59" s="7">
        <v>19</v>
      </c>
      <c r="S59" s="7">
        <v>22</v>
      </c>
      <c r="T59" s="7" t="s">
        <v>1980</v>
      </c>
      <c r="U59" s="7" t="s">
        <v>1518</v>
      </c>
    </row>
    <row r="60" spans="1:21" x14ac:dyDescent="0.3">
      <c r="A60" s="6" t="s">
        <v>1981</v>
      </c>
      <c r="B60" s="7" t="s">
        <v>1945</v>
      </c>
      <c r="C60" s="7" t="s">
        <v>1946</v>
      </c>
      <c r="D60" s="7" t="s">
        <v>15</v>
      </c>
      <c r="E60" s="7" t="s">
        <v>1982</v>
      </c>
      <c r="F60" s="7" t="s">
        <v>1983</v>
      </c>
      <c r="G60" s="7" t="s">
        <v>1984</v>
      </c>
      <c r="H60" s="7" t="s">
        <v>1985</v>
      </c>
      <c r="I60" s="7" t="s">
        <v>1951</v>
      </c>
      <c r="J60" s="7" t="s">
        <v>1952</v>
      </c>
      <c r="K60" s="7" t="s">
        <v>1782</v>
      </c>
      <c r="L60" s="7"/>
      <c r="M60" s="7"/>
      <c r="N60" s="7" t="s">
        <v>636</v>
      </c>
      <c r="O60" s="7">
        <v>16</v>
      </c>
      <c r="P60" s="7"/>
      <c r="Q60" s="7"/>
      <c r="R60" s="7">
        <v>20</v>
      </c>
      <c r="S60" s="7">
        <v>20</v>
      </c>
      <c r="T60" s="7" t="s">
        <v>621</v>
      </c>
      <c r="U60" s="7" t="s">
        <v>166</v>
      </c>
    </row>
    <row r="61" spans="1:21" x14ac:dyDescent="0.3">
      <c r="A61" s="6" t="s">
        <v>1986</v>
      </c>
      <c r="B61" s="7" t="s">
        <v>1945</v>
      </c>
      <c r="C61" s="7" t="s">
        <v>1946</v>
      </c>
      <c r="D61" s="7" t="s">
        <v>15</v>
      </c>
      <c r="E61" s="7" t="s">
        <v>1982</v>
      </c>
      <c r="F61" s="7" t="s">
        <v>1983</v>
      </c>
      <c r="G61" s="7" t="s">
        <v>1987</v>
      </c>
      <c r="H61" s="7" t="s">
        <v>1988</v>
      </c>
      <c r="I61" s="7" t="s">
        <v>1951</v>
      </c>
      <c r="J61" s="7" t="s">
        <v>1952</v>
      </c>
      <c r="K61" s="7" t="s">
        <v>1782</v>
      </c>
      <c r="L61" s="7"/>
      <c r="M61" s="7"/>
      <c r="N61" s="7" t="s">
        <v>631</v>
      </c>
      <c r="O61" s="7">
        <v>15</v>
      </c>
      <c r="P61" s="7"/>
      <c r="Q61" s="7"/>
      <c r="R61" s="7"/>
      <c r="S61" s="7">
        <v>0</v>
      </c>
      <c r="T61" s="7" t="s">
        <v>131</v>
      </c>
      <c r="U61" s="7" t="s">
        <v>696</v>
      </c>
    </row>
    <row r="62" spans="1:21" x14ac:dyDescent="0.3">
      <c r="A62" s="6" t="s">
        <v>1989</v>
      </c>
      <c r="B62" s="7" t="s">
        <v>1945</v>
      </c>
      <c r="C62" s="7" t="s">
        <v>1946</v>
      </c>
      <c r="D62" s="7" t="s">
        <v>15</v>
      </c>
      <c r="E62" s="7" t="s">
        <v>1982</v>
      </c>
      <c r="F62" s="7" t="s">
        <v>1983</v>
      </c>
      <c r="G62" s="7" t="s">
        <v>1990</v>
      </c>
      <c r="H62" s="7" t="s">
        <v>1991</v>
      </c>
      <c r="I62" s="7" t="s">
        <v>1951</v>
      </c>
      <c r="J62" s="7" t="s">
        <v>1992</v>
      </c>
      <c r="K62" s="7" t="s">
        <v>1782</v>
      </c>
      <c r="L62" s="7"/>
      <c r="M62" s="7"/>
      <c r="N62" s="7" t="s">
        <v>626</v>
      </c>
      <c r="O62" s="7">
        <v>13</v>
      </c>
      <c r="P62" s="7"/>
      <c r="Q62" s="7">
        <v>1</v>
      </c>
      <c r="R62" s="7">
        <v>12</v>
      </c>
      <c r="S62" s="7">
        <v>13</v>
      </c>
      <c r="T62" s="7" t="s">
        <v>339</v>
      </c>
      <c r="U62" s="7" t="s">
        <v>155</v>
      </c>
    </row>
    <row r="63" spans="1:21" x14ac:dyDescent="0.3">
      <c r="A63" s="6" t="s">
        <v>1993</v>
      </c>
      <c r="B63" s="7" t="s">
        <v>1945</v>
      </c>
      <c r="C63" s="7" t="s">
        <v>1946</v>
      </c>
      <c r="D63" s="7" t="s">
        <v>15</v>
      </c>
      <c r="E63" s="7" t="s">
        <v>1994</v>
      </c>
      <c r="F63" s="7" t="s">
        <v>1098</v>
      </c>
      <c r="G63" s="7" t="s">
        <v>1995</v>
      </c>
      <c r="H63" s="7" t="s">
        <v>1996</v>
      </c>
      <c r="I63" s="7" t="s">
        <v>1951</v>
      </c>
      <c r="J63" s="7" t="s">
        <v>1997</v>
      </c>
      <c r="K63" s="7" t="s">
        <v>1782</v>
      </c>
      <c r="L63" s="7"/>
      <c r="M63" s="7"/>
      <c r="N63" s="7" t="s">
        <v>716</v>
      </c>
      <c r="O63" s="7">
        <v>39</v>
      </c>
      <c r="P63" s="7"/>
      <c r="Q63" s="7"/>
      <c r="R63" s="7">
        <v>6</v>
      </c>
      <c r="S63" s="7">
        <v>6</v>
      </c>
      <c r="T63" s="7" t="s">
        <v>1998</v>
      </c>
      <c r="U63" s="7" t="s">
        <v>1999</v>
      </c>
    </row>
    <row r="64" spans="1:21" x14ac:dyDescent="0.3">
      <c r="A64" s="6" t="s">
        <v>2000</v>
      </c>
      <c r="B64" s="7" t="s">
        <v>1945</v>
      </c>
      <c r="C64" s="7" t="s">
        <v>1946</v>
      </c>
      <c r="D64" s="7" t="s">
        <v>15</v>
      </c>
      <c r="E64" s="7" t="s">
        <v>1994</v>
      </c>
      <c r="F64" s="7" t="s">
        <v>1098</v>
      </c>
      <c r="G64" s="7" t="s">
        <v>2001</v>
      </c>
      <c r="H64" s="7" t="s">
        <v>2002</v>
      </c>
      <c r="I64" s="7" t="s">
        <v>1951</v>
      </c>
      <c r="J64" s="7" t="s">
        <v>2003</v>
      </c>
      <c r="K64" s="7" t="s">
        <v>1782</v>
      </c>
      <c r="L64" s="7"/>
      <c r="M64" s="7"/>
      <c r="N64" s="7" t="s">
        <v>1729</v>
      </c>
      <c r="O64" s="7">
        <v>0</v>
      </c>
      <c r="P64" s="7"/>
      <c r="Q64" s="7"/>
      <c r="R64" s="7">
        <v>1</v>
      </c>
      <c r="S64" s="7">
        <v>1</v>
      </c>
      <c r="T64" s="7" t="s">
        <v>196</v>
      </c>
      <c r="U64" s="7" t="s">
        <v>155</v>
      </c>
    </row>
    <row r="65" spans="1:21" x14ac:dyDescent="0.3">
      <c r="A65" s="6" t="s">
        <v>2004</v>
      </c>
      <c r="B65" s="7" t="s">
        <v>1945</v>
      </c>
      <c r="C65" s="7" t="s">
        <v>1946</v>
      </c>
      <c r="D65" s="7" t="s">
        <v>15</v>
      </c>
      <c r="E65" s="7" t="s">
        <v>1994</v>
      </c>
      <c r="F65" s="7" t="s">
        <v>1098</v>
      </c>
      <c r="G65" s="7" t="s">
        <v>2005</v>
      </c>
      <c r="H65" s="7" t="s">
        <v>2006</v>
      </c>
      <c r="I65" s="7" t="s">
        <v>1951</v>
      </c>
      <c r="J65" s="7" t="s">
        <v>1952</v>
      </c>
      <c r="K65" s="7" t="s">
        <v>1782</v>
      </c>
      <c r="L65" s="7"/>
      <c r="M65" s="7"/>
      <c r="N65" s="7" t="s">
        <v>1729</v>
      </c>
      <c r="O65" s="7">
        <v>0</v>
      </c>
      <c r="P65" s="7"/>
      <c r="Q65" s="7"/>
      <c r="R65" s="7">
        <v>11</v>
      </c>
      <c r="S65" s="7">
        <v>11</v>
      </c>
      <c r="T65" s="7" t="s">
        <v>660</v>
      </c>
      <c r="U65" s="7" t="s">
        <v>2007</v>
      </c>
    </row>
    <row r="66" spans="1:21" x14ac:dyDescent="0.3">
      <c r="A66" s="6" t="s">
        <v>2008</v>
      </c>
      <c r="B66" s="7" t="s">
        <v>1945</v>
      </c>
      <c r="C66" s="7" t="s">
        <v>1946</v>
      </c>
      <c r="D66" s="7" t="s">
        <v>15</v>
      </c>
      <c r="E66" s="7" t="s">
        <v>1994</v>
      </c>
      <c r="F66" s="7" t="s">
        <v>1098</v>
      </c>
      <c r="G66" s="7" t="s">
        <v>2009</v>
      </c>
      <c r="H66" s="7" t="s">
        <v>2010</v>
      </c>
      <c r="I66" s="7" t="s">
        <v>1951</v>
      </c>
      <c r="J66" s="7" t="s">
        <v>2011</v>
      </c>
      <c r="K66" s="7" t="s">
        <v>1782</v>
      </c>
      <c r="L66" s="7"/>
      <c r="M66" s="7"/>
      <c r="N66" s="7" t="s">
        <v>716</v>
      </c>
      <c r="O66" s="7">
        <v>39</v>
      </c>
      <c r="P66" s="7"/>
      <c r="Q66" s="7"/>
      <c r="R66" s="7">
        <v>2</v>
      </c>
      <c r="S66" s="7">
        <v>2</v>
      </c>
      <c r="T66" s="7" t="s">
        <v>2012</v>
      </c>
      <c r="U66" s="7" t="s">
        <v>2007</v>
      </c>
    </row>
    <row r="67" spans="1:21" x14ac:dyDescent="0.3">
      <c r="A67" s="6" t="s">
        <v>2013</v>
      </c>
      <c r="B67" s="7" t="s">
        <v>1945</v>
      </c>
      <c r="C67" s="7" t="s">
        <v>1946</v>
      </c>
      <c r="D67" s="7" t="s">
        <v>15</v>
      </c>
      <c r="E67" s="7" t="s">
        <v>1994</v>
      </c>
      <c r="F67" s="7" t="s">
        <v>1098</v>
      </c>
      <c r="G67" s="7" t="s">
        <v>2014</v>
      </c>
      <c r="H67" s="7" t="s">
        <v>2015</v>
      </c>
      <c r="I67" s="7" t="s">
        <v>1951</v>
      </c>
      <c r="J67" s="7" t="s">
        <v>2016</v>
      </c>
      <c r="K67" s="7" t="s">
        <v>1782</v>
      </c>
      <c r="L67" s="7"/>
      <c r="M67" s="7"/>
      <c r="N67" s="7" t="s">
        <v>716</v>
      </c>
      <c r="O67" s="7">
        <v>39</v>
      </c>
      <c r="P67" s="7"/>
      <c r="Q67" s="7"/>
      <c r="R67" s="7">
        <v>1</v>
      </c>
      <c r="S67" s="7">
        <v>1</v>
      </c>
      <c r="T67" s="7" t="s">
        <v>2012</v>
      </c>
      <c r="U67" s="7" t="s">
        <v>2007</v>
      </c>
    </row>
    <row r="68" spans="1:21" x14ac:dyDescent="0.3">
      <c r="A68" s="6" t="s">
        <v>2017</v>
      </c>
      <c r="B68" s="7" t="s">
        <v>1945</v>
      </c>
      <c r="C68" s="7" t="s">
        <v>1946</v>
      </c>
      <c r="D68" s="7" t="s">
        <v>15</v>
      </c>
      <c r="E68" s="7" t="s">
        <v>56</v>
      </c>
      <c r="F68" s="7" t="s">
        <v>2018</v>
      </c>
      <c r="G68" s="7" t="s">
        <v>2019</v>
      </c>
      <c r="H68" s="7" t="s">
        <v>2020</v>
      </c>
      <c r="I68" s="7" t="s">
        <v>1951</v>
      </c>
      <c r="J68" s="7" t="s">
        <v>1952</v>
      </c>
      <c r="K68" s="7" t="s">
        <v>1782</v>
      </c>
      <c r="L68" s="7"/>
      <c r="M68" s="7"/>
      <c r="N68" s="7" t="s">
        <v>990</v>
      </c>
      <c r="O68" s="7">
        <v>124</v>
      </c>
      <c r="P68" s="7"/>
      <c r="Q68" s="7">
        <v>2</v>
      </c>
      <c r="R68" s="7">
        <v>26</v>
      </c>
      <c r="S68" s="7">
        <v>28</v>
      </c>
      <c r="T68" s="7" t="s">
        <v>64</v>
      </c>
      <c r="U68" s="7" t="s">
        <v>605</v>
      </c>
    </row>
    <row r="69" spans="1:21" x14ac:dyDescent="0.3">
      <c r="A69" s="6" t="s">
        <v>2021</v>
      </c>
      <c r="B69" s="7" t="s">
        <v>1945</v>
      </c>
      <c r="C69" s="7" t="s">
        <v>1946</v>
      </c>
      <c r="D69" s="7" t="s">
        <v>15</v>
      </c>
      <c r="E69" s="7" t="s">
        <v>56</v>
      </c>
      <c r="F69" s="7" t="s">
        <v>2018</v>
      </c>
      <c r="G69" s="7" t="s">
        <v>55</v>
      </c>
      <c r="H69" s="7" t="s">
        <v>2020</v>
      </c>
      <c r="I69" s="7" t="s">
        <v>1951</v>
      </c>
      <c r="J69" s="7" t="s">
        <v>1958</v>
      </c>
      <c r="K69" s="7" t="s">
        <v>1782</v>
      </c>
      <c r="L69" s="7"/>
      <c r="M69" s="7"/>
      <c r="N69" s="7" t="s">
        <v>2004</v>
      </c>
      <c r="O69" s="7">
        <v>156</v>
      </c>
      <c r="P69" s="7"/>
      <c r="Q69" s="7">
        <v>10</v>
      </c>
      <c r="R69" s="7">
        <v>132</v>
      </c>
      <c r="S69" s="7">
        <v>142</v>
      </c>
      <c r="T69" s="7" t="s">
        <v>57</v>
      </c>
      <c r="U69" s="7" t="s">
        <v>155</v>
      </c>
    </row>
    <row r="70" spans="1:21" x14ac:dyDescent="0.3">
      <c r="A70" s="6" t="s">
        <v>2022</v>
      </c>
      <c r="B70" s="7" t="s">
        <v>1945</v>
      </c>
      <c r="C70" s="7" t="s">
        <v>1946</v>
      </c>
      <c r="D70" s="7" t="s">
        <v>15</v>
      </c>
      <c r="E70" s="7" t="s">
        <v>56</v>
      </c>
      <c r="F70" s="7"/>
      <c r="G70" s="7" t="s">
        <v>55</v>
      </c>
      <c r="H70" s="7" t="s">
        <v>2023</v>
      </c>
      <c r="I70" s="7" t="s">
        <v>1951</v>
      </c>
      <c r="J70" s="7" t="s">
        <v>1958</v>
      </c>
      <c r="K70" s="7" t="s">
        <v>1782</v>
      </c>
      <c r="L70" s="7"/>
      <c r="M70" s="7"/>
      <c r="N70" s="7" t="s">
        <v>606</v>
      </c>
      <c r="O70" s="7">
        <v>5</v>
      </c>
      <c r="P70" s="7"/>
      <c r="Q70" s="7"/>
      <c r="R70" s="7">
        <v>5</v>
      </c>
      <c r="S70" s="7">
        <v>5</v>
      </c>
      <c r="T70" s="7" t="s">
        <v>57</v>
      </c>
      <c r="U70" s="7" t="s">
        <v>155</v>
      </c>
    </row>
    <row r="71" spans="1:21" x14ac:dyDescent="0.3">
      <c r="A71" s="6" t="s">
        <v>2024</v>
      </c>
      <c r="B71" s="7" t="s">
        <v>1945</v>
      </c>
      <c r="C71" s="7" t="s">
        <v>1946</v>
      </c>
      <c r="D71" s="7" t="s">
        <v>15</v>
      </c>
      <c r="E71" s="7" t="s">
        <v>56</v>
      </c>
      <c r="F71" s="7"/>
      <c r="G71" s="7" t="s">
        <v>55</v>
      </c>
      <c r="H71" s="7" t="s">
        <v>2023</v>
      </c>
      <c r="I71" s="7" t="s">
        <v>1951</v>
      </c>
      <c r="J71" s="7" t="s">
        <v>1958</v>
      </c>
      <c r="K71" s="7" t="s">
        <v>1782</v>
      </c>
      <c r="L71" s="7"/>
      <c r="M71" s="7"/>
      <c r="N71" s="7" t="s">
        <v>600</v>
      </c>
      <c r="O71" s="7">
        <v>2</v>
      </c>
      <c r="P71" s="7"/>
      <c r="Q71" s="7"/>
      <c r="R71" s="7">
        <v>3</v>
      </c>
      <c r="S71" s="7">
        <v>3</v>
      </c>
      <c r="T71" s="7" t="s">
        <v>57</v>
      </c>
      <c r="U71" s="7" t="s">
        <v>155</v>
      </c>
    </row>
    <row r="72" spans="1:21" x14ac:dyDescent="0.3">
      <c r="A72" s="6" t="s">
        <v>2025</v>
      </c>
      <c r="B72" s="7" t="s">
        <v>1945</v>
      </c>
      <c r="C72" s="7" t="s">
        <v>1946</v>
      </c>
      <c r="D72" s="7" t="s">
        <v>15</v>
      </c>
      <c r="E72" s="7" t="s">
        <v>56</v>
      </c>
      <c r="F72" s="7"/>
      <c r="G72" s="7" t="s">
        <v>55</v>
      </c>
      <c r="H72" s="7" t="s">
        <v>2023</v>
      </c>
      <c r="I72" s="7" t="s">
        <v>1951</v>
      </c>
      <c r="J72" s="7" t="s">
        <v>1958</v>
      </c>
      <c r="K72" s="7" t="s">
        <v>1782</v>
      </c>
      <c r="L72" s="7"/>
      <c r="M72" s="7"/>
      <c r="N72" s="7" t="s">
        <v>610</v>
      </c>
      <c r="O72" s="7">
        <v>4</v>
      </c>
      <c r="P72" s="7"/>
      <c r="Q72" s="7"/>
      <c r="R72" s="7">
        <v>4</v>
      </c>
      <c r="S72" s="7">
        <v>4</v>
      </c>
      <c r="T72" s="7" t="s">
        <v>57</v>
      </c>
      <c r="U72" s="7" t="s">
        <v>155</v>
      </c>
    </row>
    <row r="73" spans="1:21" x14ac:dyDescent="0.3">
      <c r="A73" s="6" t="s">
        <v>2026</v>
      </c>
      <c r="B73" s="7" t="s">
        <v>1945</v>
      </c>
      <c r="C73" s="7" t="s">
        <v>1946</v>
      </c>
      <c r="D73" s="7" t="s">
        <v>15</v>
      </c>
      <c r="E73" s="7" t="s">
        <v>56</v>
      </c>
      <c r="F73" s="7"/>
      <c r="G73" s="7" t="s">
        <v>55</v>
      </c>
      <c r="H73" s="7" t="s">
        <v>2023</v>
      </c>
      <c r="I73" s="7" t="s">
        <v>1951</v>
      </c>
      <c r="J73" s="7" t="s">
        <v>1958</v>
      </c>
      <c r="K73" s="7" t="s">
        <v>1782</v>
      </c>
      <c r="L73" s="7"/>
      <c r="M73" s="7"/>
      <c r="N73" s="7" t="s">
        <v>1784</v>
      </c>
      <c r="O73" s="7">
        <v>7</v>
      </c>
      <c r="P73" s="7"/>
      <c r="Q73" s="7"/>
      <c r="R73" s="7">
        <v>3</v>
      </c>
      <c r="S73" s="7">
        <v>3</v>
      </c>
      <c r="T73" s="7" t="s">
        <v>57</v>
      </c>
      <c r="U73" s="7" t="s">
        <v>155</v>
      </c>
    </row>
    <row r="74" spans="1:21" x14ac:dyDescent="0.3">
      <c r="A74" s="6" t="s">
        <v>2027</v>
      </c>
      <c r="B74" s="7" t="s">
        <v>1945</v>
      </c>
      <c r="C74" s="7" t="s">
        <v>1946</v>
      </c>
      <c r="D74" s="7" t="s">
        <v>15</v>
      </c>
      <c r="E74" s="7" t="s">
        <v>56</v>
      </c>
      <c r="F74" s="7"/>
      <c r="G74" s="7" t="s">
        <v>55</v>
      </c>
      <c r="H74" s="7" t="s">
        <v>2023</v>
      </c>
      <c r="I74" s="7" t="s">
        <v>1951</v>
      </c>
      <c r="J74" s="7" t="s">
        <v>1958</v>
      </c>
      <c r="K74" s="7" t="s">
        <v>1782</v>
      </c>
      <c r="L74" s="7"/>
      <c r="M74" s="7"/>
      <c r="N74" s="7" t="s">
        <v>600</v>
      </c>
      <c r="O74" s="7">
        <v>2</v>
      </c>
      <c r="P74" s="7"/>
      <c r="Q74" s="7"/>
      <c r="R74" s="7">
        <v>2</v>
      </c>
      <c r="S74" s="7">
        <v>2</v>
      </c>
      <c r="T74" s="7" t="s">
        <v>57</v>
      </c>
      <c r="U74" s="7" t="s">
        <v>155</v>
      </c>
    </row>
    <row r="75" spans="1:21" x14ac:dyDescent="0.3">
      <c r="A75" s="6" t="s">
        <v>2028</v>
      </c>
      <c r="B75" s="7" t="s">
        <v>1945</v>
      </c>
      <c r="C75" s="7" t="s">
        <v>1946</v>
      </c>
      <c r="D75" s="7" t="s">
        <v>15</v>
      </c>
      <c r="E75" s="7" t="s">
        <v>56</v>
      </c>
      <c r="F75" s="7" t="s">
        <v>2029</v>
      </c>
      <c r="G75" s="7" t="s">
        <v>55</v>
      </c>
      <c r="H75" s="7" t="s">
        <v>2023</v>
      </c>
      <c r="I75" s="7" t="s">
        <v>1951</v>
      </c>
      <c r="J75" s="7" t="s">
        <v>1958</v>
      </c>
      <c r="K75" s="7" t="s">
        <v>1782</v>
      </c>
      <c r="L75" s="7"/>
      <c r="M75" s="7"/>
      <c r="N75" s="7" t="s">
        <v>588</v>
      </c>
      <c r="O75" s="7">
        <v>3</v>
      </c>
      <c r="P75" s="7"/>
      <c r="Q75" s="7"/>
      <c r="R75" s="7">
        <v>2</v>
      </c>
      <c r="S75" s="7">
        <v>2</v>
      </c>
      <c r="T75" s="7" t="s">
        <v>57</v>
      </c>
      <c r="U75" s="7" t="s">
        <v>155</v>
      </c>
    </row>
    <row r="76" spans="1:21" x14ac:dyDescent="0.3">
      <c r="A76" s="6" t="s">
        <v>2030</v>
      </c>
      <c r="B76" s="7" t="s">
        <v>1945</v>
      </c>
      <c r="C76" s="7" t="s">
        <v>1946</v>
      </c>
      <c r="D76" s="7" t="s">
        <v>15</v>
      </c>
      <c r="E76" s="7" t="s">
        <v>2031</v>
      </c>
      <c r="F76" s="7" t="s">
        <v>283</v>
      </c>
      <c r="G76" s="7" t="s">
        <v>2032</v>
      </c>
      <c r="H76" s="7" t="s">
        <v>2033</v>
      </c>
      <c r="I76" s="7" t="s">
        <v>1951</v>
      </c>
      <c r="J76" s="7" t="s">
        <v>1979</v>
      </c>
      <c r="K76" s="7" t="s">
        <v>1782</v>
      </c>
      <c r="L76" s="7"/>
      <c r="M76" s="7"/>
      <c r="N76" s="7" t="s">
        <v>672</v>
      </c>
      <c r="O76" s="7">
        <v>27</v>
      </c>
      <c r="P76" s="7"/>
      <c r="Q76" s="7">
        <v>2</v>
      </c>
      <c r="R76" s="7">
        <v>38</v>
      </c>
      <c r="S76" s="7">
        <v>40</v>
      </c>
      <c r="T76" s="7" t="s">
        <v>2034</v>
      </c>
      <c r="U76" s="7" t="s">
        <v>2035</v>
      </c>
    </row>
    <row r="77" spans="1:21" x14ac:dyDescent="0.3">
      <c r="A77" s="6" t="s">
        <v>2036</v>
      </c>
      <c r="B77" s="7" t="s">
        <v>1945</v>
      </c>
      <c r="C77" s="7" t="s">
        <v>1946</v>
      </c>
      <c r="D77" s="7" t="s">
        <v>15</v>
      </c>
      <c r="E77" s="7" t="s">
        <v>2031</v>
      </c>
      <c r="F77" s="7" t="s">
        <v>283</v>
      </c>
      <c r="G77" s="7" t="s">
        <v>2037</v>
      </c>
      <c r="H77" s="7" t="s">
        <v>2038</v>
      </c>
      <c r="I77" s="7" t="s">
        <v>1951</v>
      </c>
      <c r="J77" s="7" t="s">
        <v>1952</v>
      </c>
      <c r="K77" s="7" t="s">
        <v>1782</v>
      </c>
      <c r="L77" s="7"/>
      <c r="M77" s="7"/>
      <c r="N77" s="7"/>
      <c r="O77" s="7"/>
      <c r="P77" s="7"/>
      <c r="Q77" s="7">
        <v>1</v>
      </c>
      <c r="R77" s="7">
        <v>11</v>
      </c>
      <c r="S77" s="7">
        <v>12</v>
      </c>
      <c r="T77" s="7" t="s">
        <v>82</v>
      </c>
      <c r="U77" s="7" t="s">
        <v>2039</v>
      </c>
    </row>
    <row r="78" spans="1:21" x14ac:dyDescent="0.3">
      <c r="A78" s="6" t="s">
        <v>2040</v>
      </c>
      <c r="B78" s="7" t="s">
        <v>1945</v>
      </c>
      <c r="C78" s="7" t="s">
        <v>1946</v>
      </c>
      <c r="D78" s="7" t="s">
        <v>15</v>
      </c>
      <c r="E78" s="7" t="s">
        <v>1203</v>
      </c>
      <c r="F78" s="7" t="s">
        <v>1204</v>
      </c>
      <c r="G78" s="7" t="s">
        <v>2041</v>
      </c>
      <c r="H78" s="7" t="s">
        <v>2042</v>
      </c>
      <c r="I78" s="7" t="s">
        <v>2043</v>
      </c>
      <c r="J78" s="7" t="s">
        <v>2044</v>
      </c>
      <c r="K78" s="7" t="s">
        <v>1782</v>
      </c>
      <c r="L78" s="7"/>
      <c r="M78" s="7"/>
      <c r="N78" s="7" t="s">
        <v>610</v>
      </c>
      <c r="O78" s="7">
        <v>4</v>
      </c>
      <c r="P78" s="7"/>
      <c r="Q78" s="7">
        <v>2</v>
      </c>
      <c r="R78" s="7">
        <v>2</v>
      </c>
      <c r="S78" s="7">
        <v>4</v>
      </c>
      <c r="T78" s="7" t="s">
        <v>2045</v>
      </c>
      <c r="U78" s="7" t="s">
        <v>1218</v>
      </c>
    </row>
    <row r="79" spans="1:21" x14ac:dyDescent="0.3">
      <c r="A79" s="6" t="s">
        <v>2046</v>
      </c>
      <c r="B79" s="7" t="s">
        <v>1945</v>
      </c>
      <c r="C79" s="7" t="s">
        <v>1946</v>
      </c>
      <c r="D79" s="7" t="s">
        <v>15</v>
      </c>
      <c r="E79" s="7" t="s">
        <v>1203</v>
      </c>
      <c r="F79" s="7" t="s">
        <v>1204</v>
      </c>
      <c r="G79" s="7" t="s">
        <v>2047</v>
      </c>
      <c r="H79" s="7" t="s">
        <v>2042</v>
      </c>
      <c r="I79" s="7" t="s">
        <v>1962</v>
      </c>
      <c r="J79" s="7" t="s">
        <v>2044</v>
      </c>
      <c r="K79" s="7" t="s">
        <v>1782</v>
      </c>
      <c r="L79" s="7"/>
      <c r="M79" s="7"/>
      <c r="N79" s="7" t="s">
        <v>706</v>
      </c>
      <c r="O79" s="7">
        <v>35</v>
      </c>
      <c r="P79" s="7"/>
      <c r="Q79" s="7">
        <v>11</v>
      </c>
      <c r="R79" s="7">
        <v>23</v>
      </c>
      <c r="S79" s="7">
        <v>34</v>
      </c>
      <c r="T79" s="7" t="s">
        <v>2045</v>
      </c>
      <c r="U79" s="7" t="s">
        <v>1218</v>
      </c>
    </row>
    <row r="80" spans="1:21" x14ac:dyDescent="0.3">
      <c r="A80" s="6" t="s">
        <v>2048</v>
      </c>
      <c r="B80" s="7" t="s">
        <v>1945</v>
      </c>
      <c r="C80" s="7" t="s">
        <v>1946</v>
      </c>
      <c r="D80" s="7" t="s">
        <v>15</v>
      </c>
      <c r="E80" s="7" t="s">
        <v>1203</v>
      </c>
      <c r="F80" s="7" t="s">
        <v>1204</v>
      </c>
      <c r="G80" s="7" t="s">
        <v>2049</v>
      </c>
      <c r="H80" s="7" t="s">
        <v>2042</v>
      </c>
      <c r="I80" s="7" t="s">
        <v>1962</v>
      </c>
      <c r="J80" s="7" t="s">
        <v>2044</v>
      </c>
      <c r="K80" s="7" t="s">
        <v>1782</v>
      </c>
      <c r="L80" s="7"/>
      <c r="M80" s="7"/>
      <c r="N80" s="7" t="s">
        <v>610</v>
      </c>
      <c r="O80" s="7">
        <v>4</v>
      </c>
      <c r="P80" s="7"/>
      <c r="Q80" s="7">
        <v>0</v>
      </c>
      <c r="R80" s="7">
        <v>4</v>
      </c>
      <c r="S80" s="7">
        <v>4</v>
      </c>
      <c r="T80" s="7" t="s">
        <v>2045</v>
      </c>
      <c r="U80" s="7" t="s">
        <v>1218</v>
      </c>
    </row>
    <row r="81" spans="1:21" x14ac:dyDescent="0.3">
      <c r="A81" s="6" t="s">
        <v>2050</v>
      </c>
      <c r="B81" s="7" t="s">
        <v>1945</v>
      </c>
      <c r="C81" s="7" t="s">
        <v>1946</v>
      </c>
      <c r="D81" s="7" t="s">
        <v>15</v>
      </c>
      <c r="E81" s="7" t="s">
        <v>2051</v>
      </c>
      <c r="F81" s="7" t="s">
        <v>2052</v>
      </c>
      <c r="G81" s="7" t="s">
        <v>2053</v>
      </c>
      <c r="H81" s="7" t="s">
        <v>2054</v>
      </c>
      <c r="I81" s="7" t="s">
        <v>1951</v>
      </c>
      <c r="J81" s="7" t="s">
        <v>2055</v>
      </c>
      <c r="K81" s="7" t="s">
        <v>1782</v>
      </c>
      <c r="L81" s="7"/>
      <c r="M81" s="7"/>
      <c r="N81" s="7" t="s">
        <v>617</v>
      </c>
      <c r="O81" s="7">
        <v>11</v>
      </c>
      <c r="P81" s="7"/>
      <c r="Q81" s="7">
        <v>1</v>
      </c>
      <c r="R81" s="7">
        <v>6</v>
      </c>
      <c r="S81" s="7">
        <v>7</v>
      </c>
      <c r="T81" s="7" t="s">
        <v>160</v>
      </c>
      <c r="U81" s="7" t="s">
        <v>683</v>
      </c>
    </row>
    <row r="82" spans="1:21" x14ac:dyDescent="0.3">
      <c r="A82" s="6" t="s">
        <v>2056</v>
      </c>
      <c r="B82" s="7" t="s">
        <v>1945</v>
      </c>
      <c r="C82" s="7" t="s">
        <v>1946</v>
      </c>
      <c r="D82" s="7" t="s">
        <v>15</v>
      </c>
      <c r="E82" s="7" t="s">
        <v>2057</v>
      </c>
      <c r="F82" s="7" t="s">
        <v>2058</v>
      </c>
      <c r="G82" s="7" t="s">
        <v>2059</v>
      </c>
      <c r="H82" s="7" t="s">
        <v>2060</v>
      </c>
      <c r="I82" s="7" t="s">
        <v>1951</v>
      </c>
      <c r="J82" s="7" t="s">
        <v>1952</v>
      </c>
      <c r="K82" s="7" t="s">
        <v>1782</v>
      </c>
      <c r="L82" s="7"/>
      <c r="M82" s="7"/>
      <c r="N82" s="7"/>
      <c r="O82" s="7"/>
      <c r="P82" s="7"/>
      <c r="Q82" s="7"/>
      <c r="R82" s="7">
        <v>15</v>
      </c>
      <c r="S82" s="7">
        <v>15</v>
      </c>
      <c r="T82" s="7" t="s">
        <v>2061</v>
      </c>
      <c r="U82" s="7" t="s">
        <v>404</v>
      </c>
    </row>
    <row r="83" spans="1:21" x14ac:dyDescent="0.3">
      <c r="A83" s="6" t="s">
        <v>2062</v>
      </c>
      <c r="B83" s="7" t="s">
        <v>1945</v>
      </c>
      <c r="C83" s="7" t="s">
        <v>1946</v>
      </c>
      <c r="D83" s="7" t="s">
        <v>15</v>
      </c>
      <c r="E83" s="7" t="s">
        <v>2063</v>
      </c>
      <c r="F83" s="7" t="s">
        <v>2064</v>
      </c>
      <c r="G83" s="7" t="s">
        <v>2065</v>
      </c>
      <c r="H83" s="7" t="s">
        <v>2066</v>
      </c>
      <c r="I83" s="7" t="s">
        <v>2067</v>
      </c>
      <c r="J83" s="7" t="s">
        <v>2068</v>
      </c>
      <c r="K83" s="7" t="s">
        <v>1782</v>
      </c>
      <c r="L83" s="7"/>
      <c r="M83" s="7"/>
      <c r="N83" s="7" t="s">
        <v>1787</v>
      </c>
      <c r="O83" s="7">
        <v>12</v>
      </c>
      <c r="P83" s="7"/>
      <c r="Q83" s="7">
        <v>2</v>
      </c>
      <c r="R83" s="7">
        <v>10</v>
      </c>
      <c r="S83" s="7">
        <v>12</v>
      </c>
      <c r="T83" s="7" t="s">
        <v>496</v>
      </c>
      <c r="U83" s="7" t="s">
        <v>404</v>
      </c>
    </row>
    <row r="84" spans="1:21" x14ac:dyDescent="0.3">
      <c r="A84" s="6" t="s">
        <v>2069</v>
      </c>
      <c r="B84" s="7" t="s">
        <v>1945</v>
      </c>
      <c r="C84" s="7" t="s">
        <v>1946</v>
      </c>
      <c r="D84" s="7" t="s">
        <v>15</v>
      </c>
      <c r="E84" s="7" t="s">
        <v>63</v>
      </c>
      <c r="F84" s="7" t="s">
        <v>2070</v>
      </c>
      <c r="G84" s="7" t="s">
        <v>2071</v>
      </c>
      <c r="H84" s="7" t="s">
        <v>2072</v>
      </c>
      <c r="I84" s="7" t="s">
        <v>1951</v>
      </c>
      <c r="J84" s="7" t="s">
        <v>1952</v>
      </c>
      <c r="K84" s="7" t="s">
        <v>1782</v>
      </c>
      <c r="L84" s="7"/>
      <c r="M84" s="7"/>
      <c r="N84" s="7" t="s">
        <v>986</v>
      </c>
      <c r="O84" s="7">
        <v>125</v>
      </c>
      <c r="P84" s="7"/>
      <c r="Q84" s="7">
        <v>0</v>
      </c>
      <c r="R84" s="7">
        <v>5</v>
      </c>
      <c r="S84" s="7">
        <v>5</v>
      </c>
      <c r="T84" s="7" t="s">
        <v>64</v>
      </c>
      <c r="U84" s="7" t="s">
        <v>1518</v>
      </c>
    </row>
    <row r="85" spans="1:21" x14ac:dyDescent="0.3">
      <c r="A85" s="6" t="s">
        <v>2073</v>
      </c>
      <c r="B85" s="7" t="s">
        <v>1945</v>
      </c>
      <c r="C85" s="7" t="s">
        <v>1946</v>
      </c>
      <c r="D85" s="7" t="s">
        <v>15</v>
      </c>
      <c r="E85" s="7" t="s">
        <v>63</v>
      </c>
      <c r="F85" s="7" t="s">
        <v>2070</v>
      </c>
      <c r="G85" s="7" t="s">
        <v>2074</v>
      </c>
      <c r="H85" s="7" t="s">
        <v>2075</v>
      </c>
      <c r="I85" s="7" t="s">
        <v>1962</v>
      </c>
      <c r="J85" s="7" t="s">
        <v>2076</v>
      </c>
      <c r="K85" s="7" t="s">
        <v>1782</v>
      </c>
      <c r="L85" s="7"/>
      <c r="M85" s="7"/>
      <c r="N85" s="7" t="s">
        <v>650</v>
      </c>
      <c r="O85" s="7">
        <v>18</v>
      </c>
      <c r="P85" s="7"/>
      <c r="Q85" s="7">
        <v>1</v>
      </c>
      <c r="R85" s="7">
        <v>54</v>
      </c>
      <c r="S85" s="7">
        <v>55</v>
      </c>
      <c r="T85" s="7" t="s">
        <v>1684</v>
      </c>
      <c r="U85" s="7" t="s">
        <v>746</v>
      </c>
    </row>
    <row r="86" spans="1:21" x14ac:dyDescent="0.3">
      <c r="A86" s="6" t="s">
        <v>2077</v>
      </c>
      <c r="B86" s="7" t="s">
        <v>1945</v>
      </c>
      <c r="C86" s="7" t="s">
        <v>1946</v>
      </c>
      <c r="D86" s="7" t="s">
        <v>15</v>
      </c>
      <c r="E86" s="7" t="s">
        <v>63</v>
      </c>
      <c r="F86" s="7" t="s">
        <v>2070</v>
      </c>
      <c r="G86" s="7" t="s">
        <v>2078</v>
      </c>
      <c r="H86" s="7" t="s">
        <v>2079</v>
      </c>
      <c r="I86" s="7" t="s">
        <v>1962</v>
      </c>
      <c r="J86" s="7" t="s">
        <v>2076</v>
      </c>
      <c r="K86" s="7" t="s">
        <v>1782</v>
      </c>
      <c r="L86" s="7"/>
      <c r="M86" s="7"/>
      <c r="N86" s="7" t="s">
        <v>1729</v>
      </c>
      <c r="O86" s="7">
        <v>0</v>
      </c>
      <c r="P86" s="7"/>
      <c r="Q86" s="7">
        <v>0</v>
      </c>
      <c r="R86" s="7">
        <v>10</v>
      </c>
      <c r="S86" s="7">
        <v>10</v>
      </c>
      <c r="T86" s="7" t="s">
        <v>1684</v>
      </c>
      <c r="U86" s="7" t="s">
        <v>746</v>
      </c>
    </row>
    <row r="87" spans="1:21" x14ac:dyDescent="0.3">
      <c r="A87" s="6" t="s">
        <v>2080</v>
      </c>
      <c r="B87" s="7" t="s">
        <v>1945</v>
      </c>
      <c r="C87" s="7" t="s">
        <v>1946</v>
      </c>
      <c r="D87" s="7" t="s">
        <v>15</v>
      </c>
      <c r="E87" s="7" t="s">
        <v>63</v>
      </c>
      <c r="F87" s="7" t="s">
        <v>2070</v>
      </c>
      <c r="G87" s="7" t="s">
        <v>62</v>
      </c>
      <c r="H87" s="7" t="s">
        <v>2081</v>
      </c>
      <c r="I87" s="7" t="s">
        <v>1962</v>
      </c>
      <c r="J87" s="7" t="s">
        <v>1958</v>
      </c>
      <c r="K87" s="7" t="s">
        <v>1782</v>
      </c>
      <c r="L87" s="7"/>
      <c r="M87" s="7"/>
      <c r="N87" s="7" t="s">
        <v>846</v>
      </c>
      <c r="O87" s="7">
        <v>91</v>
      </c>
      <c r="P87" s="7"/>
      <c r="Q87" s="7">
        <v>6</v>
      </c>
      <c r="R87" s="7">
        <v>65</v>
      </c>
      <c r="S87" s="7">
        <v>71</v>
      </c>
      <c r="T87" s="7" t="s">
        <v>64</v>
      </c>
      <c r="U87" s="7" t="s">
        <v>404</v>
      </c>
    </row>
    <row r="88" spans="1:21" x14ac:dyDescent="0.3">
      <c r="A88" s="6" t="s">
        <v>2082</v>
      </c>
      <c r="B88" s="7" t="s">
        <v>1945</v>
      </c>
      <c r="C88" s="7" t="s">
        <v>1946</v>
      </c>
      <c r="D88" s="7" t="s">
        <v>15</v>
      </c>
      <c r="E88" s="7" t="s">
        <v>63</v>
      </c>
      <c r="F88" s="7" t="s">
        <v>2083</v>
      </c>
      <c r="G88" s="7" t="s">
        <v>62</v>
      </c>
      <c r="H88" s="7" t="s">
        <v>2023</v>
      </c>
      <c r="I88" s="7" t="s">
        <v>1962</v>
      </c>
      <c r="J88" s="7" t="s">
        <v>2076</v>
      </c>
      <c r="K88" s="7" t="s">
        <v>1782</v>
      </c>
      <c r="L88" s="7"/>
      <c r="M88" s="7"/>
      <c r="N88" s="7" t="s">
        <v>588</v>
      </c>
      <c r="O88" s="7">
        <v>3</v>
      </c>
      <c r="P88" s="7"/>
      <c r="Q88" s="7">
        <v>0</v>
      </c>
      <c r="R88" s="7">
        <v>3</v>
      </c>
      <c r="S88" s="7">
        <v>3</v>
      </c>
      <c r="T88" s="7" t="s">
        <v>64</v>
      </c>
      <c r="U88" s="7" t="s">
        <v>404</v>
      </c>
    </row>
    <row r="89" spans="1:21" x14ac:dyDescent="0.3">
      <c r="A89" s="6" t="s">
        <v>2084</v>
      </c>
      <c r="B89" s="7" t="s">
        <v>1945</v>
      </c>
      <c r="C89" s="7" t="s">
        <v>1946</v>
      </c>
      <c r="D89" s="7" t="s">
        <v>15</v>
      </c>
      <c r="E89" s="7" t="s">
        <v>63</v>
      </c>
      <c r="F89" s="7"/>
      <c r="G89" s="7" t="s">
        <v>62</v>
      </c>
      <c r="H89" s="7" t="s">
        <v>2023</v>
      </c>
      <c r="I89" s="7" t="s">
        <v>1962</v>
      </c>
      <c r="J89" s="7" t="s">
        <v>2076</v>
      </c>
      <c r="K89" s="7" t="s">
        <v>1782</v>
      </c>
      <c r="L89" s="7"/>
      <c r="M89" s="7"/>
      <c r="N89" s="7" t="s">
        <v>600</v>
      </c>
      <c r="O89" s="7">
        <v>2</v>
      </c>
      <c r="P89" s="7"/>
      <c r="Q89" s="7">
        <v>1</v>
      </c>
      <c r="R89" s="7">
        <v>1</v>
      </c>
      <c r="S89" s="7">
        <v>2</v>
      </c>
      <c r="T89" s="7" t="s">
        <v>64</v>
      </c>
      <c r="U89" s="7" t="s">
        <v>404</v>
      </c>
    </row>
    <row r="90" spans="1:21" x14ac:dyDescent="0.3">
      <c r="A90" s="6" t="s">
        <v>2085</v>
      </c>
      <c r="B90" s="7" t="s">
        <v>1945</v>
      </c>
      <c r="C90" s="7" t="s">
        <v>1946</v>
      </c>
      <c r="D90" s="7" t="s">
        <v>15</v>
      </c>
      <c r="E90" s="7" t="s">
        <v>2086</v>
      </c>
      <c r="F90" s="7" t="s">
        <v>2087</v>
      </c>
      <c r="G90" s="7" t="s">
        <v>2088</v>
      </c>
      <c r="H90" s="7" t="s">
        <v>2089</v>
      </c>
      <c r="I90" s="7" t="s">
        <v>1951</v>
      </c>
      <c r="J90" s="7" t="s">
        <v>2090</v>
      </c>
      <c r="K90" s="7" t="s">
        <v>1782</v>
      </c>
      <c r="L90" s="7"/>
      <c r="M90" s="7"/>
      <c r="N90" s="7" t="s">
        <v>594</v>
      </c>
      <c r="O90" s="7">
        <v>1</v>
      </c>
      <c r="P90" s="7"/>
      <c r="Q90" s="7"/>
      <c r="R90" s="7">
        <v>1</v>
      </c>
      <c r="S90" s="7">
        <v>1</v>
      </c>
      <c r="T90" s="7"/>
      <c r="U90" s="7"/>
    </row>
    <row r="91" spans="1:21" x14ac:dyDescent="0.3">
      <c r="A91" s="6" t="s">
        <v>2091</v>
      </c>
      <c r="B91" s="7" t="s">
        <v>1945</v>
      </c>
      <c r="C91" s="7" t="s">
        <v>1946</v>
      </c>
      <c r="D91" s="7" t="s">
        <v>15</v>
      </c>
      <c r="E91" s="7" t="s">
        <v>2092</v>
      </c>
      <c r="F91" s="7" t="s">
        <v>2093</v>
      </c>
      <c r="G91" s="7" t="s">
        <v>2094</v>
      </c>
      <c r="H91" s="7" t="s">
        <v>2095</v>
      </c>
      <c r="I91" s="7" t="s">
        <v>128</v>
      </c>
      <c r="J91" s="7" t="s">
        <v>2044</v>
      </c>
      <c r="K91" s="7" t="s">
        <v>1782</v>
      </c>
      <c r="L91" s="7"/>
      <c r="M91" s="7"/>
      <c r="N91" s="7" t="s">
        <v>594</v>
      </c>
      <c r="O91" s="7">
        <v>1</v>
      </c>
      <c r="P91" s="7"/>
      <c r="Q91" s="7">
        <v>2</v>
      </c>
      <c r="R91" s="7"/>
      <c r="S91" s="7">
        <v>2</v>
      </c>
      <c r="T91" s="7" t="s">
        <v>2096</v>
      </c>
      <c r="U91" s="7" t="s">
        <v>189</v>
      </c>
    </row>
    <row r="92" spans="1:21" x14ac:dyDescent="0.3">
      <c r="A92" s="6" t="s">
        <v>2097</v>
      </c>
      <c r="B92" s="7" t="s">
        <v>1945</v>
      </c>
      <c r="C92" s="7" t="s">
        <v>1946</v>
      </c>
      <c r="D92" s="7" t="s">
        <v>15</v>
      </c>
      <c r="E92" s="7" t="s">
        <v>2092</v>
      </c>
      <c r="F92" s="7" t="s">
        <v>2093</v>
      </c>
      <c r="G92" s="7" t="s">
        <v>2098</v>
      </c>
      <c r="H92" s="7" t="s">
        <v>2099</v>
      </c>
      <c r="I92" s="7" t="s">
        <v>1951</v>
      </c>
      <c r="J92" s="7" t="s">
        <v>2044</v>
      </c>
      <c r="K92" s="7" t="s">
        <v>1782</v>
      </c>
      <c r="L92" s="7"/>
      <c r="M92" s="7"/>
      <c r="N92" s="7" t="s">
        <v>594</v>
      </c>
      <c r="O92" s="7">
        <v>1</v>
      </c>
      <c r="P92" s="7"/>
      <c r="Q92" s="7">
        <v>2</v>
      </c>
      <c r="R92" s="7"/>
      <c r="S92" s="7">
        <v>2</v>
      </c>
      <c r="T92" s="7" t="s">
        <v>270</v>
      </c>
      <c r="U92" s="7" t="s">
        <v>319</v>
      </c>
    </row>
    <row r="93" spans="1:21" x14ac:dyDescent="0.3">
      <c r="A93" s="6" t="s">
        <v>2100</v>
      </c>
      <c r="B93" s="7" t="s">
        <v>1945</v>
      </c>
      <c r="C93" s="7" t="s">
        <v>1946</v>
      </c>
      <c r="D93" s="7" t="s">
        <v>15</v>
      </c>
      <c r="E93" s="7" t="s">
        <v>1568</v>
      </c>
      <c r="F93" s="7" t="s">
        <v>1569</v>
      </c>
      <c r="G93" s="7" t="s">
        <v>2101</v>
      </c>
      <c r="H93" s="7" t="s">
        <v>2102</v>
      </c>
      <c r="I93" s="7" t="s">
        <v>128</v>
      </c>
      <c r="J93" s="7" t="s">
        <v>2044</v>
      </c>
      <c r="K93" s="7" t="s">
        <v>1782</v>
      </c>
      <c r="L93" s="7"/>
      <c r="M93" s="7"/>
      <c r="N93" s="7" t="s">
        <v>588</v>
      </c>
      <c r="O93" s="7">
        <v>3</v>
      </c>
      <c r="P93" s="7"/>
      <c r="Q93" s="7">
        <v>1</v>
      </c>
      <c r="R93" s="7">
        <v>2</v>
      </c>
      <c r="S93" s="7">
        <v>3</v>
      </c>
      <c r="T93" s="7" t="s">
        <v>82</v>
      </c>
      <c r="U93" s="7" t="s">
        <v>199</v>
      </c>
    </row>
    <row r="94" spans="1:21" x14ac:dyDescent="0.3">
      <c r="A94" s="6" t="s">
        <v>2103</v>
      </c>
      <c r="B94" s="7" t="s">
        <v>1945</v>
      </c>
      <c r="C94" s="7" t="s">
        <v>1946</v>
      </c>
      <c r="D94" s="7" t="s">
        <v>15</v>
      </c>
      <c r="E94" s="7" t="s">
        <v>51</v>
      </c>
      <c r="F94" s="7" t="s">
        <v>1153</v>
      </c>
      <c r="G94" s="7" t="s">
        <v>50</v>
      </c>
      <c r="H94" s="7" t="s">
        <v>2104</v>
      </c>
      <c r="I94" s="7" t="s">
        <v>1951</v>
      </c>
      <c r="J94" s="7" t="s">
        <v>2105</v>
      </c>
      <c r="K94" s="7" t="s">
        <v>1782</v>
      </c>
      <c r="L94" s="7"/>
      <c r="M94" s="7"/>
      <c r="N94" s="7" t="s">
        <v>325</v>
      </c>
      <c r="O94" s="7">
        <v>291</v>
      </c>
      <c r="P94" s="7"/>
      <c r="Q94" s="7">
        <v>27</v>
      </c>
      <c r="R94" s="7">
        <v>252</v>
      </c>
      <c r="S94" s="7">
        <v>279</v>
      </c>
      <c r="T94" s="7" t="s">
        <v>52</v>
      </c>
      <c r="U94" s="7" t="s">
        <v>901</v>
      </c>
    </row>
    <row r="95" spans="1:21" x14ac:dyDescent="0.3">
      <c r="A95" s="6" t="s">
        <v>2106</v>
      </c>
      <c r="B95" s="7" t="s">
        <v>1945</v>
      </c>
      <c r="C95" s="7" t="s">
        <v>1946</v>
      </c>
      <c r="D95" s="7" t="s">
        <v>15</v>
      </c>
      <c r="E95" s="7" t="s">
        <v>51</v>
      </c>
      <c r="F95" s="7" t="s">
        <v>2083</v>
      </c>
      <c r="G95" s="7" t="s">
        <v>50</v>
      </c>
      <c r="H95" s="7" t="s">
        <v>2023</v>
      </c>
      <c r="I95" s="7" t="s">
        <v>1951</v>
      </c>
      <c r="J95" s="7" t="s">
        <v>1952</v>
      </c>
      <c r="K95" s="7" t="s">
        <v>1782</v>
      </c>
      <c r="L95" s="7"/>
      <c r="M95" s="7"/>
      <c r="N95" s="7" t="s">
        <v>613</v>
      </c>
      <c r="O95" s="7">
        <v>8</v>
      </c>
      <c r="P95" s="7"/>
      <c r="Q95" s="7"/>
      <c r="R95" s="7">
        <v>8</v>
      </c>
      <c r="S95" s="7">
        <v>8</v>
      </c>
      <c r="T95" s="7" t="s">
        <v>52</v>
      </c>
      <c r="U95" s="7" t="s">
        <v>901</v>
      </c>
    </row>
    <row r="96" spans="1:21" x14ac:dyDescent="0.3">
      <c r="A96" s="6" t="s">
        <v>2107</v>
      </c>
      <c r="B96" s="7" t="s">
        <v>1945</v>
      </c>
      <c r="C96" s="7" t="s">
        <v>1946</v>
      </c>
      <c r="D96" s="7" t="s">
        <v>15</v>
      </c>
      <c r="E96" s="7" t="s">
        <v>51</v>
      </c>
      <c r="F96" s="7"/>
      <c r="G96" s="7" t="s">
        <v>50</v>
      </c>
      <c r="H96" s="7" t="s">
        <v>2023</v>
      </c>
      <c r="I96" s="7" t="s">
        <v>1951</v>
      </c>
      <c r="J96" s="7" t="s">
        <v>1952</v>
      </c>
      <c r="K96" s="7" t="s">
        <v>1782</v>
      </c>
      <c r="L96" s="7"/>
      <c r="M96" s="7"/>
      <c r="N96" s="7" t="s">
        <v>623</v>
      </c>
      <c r="O96" s="7">
        <v>10</v>
      </c>
      <c r="P96" s="7"/>
      <c r="Q96" s="7"/>
      <c r="R96" s="7">
        <v>10</v>
      </c>
      <c r="S96" s="7">
        <v>10</v>
      </c>
      <c r="T96" s="7" t="s">
        <v>52</v>
      </c>
      <c r="U96" s="7" t="s">
        <v>901</v>
      </c>
    </row>
    <row r="97" spans="1:21" x14ac:dyDescent="0.3">
      <c r="A97" s="6" t="s">
        <v>2108</v>
      </c>
      <c r="B97" s="7" t="s">
        <v>1945</v>
      </c>
      <c r="C97" s="7" t="s">
        <v>1946</v>
      </c>
      <c r="D97" s="7" t="s">
        <v>15</v>
      </c>
      <c r="E97" s="7" t="s">
        <v>51</v>
      </c>
      <c r="F97" s="7" t="s">
        <v>877</v>
      </c>
      <c r="G97" s="7" t="s">
        <v>50</v>
      </c>
      <c r="H97" s="7" t="s">
        <v>2023</v>
      </c>
      <c r="I97" s="7" t="s">
        <v>1951</v>
      </c>
      <c r="J97" s="7" t="s">
        <v>1952</v>
      </c>
      <c r="K97" s="7" t="s">
        <v>1782</v>
      </c>
      <c r="L97" s="7"/>
      <c r="M97" s="7"/>
      <c r="N97" s="7" t="s">
        <v>600</v>
      </c>
      <c r="O97" s="7">
        <v>2</v>
      </c>
      <c r="P97" s="7"/>
      <c r="Q97" s="7"/>
      <c r="R97" s="7">
        <v>2</v>
      </c>
      <c r="S97" s="7">
        <v>2</v>
      </c>
      <c r="T97" s="7" t="s">
        <v>52</v>
      </c>
      <c r="U97" s="7" t="s">
        <v>901</v>
      </c>
    </row>
    <row r="98" spans="1:21" x14ac:dyDescent="0.3">
      <c r="A98" s="6" t="s">
        <v>2109</v>
      </c>
      <c r="B98" s="7" t="s">
        <v>1945</v>
      </c>
      <c r="C98" s="7" t="s">
        <v>1946</v>
      </c>
      <c r="D98" s="7" t="s">
        <v>15</v>
      </c>
      <c r="E98" s="7" t="s">
        <v>51</v>
      </c>
      <c r="F98" s="7"/>
      <c r="G98" s="7" t="s">
        <v>50</v>
      </c>
      <c r="H98" s="7" t="s">
        <v>2023</v>
      </c>
      <c r="I98" s="7" t="s">
        <v>1951</v>
      </c>
      <c r="J98" s="7" t="s">
        <v>1952</v>
      </c>
      <c r="K98" s="7" t="s">
        <v>1782</v>
      </c>
      <c r="L98" s="7"/>
      <c r="M98" s="7"/>
      <c r="N98" s="7" t="s">
        <v>600</v>
      </c>
      <c r="O98" s="7">
        <v>2</v>
      </c>
      <c r="P98" s="7"/>
      <c r="Q98" s="7"/>
      <c r="R98" s="7">
        <v>2</v>
      </c>
      <c r="S98" s="7">
        <v>2</v>
      </c>
      <c r="T98" s="7" t="s">
        <v>52</v>
      </c>
      <c r="U98" s="7" t="s">
        <v>901</v>
      </c>
    </row>
    <row r="99" spans="1:21" x14ac:dyDescent="0.3">
      <c r="A99" s="6" t="s">
        <v>2110</v>
      </c>
      <c r="B99" s="7" t="s">
        <v>1945</v>
      </c>
      <c r="C99" s="7" t="s">
        <v>1946</v>
      </c>
      <c r="D99" s="7" t="s">
        <v>15</v>
      </c>
      <c r="E99" s="7" t="s">
        <v>51</v>
      </c>
      <c r="F99" s="7" t="s">
        <v>2111</v>
      </c>
      <c r="G99" s="7" t="s">
        <v>50</v>
      </c>
      <c r="H99" s="7" t="s">
        <v>2023</v>
      </c>
      <c r="I99" s="7" t="s">
        <v>1951</v>
      </c>
      <c r="J99" s="7" t="s">
        <v>1952</v>
      </c>
      <c r="K99" s="7" t="s">
        <v>1782</v>
      </c>
      <c r="L99" s="7"/>
      <c r="M99" s="7"/>
      <c r="N99" s="7" t="s">
        <v>610</v>
      </c>
      <c r="O99" s="7">
        <v>4</v>
      </c>
      <c r="P99" s="7"/>
      <c r="Q99" s="7">
        <v>4</v>
      </c>
      <c r="R99" s="7">
        <v>1</v>
      </c>
      <c r="S99" s="7">
        <v>5</v>
      </c>
      <c r="T99" s="7" t="s">
        <v>52</v>
      </c>
      <c r="U99" s="7" t="s">
        <v>901</v>
      </c>
    </row>
    <row r="100" spans="1:21" x14ac:dyDescent="0.3">
      <c r="A100" s="6" t="s">
        <v>2112</v>
      </c>
      <c r="B100" s="7" t="s">
        <v>1945</v>
      </c>
      <c r="C100" s="7" t="s">
        <v>1946</v>
      </c>
      <c r="D100" s="7" t="s">
        <v>15</v>
      </c>
      <c r="E100" s="7" t="s">
        <v>51</v>
      </c>
      <c r="F100" s="7" t="s">
        <v>2113</v>
      </c>
      <c r="G100" s="7" t="s">
        <v>50</v>
      </c>
      <c r="H100" s="7" t="s">
        <v>2023</v>
      </c>
      <c r="I100" s="7" t="s">
        <v>1951</v>
      </c>
      <c r="J100" s="7" t="s">
        <v>1952</v>
      </c>
      <c r="K100" s="7" t="s">
        <v>1782</v>
      </c>
      <c r="L100" s="7"/>
      <c r="M100" s="7"/>
      <c r="N100" s="7" t="s">
        <v>626</v>
      </c>
      <c r="O100" s="7">
        <v>13</v>
      </c>
      <c r="P100" s="7"/>
      <c r="Q100" s="7"/>
      <c r="R100" s="7">
        <v>8</v>
      </c>
      <c r="S100" s="7">
        <v>8</v>
      </c>
      <c r="T100" s="7" t="s">
        <v>52</v>
      </c>
      <c r="U100" s="7" t="s">
        <v>901</v>
      </c>
    </row>
    <row r="101" spans="1:21" x14ac:dyDescent="0.3">
      <c r="A101" s="6" t="s">
        <v>2114</v>
      </c>
      <c r="B101" s="7" t="s">
        <v>1945</v>
      </c>
      <c r="C101" s="7" t="s">
        <v>1946</v>
      </c>
      <c r="D101" s="7" t="s">
        <v>15</v>
      </c>
      <c r="E101" s="7" t="s">
        <v>2115</v>
      </c>
      <c r="F101" s="7" t="s">
        <v>2116</v>
      </c>
      <c r="G101" s="7" t="s">
        <v>2117</v>
      </c>
      <c r="H101" s="7" t="s">
        <v>2118</v>
      </c>
      <c r="I101" s="7" t="s">
        <v>1951</v>
      </c>
      <c r="J101" s="7" t="s">
        <v>1979</v>
      </c>
      <c r="K101" s="7" t="s">
        <v>1782</v>
      </c>
      <c r="L101" s="7"/>
      <c r="M101" s="7"/>
      <c r="N101" s="7" t="s">
        <v>650</v>
      </c>
      <c r="O101" s="7">
        <v>18</v>
      </c>
      <c r="P101" s="7"/>
      <c r="Q101" s="7">
        <v>1</v>
      </c>
      <c r="R101" s="7">
        <v>1</v>
      </c>
      <c r="S101" s="7">
        <v>2</v>
      </c>
      <c r="T101" s="7" t="s">
        <v>154</v>
      </c>
      <c r="U101" s="7" t="s">
        <v>1131</v>
      </c>
    </row>
    <row r="102" spans="1:21" x14ac:dyDescent="0.3">
      <c r="A102" s="6" t="s">
        <v>2119</v>
      </c>
      <c r="B102" s="7" t="s">
        <v>1945</v>
      </c>
      <c r="C102" s="7" t="s">
        <v>1946</v>
      </c>
      <c r="D102" s="7" t="s">
        <v>15</v>
      </c>
      <c r="E102" s="7" t="s">
        <v>2120</v>
      </c>
      <c r="F102" s="7" t="s">
        <v>2121</v>
      </c>
      <c r="G102" s="7" t="s">
        <v>2122</v>
      </c>
      <c r="H102" s="7" t="s">
        <v>2123</v>
      </c>
      <c r="I102" s="7" t="s">
        <v>1962</v>
      </c>
      <c r="J102" s="7" t="s">
        <v>1958</v>
      </c>
      <c r="K102" s="7" t="s">
        <v>1782</v>
      </c>
      <c r="L102" s="7"/>
      <c r="M102" s="7"/>
      <c r="N102" s="7" t="s">
        <v>617</v>
      </c>
      <c r="O102" s="7">
        <v>11</v>
      </c>
      <c r="P102" s="7"/>
      <c r="Q102" s="7">
        <v>1</v>
      </c>
      <c r="R102" s="7">
        <v>7</v>
      </c>
      <c r="S102" s="7">
        <v>8</v>
      </c>
      <c r="T102" s="7" t="s">
        <v>2124</v>
      </c>
      <c r="U102" s="7" t="s">
        <v>746</v>
      </c>
    </row>
    <row r="103" spans="1:21" x14ac:dyDescent="0.3">
      <c r="A103" s="6" t="s">
        <v>2125</v>
      </c>
      <c r="B103" s="7" t="s">
        <v>1945</v>
      </c>
      <c r="C103" s="7" t="s">
        <v>1946</v>
      </c>
      <c r="D103" s="7" t="s">
        <v>15</v>
      </c>
      <c r="E103" s="7" t="s">
        <v>2126</v>
      </c>
      <c r="F103" s="7" t="s">
        <v>2121</v>
      </c>
      <c r="G103" s="7" t="s">
        <v>2127</v>
      </c>
      <c r="H103" s="7" t="s">
        <v>2128</v>
      </c>
      <c r="I103" s="7" t="s">
        <v>1951</v>
      </c>
      <c r="J103" s="7" t="s">
        <v>2105</v>
      </c>
      <c r="K103" s="7" t="s">
        <v>1782</v>
      </c>
      <c r="L103" s="7"/>
      <c r="M103" s="7"/>
      <c r="N103" s="7" t="s">
        <v>650</v>
      </c>
      <c r="O103" s="7">
        <v>18</v>
      </c>
      <c r="P103" s="7"/>
      <c r="Q103" s="7">
        <v>14</v>
      </c>
      <c r="R103" s="7">
        <v>0</v>
      </c>
      <c r="S103" s="7">
        <v>14</v>
      </c>
      <c r="T103" s="7" t="s">
        <v>2129</v>
      </c>
      <c r="U103" s="7" t="s">
        <v>2039</v>
      </c>
    </row>
    <row r="104" spans="1:21" x14ac:dyDescent="0.3">
      <c r="A104" s="6" t="s">
        <v>2130</v>
      </c>
      <c r="B104" s="7" t="s">
        <v>1945</v>
      </c>
      <c r="C104" s="7" t="s">
        <v>1946</v>
      </c>
      <c r="D104" s="7" t="s">
        <v>15</v>
      </c>
      <c r="E104" s="7" t="s">
        <v>2126</v>
      </c>
      <c r="F104" s="7" t="s">
        <v>2121</v>
      </c>
      <c r="G104" s="7" t="s">
        <v>2131</v>
      </c>
      <c r="H104" s="7" t="s">
        <v>2132</v>
      </c>
      <c r="I104" s="7" t="s">
        <v>1951</v>
      </c>
      <c r="J104" s="7" t="s">
        <v>2105</v>
      </c>
      <c r="K104" s="7" t="s">
        <v>1782</v>
      </c>
      <c r="L104" s="7"/>
      <c r="M104" s="7"/>
      <c r="N104" s="7" t="s">
        <v>650</v>
      </c>
      <c r="O104" s="7">
        <v>18</v>
      </c>
      <c r="P104" s="7"/>
      <c r="Q104" s="7">
        <v>2</v>
      </c>
      <c r="R104" s="7">
        <v>18</v>
      </c>
      <c r="S104" s="7">
        <v>20</v>
      </c>
      <c r="T104" s="7" t="s">
        <v>919</v>
      </c>
      <c r="U104" s="7" t="s">
        <v>404</v>
      </c>
    </row>
    <row r="105" spans="1:21" x14ac:dyDescent="0.3">
      <c r="A105" s="6" t="s">
        <v>2133</v>
      </c>
      <c r="B105" s="7" t="s">
        <v>1945</v>
      </c>
      <c r="C105" s="7" t="s">
        <v>1946</v>
      </c>
      <c r="D105" s="7" t="s">
        <v>15</v>
      </c>
      <c r="E105" s="7" t="s">
        <v>60</v>
      </c>
      <c r="F105" s="7" t="s">
        <v>2134</v>
      </c>
      <c r="G105" s="7" t="s">
        <v>59</v>
      </c>
      <c r="H105" s="7" t="s">
        <v>2135</v>
      </c>
      <c r="I105" s="7" t="s">
        <v>1962</v>
      </c>
      <c r="J105" s="7" t="s">
        <v>1958</v>
      </c>
      <c r="K105" s="7" t="s">
        <v>1782</v>
      </c>
      <c r="L105" s="7"/>
      <c r="M105" s="7"/>
      <c r="N105" s="7" t="s">
        <v>1031</v>
      </c>
      <c r="O105" s="7">
        <v>139</v>
      </c>
      <c r="P105" s="7"/>
      <c r="Q105" s="7">
        <v>12</v>
      </c>
      <c r="R105" s="7">
        <v>84</v>
      </c>
      <c r="S105" s="7">
        <v>96</v>
      </c>
      <c r="T105" s="7" t="s">
        <v>57</v>
      </c>
      <c r="U105" s="7" t="s">
        <v>2136</v>
      </c>
    </row>
    <row r="106" spans="1:21" x14ac:dyDescent="0.3">
      <c r="A106" s="6" t="s">
        <v>2137</v>
      </c>
      <c r="B106" s="7" t="s">
        <v>1945</v>
      </c>
      <c r="C106" s="7" t="s">
        <v>1946</v>
      </c>
      <c r="D106" s="7" t="s">
        <v>15</v>
      </c>
      <c r="E106" s="7" t="s">
        <v>60</v>
      </c>
      <c r="F106" s="7" t="s">
        <v>2138</v>
      </c>
      <c r="G106" s="7" t="s">
        <v>59</v>
      </c>
      <c r="H106" s="7" t="s">
        <v>2139</v>
      </c>
      <c r="I106" s="7" t="s">
        <v>1962</v>
      </c>
      <c r="J106" s="7" t="s">
        <v>2140</v>
      </c>
      <c r="K106" s="7" t="s">
        <v>1782</v>
      </c>
      <c r="L106" s="7"/>
      <c r="M106" s="7"/>
      <c r="N106" s="7" t="s">
        <v>588</v>
      </c>
      <c r="O106" s="7">
        <v>3</v>
      </c>
      <c r="P106" s="7"/>
      <c r="Q106" s="7">
        <v>0</v>
      </c>
      <c r="R106" s="7">
        <v>3</v>
      </c>
      <c r="S106" s="7">
        <v>3</v>
      </c>
      <c r="T106" s="7" t="s">
        <v>57</v>
      </c>
      <c r="U106" s="7" t="s">
        <v>2136</v>
      </c>
    </row>
    <row r="107" spans="1:21" x14ac:dyDescent="0.3">
      <c r="A107" s="6" t="s">
        <v>2141</v>
      </c>
      <c r="B107" s="7" t="s">
        <v>1945</v>
      </c>
      <c r="C107" s="7" t="s">
        <v>1946</v>
      </c>
      <c r="D107" s="7" t="s">
        <v>15</v>
      </c>
      <c r="E107" s="7" t="s">
        <v>60</v>
      </c>
      <c r="F107" s="7"/>
      <c r="G107" s="7" t="s">
        <v>59</v>
      </c>
      <c r="H107" s="7" t="s">
        <v>2142</v>
      </c>
      <c r="I107" s="7" t="s">
        <v>1962</v>
      </c>
      <c r="J107" s="7" t="s">
        <v>1958</v>
      </c>
      <c r="K107" s="7" t="s">
        <v>1782</v>
      </c>
      <c r="L107" s="7"/>
      <c r="M107" s="7"/>
      <c r="N107" s="7" t="s">
        <v>617</v>
      </c>
      <c r="O107" s="7">
        <v>11</v>
      </c>
      <c r="P107" s="7"/>
      <c r="Q107" s="7">
        <v>0</v>
      </c>
      <c r="R107" s="7">
        <v>2</v>
      </c>
      <c r="S107" s="7">
        <v>2</v>
      </c>
      <c r="T107" s="7" t="s">
        <v>57</v>
      </c>
      <c r="U107" s="7" t="s">
        <v>2136</v>
      </c>
    </row>
    <row r="108" spans="1:21" x14ac:dyDescent="0.3">
      <c r="A108" s="6" t="s">
        <v>2143</v>
      </c>
      <c r="B108" s="7" t="s">
        <v>1945</v>
      </c>
      <c r="C108" s="7" t="s">
        <v>1946</v>
      </c>
      <c r="D108" s="7" t="s">
        <v>15</v>
      </c>
      <c r="E108" s="7" t="s">
        <v>60</v>
      </c>
      <c r="F108" s="7"/>
      <c r="G108" s="7" t="s">
        <v>59</v>
      </c>
      <c r="H108" s="7" t="s">
        <v>2144</v>
      </c>
      <c r="I108" s="7" t="s">
        <v>1962</v>
      </c>
      <c r="J108" s="7" t="s">
        <v>1958</v>
      </c>
      <c r="K108" s="7" t="s">
        <v>1782</v>
      </c>
      <c r="L108" s="7"/>
      <c r="M108" s="7"/>
      <c r="N108" s="7" t="s">
        <v>617</v>
      </c>
      <c r="O108" s="7">
        <v>11</v>
      </c>
      <c r="P108" s="7"/>
      <c r="Q108" s="7">
        <v>0</v>
      </c>
      <c r="R108" s="7">
        <v>6</v>
      </c>
      <c r="S108" s="7">
        <v>6</v>
      </c>
      <c r="T108" s="7" t="s">
        <v>57</v>
      </c>
      <c r="U108" s="7" t="s">
        <v>2136</v>
      </c>
    </row>
    <row r="109" spans="1:21" x14ac:dyDescent="0.3">
      <c r="A109" s="6" t="s">
        <v>2145</v>
      </c>
      <c r="B109" s="7" t="s">
        <v>1945</v>
      </c>
      <c r="C109" s="7" t="s">
        <v>1946</v>
      </c>
      <c r="D109" s="7" t="s">
        <v>15</v>
      </c>
      <c r="E109" s="7" t="s">
        <v>60</v>
      </c>
      <c r="F109" s="7"/>
      <c r="G109" s="7" t="s">
        <v>59</v>
      </c>
      <c r="H109" s="7" t="s">
        <v>2146</v>
      </c>
      <c r="I109" s="7" t="s">
        <v>1962</v>
      </c>
      <c r="J109" s="7" t="s">
        <v>1958</v>
      </c>
      <c r="K109" s="7" t="s">
        <v>1782</v>
      </c>
      <c r="L109" s="7"/>
      <c r="M109" s="7"/>
      <c r="N109" s="7" t="s">
        <v>617</v>
      </c>
      <c r="O109" s="7">
        <v>11</v>
      </c>
      <c r="P109" s="7"/>
      <c r="Q109" s="7">
        <v>2</v>
      </c>
      <c r="R109" s="7">
        <v>6</v>
      </c>
      <c r="S109" s="7">
        <v>8</v>
      </c>
      <c r="T109" s="7" t="s">
        <v>57</v>
      </c>
      <c r="U109" s="7" t="s">
        <v>2136</v>
      </c>
    </row>
    <row r="110" spans="1:21" x14ac:dyDescent="0.3">
      <c r="A110" s="6" t="s">
        <v>2147</v>
      </c>
      <c r="B110" s="7" t="s">
        <v>1945</v>
      </c>
      <c r="C110" s="7" t="s">
        <v>1946</v>
      </c>
      <c r="D110" s="7" t="s">
        <v>15</v>
      </c>
      <c r="E110" s="7" t="s">
        <v>2148</v>
      </c>
      <c r="F110" s="7" t="s">
        <v>2149</v>
      </c>
      <c r="G110" s="7" t="s">
        <v>2150</v>
      </c>
      <c r="H110" s="7" t="s">
        <v>2151</v>
      </c>
      <c r="I110" s="7" t="s">
        <v>1962</v>
      </c>
      <c r="J110" s="7" t="s">
        <v>1958</v>
      </c>
      <c r="K110" s="7" t="s">
        <v>1782</v>
      </c>
      <c r="L110" s="7"/>
      <c r="M110" s="7"/>
      <c r="N110" s="7" t="s">
        <v>617</v>
      </c>
      <c r="O110" s="7">
        <v>11</v>
      </c>
      <c r="P110" s="7"/>
      <c r="Q110" s="7"/>
      <c r="R110" s="7">
        <v>10</v>
      </c>
      <c r="S110" s="7">
        <v>10</v>
      </c>
      <c r="T110" s="7" t="s">
        <v>2152</v>
      </c>
      <c r="U110" s="7" t="s">
        <v>788</v>
      </c>
    </row>
    <row r="111" spans="1:21" x14ac:dyDescent="0.3">
      <c r="A111" s="6" t="s">
        <v>2153</v>
      </c>
      <c r="B111" s="7" t="s">
        <v>1945</v>
      </c>
      <c r="C111" s="7" t="s">
        <v>1946</v>
      </c>
      <c r="D111" s="7" t="s">
        <v>15</v>
      </c>
      <c r="E111" s="7" t="s">
        <v>2148</v>
      </c>
      <c r="F111" s="7" t="s">
        <v>2149</v>
      </c>
      <c r="G111" s="7" t="s">
        <v>2154</v>
      </c>
      <c r="H111" s="7" t="s">
        <v>2155</v>
      </c>
      <c r="I111" s="7" t="s">
        <v>1962</v>
      </c>
      <c r="J111" s="7" t="s">
        <v>1958</v>
      </c>
      <c r="K111" s="7" t="s">
        <v>1782</v>
      </c>
      <c r="L111" s="7"/>
      <c r="M111" s="7"/>
      <c r="N111" s="7"/>
      <c r="O111" s="7"/>
      <c r="P111" s="7"/>
      <c r="Q111" s="7"/>
      <c r="R111" s="7"/>
      <c r="S111" s="7">
        <v>0</v>
      </c>
      <c r="T111" s="7" t="s">
        <v>773</v>
      </c>
      <c r="U111" s="7" t="s">
        <v>2156</v>
      </c>
    </row>
    <row r="112" spans="1:21" x14ac:dyDescent="0.3">
      <c r="A112" s="6" t="s">
        <v>2157</v>
      </c>
      <c r="B112" s="7" t="s">
        <v>1945</v>
      </c>
      <c r="C112" s="7" t="s">
        <v>1946</v>
      </c>
      <c r="D112" s="7" t="s">
        <v>15</v>
      </c>
      <c r="E112" s="7" t="s">
        <v>2148</v>
      </c>
      <c r="F112" s="7" t="s">
        <v>2149</v>
      </c>
      <c r="G112" s="7" t="s">
        <v>2158</v>
      </c>
      <c r="H112" s="7" t="s">
        <v>2159</v>
      </c>
      <c r="I112" s="7" t="s">
        <v>1951</v>
      </c>
      <c r="J112" s="7" t="s">
        <v>1958</v>
      </c>
      <c r="K112" s="7" t="s">
        <v>1782</v>
      </c>
      <c r="L112" s="7"/>
      <c r="M112" s="7"/>
      <c r="N112" s="7" t="s">
        <v>594</v>
      </c>
      <c r="O112" s="7">
        <v>1</v>
      </c>
      <c r="P112" s="7"/>
      <c r="Q112" s="7"/>
      <c r="R112" s="7">
        <v>1</v>
      </c>
      <c r="S112" s="7">
        <v>1</v>
      </c>
      <c r="T112" s="7" t="s">
        <v>2160</v>
      </c>
      <c r="U112" s="7" t="s">
        <v>527</v>
      </c>
    </row>
    <row r="113" spans="1:21" x14ac:dyDescent="0.3">
      <c r="A113" s="6" t="s">
        <v>2161</v>
      </c>
      <c r="B113" s="7" t="s">
        <v>1945</v>
      </c>
      <c r="C113" s="7" t="s">
        <v>1946</v>
      </c>
      <c r="D113" s="7" t="s">
        <v>15</v>
      </c>
      <c r="E113" s="7" t="s">
        <v>2162</v>
      </c>
      <c r="F113" s="7" t="s">
        <v>2163</v>
      </c>
      <c r="G113" s="7" t="s">
        <v>2164</v>
      </c>
      <c r="H113" s="7" t="s">
        <v>2165</v>
      </c>
      <c r="I113" s="7" t="s">
        <v>1951</v>
      </c>
      <c r="J113" s="7" t="s">
        <v>2166</v>
      </c>
      <c r="K113" s="7" t="s">
        <v>1782</v>
      </c>
      <c r="L113" s="7"/>
      <c r="M113" s="7"/>
      <c r="N113" s="7" t="s">
        <v>1787</v>
      </c>
      <c r="O113" s="7">
        <v>12</v>
      </c>
      <c r="P113" s="7"/>
      <c r="Q113" s="7"/>
      <c r="R113" s="7">
        <v>12</v>
      </c>
      <c r="S113" s="7">
        <v>12</v>
      </c>
      <c r="T113" s="7" t="s">
        <v>2167</v>
      </c>
      <c r="U113" s="7" t="s">
        <v>640</v>
      </c>
    </row>
    <row r="114" spans="1:21" x14ac:dyDescent="0.3">
      <c r="A114" s="6" t="s">
        <v>2168</v>
      </c>
      <c r="B114" s="7" t="s">
        <v>1945</v>
      </c>
      <c r="C114" s="7" t="s">
        <v>1946</v>
      </c>
      <c r="D114" s="7" t="s">
        <v>15</v>
      </c>
      <c r="E114" s="7" t="s">
        <v>2162</v>
      </c>
      <c r="F114" s="7" t="s">
        <v>2163</v>
      </c>
      <c r="G114" s="7" t="s">
        <v>2169</v>
      </c>
      <c r="H114" s="7" t="s">
        <v>2170</v>
      </c>
      <c r="I114" s="7" t="s">
        <v>1951</v>
      </c>
      <c r="J114" s="7" t="s">
        <v>2171</v>
      </c>
      <c r="K114" s="7" t="s">
        <v>1782</v>
      </c>
      <c r="L114" s="7"/>
      <c r="M114" s="7"/>
      <c r="N114" s="7"/>
      <c r="O114" s="7"/>
      <c r="P114" s="7"/>
      <c r="Q114" s="7"/>
      <c r="R114" s="7">
        <v>7</v>
      </c>
      <c r="S114" s="7">
        <v>7</v>
      </c>
      <c r="T114" s="7" t="s">
        <v>2172</v>
      </c>
      <c r="U114" s="7" t="s">
        <v>553</v>
      </c>
    </row>
    <row r="115" spans="1:21" x14ac:dyDescent="0.3">
      <c r="A115" s="6" t="s">
        <v>2173</v>
      </c>
      <c r="B115" s="7" t="s">
        <v>1945</v>
      </c>
      <c r="C115" s="7" t="s">
        <v>1946</v>
      </c>
      <c r="D115" s="7" t="s">
        <v>15</v>
      </c>
      <c r="E115" s="7" t="s">
        <v>2162</v>
      </c>
      <c r="F115" s="7" t="s">
        <v>2163</v>
      </c>
      <c r="G115" s="7" t="s">
        <v>2174</v>
      </c>
      <c r="H115" s="7" t="s">
        <v>2175</v>
      </c>
      <c r="I115" s="7" t="s">
        <v>1962</v>
      </c>
      <c r="J115" s="7" t="s">
        <v>2176</v>
      </c>
      <c r="K115" s="7" t="s">
        <v>1782</v>
      </c>
      <c r="L115" s="7"/>
      <c r="M115" s="7"/>
      <c r="N115" s="7"/>
      <c r="O115" s="7"/>
      <c r="P115" s="7"/>
      <c r="Q115" s="7"/>
      <c r="R115" s="7">
        <v>7</v>
      </c>
      <c r="S115" s="7">
        <v>7</v>
      </c>
      <c r="T115" s="7" t="s">
        <v>2167</v>
      </c>
      <c r="U115" s="7" t="s">
        <v>640</v>
      </c>
    </row>
    <row r="116" spans="1:21" x14ac:dyDescent="0.3">
      <c r="A116" s="6" t="s">
        <v>2177</v>
      </c>
      <c r="B116" s="7" t="s">
        <v>1945</v>
      </c>
      <c r="C116" s="7" t="s">
        <v>1946</v>
      </c>
      <c r="D116" s="7" t="s">
        <v>15</v>
      </c>
      <c r="E116" s="7" t="s">
        <v>2178</v>
      </c>
      <c r="F116" s="7"/>
      <c r="G116" s="7" t="s">
        <v>2179</v>
      </c>
      <c r="H116" s="7" t="s">
        <v>2180</v>
      </c>
      <c r="I116" s="7" t="s">
        <v>1962</v>
      </c>
      <c r="J116" s="7" t="s">
        <v>2176</v>
      </c>
      <c r="K116" s="7" t="s">
        <v>1782</v>
      </c>
      <c r="L116" s="7"/>
      <c r="M116" s="7"/>
      <c r="N116" s="7"/>
      <c r="O116" s="7"/>
      <c r="P116" s="7"/>
      <c r="Q116" s="7"/>
      <c r="R116" s="7"/>
      <c r="S116" s="7">
        <v>0</v>
      </c>
      <c r="T116" s="7" t="s">
        <v>2181</v>
      </c>
      <c r="U116" s="7" t="s">
        <v>2182</v>
      </c>
    </row>
    <row r="117" spans="1:21" x14ac:dyDescent="0.3">
      <c r="A117" s="6" t="s">
        <v>2183</v>
      </c>
      <c r="B117" s="7" t="s">
        <v>1945</v>
      </c>
      <c r="C117" s="7" t="s">
        <v>1946</v>
      </c>
      <c r="D117" s="7" t="s">
        <v>15</v>
      </c>
      <c r="E117" s="7" t="s">
        <v>2184</v>
      </c>
      <c r="F117" s="7" t="s">
        <v>566</v>
      </c>
      <c r="G117" s="7" t="s">
        <v>2185</v>
      </c>
      <c r="H117" s="7" t="s">
        <v>2186</v>
      </c>
      <c r="I117" s="7" t="s">
        <v>1951</v>
      </c>
      <c r="J117" s="7" t="s">
        <v>1952</v>
      </c>
      <c r="K117" s="7" t="s">
        <v>1782</v>
      </c>
      <c r="L117" s="7"/>
      <c r="M117" s="7"/>
      <c r="N117" s="7" t="s">
        <v>1653</v>
      </c>
      <c r="O117" s="7">
        <v>56</v>
      </c>
      <c r="P117" s="7"/>
      <c r="Q117" s="7"/>
      <c r="R117" s="7">
        <v>56</v>
      </c>
      <c r="S117" s="7">
        <v>56</v>
      </c>
      <c r="T117" s="7" t="s">
        <v>2187</v>
      </c>
      <c r="U117" s="7" t="s">
        <v>404</v>
      </c>
    </row>
    <row r="118" spans="1:21" x14ac:dyDescent="0.3">
      <c r="A118" s="6" t="s">
        <v>2188</v>
      </c>
      <c r="B118" s="7" t="s">
        <v>1945</v>
      </c>
      <c r="C118" s="7" t="s">
        <v>1946</v>
      </c>
      <c r="D118" s="7" t="s">
        <v>15</v>
      </c>
      <c r="E118" s="7" t="s">
        <v>2184</v>
      </c>
      <c r="F118" s="7" t="s">
        <v>566</v>
      </c>
      <c r="G118" s="7" t="s">
        <v>2189</v>
      </c>
      <c r="H118" s="7" t="s">
        <v>2190</v>
      </c>
      <c r="I118" s="7" t="s">
        <v>1962</v>
      </c>
      <c r="J118" s="7" t="s">
        <v>1958</v>
      </c>
      <c r="K118" s="7" t="s">
        <v>1782</v>
      </c>
      <c r="L118" s="7"/>
      <c r="M118" s="7"/>
      <c r="N118" s="7" t="s">
        <v>656</v>
      </c>
      <c r="O118" s="7">
        <v>22</v>
      </c>
      <c r="P118" s="7"/>
      <c r="Q118" s="7"/>
      <c r="R118" s="7"/>
      <c r="S118" s="7">
        <v>0</v>
      </c>
      <c r="T118" s="7" t="s">
        <v>2191</v>
      </c>
      <c r="U118" s="7" t="s">
        <v>1633</v>
      </c>
    </row>
    <row r="119" spans="1:21" x14ac:dyDescent="0.3">
      <c r="A119" s="6" t="s">
        <v>2192</v>
      </c>
      <c r="B119" s="7" t="s">
        <v>127</v>
      </c>
      <c r="C119" s="7" t="s">
        <v>2193</v>
      </c>
      <c r="D119" s="7" t="s">
        <v>16</v>
      </c>
      <c r="E119" s="7" t="s">
        <v>2194</v>
      </c>
      <c r="F119" s="7" t="s">
        <v>322</v>
      </c>
      <c r="G119" s="7" t="s">
        <v>2195</v>
      </c>
      <c r="H119" s="7" t="s">
        <v>2196</v>
      </c>
      <c r="I119" s="7" t="s">
        <v>2197</v>
      </c>
      <c r="J119" s="7" t="s">
        <v>2198</v>
      </c>
      <c r="K119" s="7" t="s">
        <v>1807</v>
      </c>
      <c r="L119" s="7">
        <v>2</v>
      </c>
      <c r="M119" s="7"/>
      <c r="N119" s="7"/>
      <c r="O119" s="7">
        <v>2</v>
      </c>
      <c r="P119" s="7"/>
      <c r="Q119" s="7">
        <v>1</v>
      </c>
      <c r="R119" s="7">
        <v>1</v>
      </c>
      <c r="S119" s="7">
        <v>2</v>
      </c>
      <c r="T119" s="7" t="s">
        <v>2199</v>
      </c>
      <c r="U119" s="7" t="s">
        <v>2200</v>
      </c>
    </row>
    <row r="120" spans="1:21" x14ac:dyDescent="0.3">
      <c r="A120" s="6" t="s">
        <v>2201</v>
      </c>
      <c r="B120" s="7" t="s">
        <v>127</v>
      </c>
      <c r="C120" s="7" t="s">
        <v>589</v>
      </c>
      <c r="D120" s="7" t="s">
        <v>18</v>
      </c>
      <c r="E120" s="7" t="s">
        <v>515</v>
      </c>
      <c r="F120" s="7" t="s">
        <v>516</v>
      </c>
      <c r="G120" s="7" t="s">
        <v>2202</v>
      </c>
      <c r="H120" s="7" t="s">
        <v>2203</v>
      </c>
      <c r="I120" s="7" t="s">
        <v>1781</v>
      </c>
      <c r="J120" s="7" t="s">
        <v>2204</v>
      </c>
      <c r="K120" s="7" t="s">
        <v>1782</v>
      </c>
      <c r="L120" s="7">
        <v>10</v>
      </c>
      <c r="M120" s="7"/>
      <c r="N120" s="7"/>
      <c r="O120" s="7">
        <v>10</v>
      </c>
      <c r="P120" s="7"/>
      <c r="Q120" s="7">
        <v>1</v>
      </c>
      <c r="R120" s="7">
        <v>9</v>
      </c>
      <c r="S120" s="7"/>
      <c r="T120" s="7" t="s">
        <v>170</v>
      </c>
      <c r="U120" s="7" t="s">
        <v>2205</v>
      </c>
    </row>
    <row r="121" spans="1:21" x14ac:dyDescent="0.3">
      <c r="A121" s="6" t="s">
        <v>2206</v>
      </c>
      <c r="B121" s="7" t="s">
        <v>1215</v>
      </c>
      <c r="C121" s="7" t="s">
        <v>1045</v>
      </c>
      <c r="D121" s="7" t="s">
        <v>19</v>
      </c>
      <c r="E121" s="7" t="s">
        <v>2207</v>
      </c>
      <c r="F121" s="7" t="s">
        <v>2208</v>
      </c>
      <c r="G121" s="7" t="s">
        <v>2209</v>
      </c>
      <c r="H121" s="7" t="s">
        <v>2210</v>
      </c>
      <c r="I121" s="7" t="s">
        <v>2211</v>
      </c>
      <c r="J121" s="7" t="s">
        <v>2</v>
      </c>
      <c r="K121" s="7" t="s">
        <v>1792</v>
      </c>
      <c r="L121" s="7">
        <v>1</v>
      </c>
      <c r="M121" s="7" t="s">
        <v>594</v>
      </c>
      <c r="N121" s="7"/>
      <c r="O121" s="7">
        <v>2</v>
      </c>
      <c r="P121" s="7"/>
      <c r="Q121" s="7">
        <v>0</v>
      </c>
      <c r="R121" s="7">
        <v>2</v>
      </c>
      <c r="S121" s="7">
        <v>2</v>
      </c>
      <c r="T121" s="7" t="s">
        <v>403</v>
      </c>
      <c r="U121" s="7" t="s">
        <v>462</v>
      </c>
    </row>
    <row r="122" spans="1:21" x14ac:dyDescent="0.3">
      <c r="A122" s="6" t="s">
        <v>2212</v>
      </c>
      <c r="B122" s="7" t="s">
        <v>1215</v>
      </c>
      <c r="C122" s="7" t="s">
        <v>1045</v>
      </c>
      <c r="D122" s="7" t="s">
        <v>19</v>
      </c>
      <c r="E122" s="7" t="s">
        <v>2213</v>
      </c>
      <c r="F122" s="7" t="s">
        <v>1025</v>
      </c>
      <c r="G122" s="7" t="s">
        <v>2214</v>
      </c>
      <c r="H122" s="7" t="s">
        <v>2215</v>
      </c>
      <c r="I122" s="7" t="s">
        <v>2211</v>
      </c>
      <c r="J122" s="7" t="s">
        <v>2</v>
      </c>
      <c r="K122" s="7" t="s">
        <v>1670</v>
      </c>
      <c r="L122" s="7">
        <v>14</v>
      </c>
      <c r="M122" s="7"/>
      <c r="N122" s="7"/>
      <c r="O122" s="7">
        <v>14</v>
      </c>
      <c r="P122" s="7"/>
      <c r="Q122" s="7">
        <v>2</v>
      </c>
      <c r="R122" s="7">
        <v>12</v>
      </c>
      <c r="S122" s="7">
        <v>14</v>
      </c>
      <c r="T122" s="7" t="s">
        <v>1190</v>
      </c>
      <c r="U122" s="7" t="s">
        <v>2216</v>
      </c>
    </row>
    <row r="123" spans="1:21" x14ac:dyDescent="0.3">
      <c r="A123" s="6" t="s">
        <v>1259</v>
      </c>
      <c r="B123" s="7" t="s">
        <v>127</v>
      </c>
      <c r="C123" s="7" t="s">
        <v>589</v>
      </c>
      <c r="D123" s="7" t="s">
        <v>20</v>
      </c>
      <c r="E123" s="7" t="s">
        <v>1260</v>
      </c>
      <c r="F123" s="7" t="s">
        <v>723</v>
      </c>
      <c r="G123" s="7" t="s">
        <v>84</v>
      </c>
      <c r="H123" s="7" t="s">
        <v>2217</v>
      </c>
      <c r="I123" s="7" t="s">
        <v>1718</v>
      </c>
      <c r="J123" s="7" t="s">
        <v>2218</v>
      </c>
      <c r="K123" s="7" t="s">
        <v>1670</v>
      </c>
      <c r="L123" s="7">
        <v>10</v>
      </c>
      <c r="M123" s="7"/>
      <c r="N123" s="7"/>
      <c r="O123" s="7">
        <v>10</v>
      </c>
      <c r="P123" s="7"/>
      <c r="Q123" s="7"/>
      <c r="R123" s="7">
        <v>10</v>
      </c>
      <c r="S123" s="7"/>
      <c r="T123" s="7" t="s">
        <v>87</v>
      </c>
      <c r="U123" s="7" t="s">
        <v>725</v>
      </c>
    </row>
    <row r="124" spans="1:21" x14ac:dyDescent="0.3">
      <c r="A124" s="6" t="s">
        <v>2219</v>
      </c>
      <c r="B124" s="7" t="s">
        <v>127</v>
      </c>
      <c r="C124" s="7" t="s">
        <v>589</v>
      </c>
      <c r="D124" s="7" t="s">
        <v>20</v>
      </c>
      <c r="E124" s="7" t="s">
        <v>2220</v>
      </c>
      <c r="F124" s="7" t="s">
        <v>2221</v>
      </c>
      <c r="G124" s="7" t="s">
        <v>2222</v>
      </c>
      <c r="H124" s="7" t="s">
        <v>2223</v>
      </c>
      <c r="I124" s="7" t="s">
        <v>1764</v>
      </c>
      <c r="J124" s="7" t="s">
        <v>2224</v>
      </c>
      <c r="K124" s="7" t="s">
        <v>1670</v>
      </c>
      <c r="L124" s="7"/>
      <c r="M124" s="7" t="s">
        <v>606</v>
      </c>
      <c r="N124" s="7"/>
      <c r="O124" s="7">
        <v>5</v>
      </c>
      <c r="P124" s="7"/>
      <c r="Q124" s="7">
        <v>1</v>
      </c>
      <c r="R124" s="7">
        <v>4</v>
      </c>
      <c r="S124" s="7"/>
      <c r="T124" s="7" t="s">
        <v>2225</v>
      </c>
      <c r="U124" s="7" t="s">
        <v>2129</v>
      </c>
    </row>
    <row r="125" spans="1:21" x14ac:dyDescent="0.3">
      <c r="A125" s="6" t="s">
        <v>2226</v>
      </c>
      <c r="B125" s="7" t="s">
        <v>127</v>
      </c>
      <c r="C125" s="7" t="s">
        <v>589</v>
      </c>
      <c r="D125" s="7" t="s">
        <v>20</v>
      </c>
      <c r="E125" s="7" t="s">
        <v>2227</v>
      </c>
      <c r="F125" s="7" t="s">
        <v>669</v>
      </c>
      <c r="G125" s="7" t="s">
        <v>2228</v>
      </c>
      <c r="H125" s="7" t="s">
        <v>2229</v>
      </c>
      <c r="I125" s="7" t="s">
        <v>1764</v>
      </c>
      <c r="J125" s="7" t="s">
        <v>2230</v>
      </c>
      <c r="K125" s="7" t="s">
        <v>1670</v>
      </c>
      <c r="L125" s="7"/>
      <c r="M125" s="7" t="s">
        <v>1784</v>
      </c>
      <c r="N125" s="7"/>
      <c r="O125" s="7">
        <v>7</v>
      </c>
      <c r="P125" s="7"/>
      <c r="Q125" s="7"/>
      <c r="R125" s="7">
        <v>7</v>
      </c>
      <c r="S125" s="7"/>
      <c r="T125" s="7" t="s">
        <v>1233</v>
      </c>
      <c r="U125" s="7" t="s">
        <v>736</v>
      </c>
    </row>
    <row r="126" spans="1:21" x14ac:dyDescent="0.3">
      <c r="A126" s="6" t="s">
        <v>2231</v>
      </c>
      <c r="B126" s="7" t="s">
        <v>127</v>
      </c>
      <c r="C126" s="7" t="s">
        <v>589</v>
      </c>
      <c r="D126" s="7" t="s">
        <v>20</v>
      </c>
      <c r="E126" s="7" t="s">
        <v>2232</v>
      </c>
      <c r="F126" s="7" t="s">
        <v>2233</v>
      </c>
      <c r="G126" s="7" t="s">
        <v>2234</v>
      </c>
      <c r="H126" s="7" t="s">
        <v>2235</v>
      </c>
      <c r="I126" s="7" t="s">
        <v>1718</v>
      </c>
      <c r="J126" s="7" t="s">
        <v>2236</v>
      </c>
      <c r="K126" s="7" t="s">
        <v>1670</v>
      </c>
      <c r="L126" s="7"/>
      <c r="M126" s="7" t="s">
        <v>600</v>
      </c>
      <c r="N126" s="7"/>
      <c r="O126" s="7">
        <v>2</v>
      </c>
      <c r="P126" s="7"/>
      <c r="Q126" s="7"/>
      <c r="R126" s="7">
        <v>2</v>
      </c>
      <c r="S126" s="7"/>
      <c r="T126" s="7" t="s">
        <v>2237</v>
      </c>
      <c r="U126" s="7" t="s">
        <v>199</v>
      </c>
    </row>
    <row r="127" spans="1:21" x14ac:dyDescent="0.3">
      <c r="A127" s="6" t="s">
        <v>2238</v>
      </c>
      <c r="B127" s="7" t="s">
        <v>127</v>
      </c>
      <c r="C127" s="7" t="s">
        <v>589</v>
      </c>
      <c r="D127" s="7" t="s">
        <v>20</v>
      </c>
      <c r="E127" s="7" t="s">
        <v>2239</v>
      </c>
      <c r="F127" s="7" t="s">
        <v>2240</v>
      </c>
      <c r="G127" s="7" t="s">
        <v>2241</v>
      </c>
      <c r="H127" s="7" t="s">
        <v>2242</v>
      </c>
      <c r="I127" s="7" t="s">
        <v>2243</v>
      </c>
      <c r="J127" s="7" t="s">
        <v>2244</v>
      </c>
      <c r="K127" s="7" t="s">
        <v>1670</v>
      </c>
      <c r="L127" s="7"/>
      <c r="M127" s="7" t="s">
        <v>617</v>
      </c>
      <c r="N127" s="7"/>
      <c r="O127" s="7">
        <v>11</v>
      </c>
      <c r="P127" s="7"/>
      <c r="Q127" s="7"/>
      <c r="R127" s="7">
        <v>11</v>
      </c>
      <c r="S127" s="7"/>
      <c r="T127" s="7" t="s">
        <v>265</v>
      </c>
      <c r="U127" s="7" t="s">
        <v>612</v>
      </c>
    </row>
    <row r="128" spans="1:21" x14ac:dyDescent="0.3">
      <c r="A128" s="6" t="s">
        <v>2245</v>
      </c>
      <c r="B128" s="7" t="s">
        <v>127</v>
      </c>
      <c r="C128" s="7" t="s">
        <v>589</v>
      </c>
      <c r="D128" s="7" t="s">
        <v>20</v>
      </c>
      <c r="E128" s="7" t="s">
        <v>2246</v>
      </c>
      <c r="F128" s="7" t="s">
        <v>2247</v>
      </c>
      <c r="G128" s="7" t="s">
        <v>2247</v>
      </c>
      <c r="H128" s="7" t="s">
        <v>2248</v>
      </c>
      <c r="I128" s="7" t="s">
        <v>1718</v>
      </c>
      <c r="J128" s="7" t="s">
        <v>2236</v>
      </c>
      <c r="K128" s="7" t="s">
        <v>1670</v>
      </c>
      <c r="L128" s="7"/>
      <c r="M128" s="7" t="s">
        <v>600</v>
      </c>
      <c r="N128" s="7"/>
      <c r="O128" s="7">
        <v>2</v>
      </c>
      <c r="P128" s="7"/>
      <c r="Q128" s="7"/>
      <c r="R128" s="7">
        <v>2</v>
      </c>
      <c r="S128" s="7"/>
      <c r="T128" s="7" t="s">
        <v>2249</v>
      </c>
      <c r="U128" s="7" t="s">
        <v>666</v>
      </c>
    </row>
    <row r="129" spans="1:21" x14ac:dyDescent="0.3">
      <c r="A129" s="6" t="s">
        <v>1345</v>
      </c>
      <c r="B129" s="7" t="s">
        <v>127</v>
      </c>
      <c r="C129" s="7" t="s">
        <v>589</v>
      </c>
      <c r="D129" s="7" t="s">
        <v>22</v>
      </c>
      <c r="E129" s="7" t="s">
        <v>722</v>
      </c>
      <c r="F129" s="7" t="s">
        <v>723</v>
      </c>
      <c r="G129" s="7" t="s">
        <v>724</v>
      </c>
      <c r="H129" s="7" t="s">
        <v>1823</v>
      </c>
      <c r="I129" s="7" t="s">
        <v>2250</v>
      </c>
      <c r="J129" s="7" t="s">
        <v>2251</v>
      </c>
      <c r="K129" s="7" t="s">
        <v>1670</v>
      </c>
      <c r="L129" s="7">
        <v>6</v>
      </c>
      <c r="M129" s="7"/>
      <c r="N129" s="7"/>
      <c r="O129" s="7">
        <v>6</v>
      </c>
      <c r="P129" s="7"/>
      <c r="Q129" s="7"/>
      <c r="R129" s="7">
        <v>6</v>
      </c>
      <c r="S129" s="7"/>
      <c r="T129" s="7" t="s">
        <v>87</v>
      </c>
      <c r="U129" s="7" t="s">
        <v>725</v>
      </c>
    </row>
    <row r="130" spans="1:21" x14ac:dyDescent="0.3">
      <c r="A130" s="6" t="s">
        <v>1346</v>
      </c>
      <c r="B130" s="7" t="s">
        <v>127</v>
      </c>
      <c r="C130" s="7" t="s">
        <v>589</v>
      </c>
      <c r="D130" s="7" t="s">
        <v>22</v>
      </c>
      <c r="E130" s="7" t="s">
        <v>1347</v>
      </c>
      <c r="F130" s="7" t="s">
        <v>1204</v>
      </c>
      <c r="G130" s="7" t="s">
        <v>96</v>
      </c>
      <c r="H130" s="7" t="s">
        <v>2252</v>
      </c>
      <c r="I130" s="7" t="s">
        <v>1781</v>
      </c>
      <c r="J130" s="7" t="s">
        <v>2251</v>
      </c>
      <c r="K130" s="7" t="s">
        <v>1782</v>
      </c>
      <c r="L130" s="7">
        <v>4</v>
      </c>
      <c r="M130" s="7"/>
      <c r="N130" s="7"/>
      <c r="O130" s="7">
        <v>4</v>
      </c>
      <c r="P130" s="7"/>
      <c r="Q130" s="7"/>
      <c r="R130" s="7">
        <v>4</v>
      </c>
      <c r="S130" s="7"/>
      <c r="T130" s="7" t="s">
        <v>99</v>
      </c>
      <c r="U130" s="7" t="s">
        <v>593</v>
      </c>
    </row>
    <row r="131" spans="1:21" x14ac:dyDescent="0.3">
      <c r="A131" s="6" t="s">
        <v>2253</v>
      </c>
      <c r="B131" s="7" t="s">
        <v>127</v>
      </c>
      <c r="C131" s="7" t="s">
        <v>589</v>
      </c>
      <c r="D131" s="7" t="s">
        <v>22</v>
      </c>
      <c r="E131" s="7" t="s">
        <v>1347</v>
      </c>
      <c r="F131" s="7" t="s">
        <v>1204</v>
      </c>
      <c r="G131" s="7" t="s">
        <v>2254</v>
      </c>
      <c r="H131" s="7" t="s">
        <v>2255</v>
      </c>
      <c r="I131" s="7" t="s">
        <v>1735</v>
      </c>
      <c r="J131" s="7" t="s">
        <v>2251</v>
      </c>
      <c r="K131" s="7" t="s">
        <v>1735</v>
      </c>
      <c r="L131" s="7">
        <v>1</v>
      </c>
      <c r="M131" s="7"/>
      <c r="N131" s="7"/>
      <c r="O131" s="7">
        <v>1</v>
      </c>
      <c r="P131" s="7"/>
      <c r="Q131" s="7">
        <v>1</v>
      </c>
      <c r="R131" s="7"/>
      <c r="S131" s="7"/>
      <c r="T131" s="7" t="s">
        <v>2256</v>
      </c>
      <c r="U131" s="7" t="s">
        <v>542</v>
      </c>
    </row>
    <row r="132" spans="1:21" x14ac:dyDescent="0.3">
      <c r="A132" s="6" t="s">
        <v>2257</v>
      </c>
      <c r="B132" s="7" t="s">
        <v>127</v>
      </c>
      <c r="C132" s="7" t="s">
        <v>589</v>
      </c>
      <c r="D132" s="7" t="s">
        <v>23</v>
      </c>
      <c r="E132" s="7" t="s">
        <v>2258</v>
      </c>
      <c r="F132" s="7" t="s">
        <v>2259</v>
      </c>
      <c r="G132" s="7" t="s">
        <v>2260</v>
      </c>
      <c r="H132" s="7" t="s">
        <v>2261</v>
      </c>
      <c r="I132" s="7" t="s">
        <v>2250</v>
      </c>
      <c r="J132" s="7" t="s">
        <v>2262</v>
      </c>
      <c r="K132" s="7" t="s">
        <v>1670</v>
      </c>
      <c r="L132" s="7">
        <v>12</v>
      </c>
      <c r="M132" s="7"/>
      <c r="N132" s="7"/>
      <c r="O132" s="7">
        <v>12</v>
      </c>
      <c r="P132" s="7"/>
      <c r="Q132" s="7">
        <v>3</v>
      </c>
      <c r="R132" s="7">
        <v>9</v>
      </c>
      <c r="S132" s="7"/>
      <c r="T132" s="7" t="s">
        <v>324</v>
      </c>
      <c r="U132" s="7" t="s">
        <v>294</v>
      </c>
    </row>
    <row r="133" spans="1:21" x14ac:dyDescent="0.3">
      <c r="A133" s="6" t="s">
        <v>2263</v>
      </c>
      <c r="B133" s="7" t="s">
        <v>127</v>
      </c>
      <c r="C133" s="7" t="s">
        <v>1365</v>
      </c>
      <c r="D133" s="7" t="s">
        <v>24</v>
      </c>
      <c r="E133" s="7" t="s">
        <v>515</v>
      </c>
      <c r="F133" s="7" t="s">
        <v>516</v>
      </c>
      <c r="G133" s="7" t="s">
        <v>2264</v>
      </c>
      <c r="H133" s="7" t="s">
        <v>2265</v>
      </c>
      <c r="I133" s="7" t="s">
        <v>2266</v>
      </c>
      <c r="J133" s="7" t="s">
        <v>2267</v>
      </c>
      <c r="K133" s="7" t="s">
        <v>1677</v>
      </c>
      <c r="L133" s="7">
        <v>1</v>
      </c>
      <c r="M133" s="7"/>
      <c r="N133" s="7"/>
      <c r="O133" s="7">
        <v>1</v>
      </c>
      <c r="P133" s="7"/>
      <c r="Q133" s="7">
        <v>1</v>
      </c>
      <c r="R133" s="7"/>
      <c r="S133" s="7"/>
      <c r="T133" s="7" t="s">
        <v>2268</v>
      </c>
      <c r="U133" s="7" t="s">
        <v>2269</v>
      </c>
    </row>
    <row r="134" spans="1:21" x14ac:dyDescent="0.3">
      <c r="A134" s="6" t="s">
        <v>2270</v>
      </c>
      <c r="B134" s="7" t="s">
        <v>127</v>
      </c>
      <c r="C134" s="7" t="s">
        <v>589</v>
      </c>
      <c r="D134" s="7" t="s">
        <v>26</v>
      </c>
      <c r="E134" s="7" t="s">
        <v>2271</v>
      </c>
      <c r="F134" s="7" t="s">
        <v>2272</v>
      </c>
      <c r="G134" s="7" t="s">
        <v>2273</v>
      </c>
      <c r="H134" s="7" t="s">
        <v>2274</v>
      </c>
      <c r="I134" s="7" t="s">
        <v>2275</v>
      </c>
      <c r="J134" s="7" t="s">
        <v>2276</v>
      </c>
      <c r="K134" s="7" t="s">
        <v>2277</v>
      </c>
      <c r="L134" s="7">
        <v>4</v>
      </c>
      <c r="M134" s="7"/>
      <c r="N134" s="7"/>
      <c r="O134" s="7">
        <v>4</v>
      </c>
      <c r="P134" s="7"/>
      <c r="Q134" s="7">
        <v>1</v>
      </c>
      <c r="R134" s="7">
        <v>3</v>
      </c>
      <c r="S134" s="7">
        <v>4</v>
      </c>
      <c r="T134" s="7" t="s">
        <v>328</v>
      </c>
      <c r="U134" s="7" t="s">
        <v>2278</v>
      </c>
    </row>
    <row r="135" spans="1:21" x14ac:dyDescent="0.3">
      <c r="A135" s="6" t="s">
        <v>2279</v>
      </c>
      <c r="B135" s="7" t="s">
        <v>127</v>
      </c>
      <c r="C135" s="7" t="s">
        <v>589</v>
      </c>
      <c r="D135" s="7" t="s">
        <v>26</v>
      </c>
      <c r="E135" s="7" t="s">
        <v>2280</v>
      </c>
      <c r="F135" s="7" t="s">
        <v>2281</v>
      </c>
      <c r="G135" s="7" t="s">
        <v>2282</v>
      </c>
      <c r="H135" s="7" t="s">
        <v>2283</v>
      </c>
      <c r="I135" s="7" t="s">
        <v>2275</v>
      </c>
      <c r="J135" s="7" t="s">
        <v>1691</v>
      </c>
      <c r="K135" s="7" t="s">
        <v>1691</v>
      </c>
      <c r="L135" s="7">
        <v>15</v>
      </c>
      <c r="M135" s="7" t="s">
        <v>1729</v>
      </c>
      <c r="N135" s="7" t="s">
        <v>1729</v>
      </c>
      <c r="O135" s="7">
        <v>15</v>
      </c>
      <c r="P135" s="7"/>
      <c r="Q135" s="7">
        <v>3</v>
      </c>
      <c r="R135" s="7">
        <v>49</v>
      </c>
      <c r="S135" s="7">
        <v>52</v>
      </c>
      <c r="T135" s="7" t="s">
        <v>423</v>
      </c>
      <c r="U135" s="7" t="s">
        <v>246</v>
      </c>
    </row>
    <row r="136" spans="1:21" x14ac:dyDescent="0.3">
      <c r="A136" s="6" t="s">
        <v>2284</v>
      </c>
      <c r="B136" s="7" t="s">
        <v>127</v>
      </c>
      <c r="C136" s="7" t="s">
        <v>589</v>
      </c>
      <c r="D136" s="7" t="s">
        <v>26</v>
      </c>
      <c r="E136" s="7" t="s">
        <v>1380</v>
      </c>
      <c r="F136" s="7" t="s">
        <v>1381</v>
      </c>
      <c r="G136" s="7" t="s">
        <v>2285</v>
      </c>
      <c r="H136" s="7" t="s">
        <v>2286</v>
      </c>
      <c r="I136" s="7" t="s">
        <v>2275</v>
      </c>
      <c r="J136" s="7" t="s">
        <v>1691</v>
      </c>
      <c r="K136" s="7" t="s">
        <v>1691</v>
      </c>
      <c r="L136" s="7">
        <v>14</v>
      </c>
      <c r="M136" s="7"/>
      <c r="N136" s="7"/>
      <c r="O136" s="7">
        <v>14</v>
      </c>
      <c r="P136" s="7"/>
      <c r="Q136" s="7">
        <v>7</v>
      </c>
      <c r="R136" s="7">
        <v>37</v>
      </c>
      <c r="S136" s="7">
        <v>44</v>
      </c>
      <c r="T136" s="7" t="s">
        <v>2287</v>
      </c>
      <c r="U136" s="7" t="s">
        <v>199</v>
      </c>
    </row>
    <row r="137" spans="1:21" x14ac:dyDescent="0.3">
      <c r="A137" s="6" t="s">
        <v>2288</v>
      </c>
      <c r="B137" s="7" t="s">
        <v>127</v>
      </c>
      <c r="C137" s="7" t="s">
        <v>589</v>
      </c>
      <c r="D137" s="7" t="s">
        <v>26</v>
      </c>
      <c r="E137" s="7" t="s">
        <v>2289</v>
      </c>
      <c r="F137" s="7" t="s">
        <v>2290</v>
      </c>
      <c r="G137" s="7" t="s">
        <v>2291</v>
      </c>
      <c r="H137" s="7" t="s">
        <v>2292</v>
      </c>
      <c r="I137" s="7" t="s">
        <v>2293</v>
      </c>
      <c r="J137" s="7" t="s">
        <v>1675</v>
      </c>
      <c r="K137" s="7" t="s">
        <v>1677</v>
      </c>
      <c r="L137" s="7">
        <v>2</v>
      </c>
      <c r="M137" s="7"/>
      <c r="N137" s="7"/>
      <c r="O137" s="7">
        <v>2</v>
      </c>
      <c r="P137" s="7"/>
      <c r="Q137" s="7">
        <v>0</v>
      </c>
      <c r="R137" s="7">
        <v>2</v>
      </c>
      <c r="S137" s="7">
        <v>2</v>
      </c>
      <c r="T137" s="7" t="s">
        <v>111</v>
      </c>
      <c r="U137" s="7" t="s">
        <v>1218</v>
      </c>
    </row>
    <row r="138" spans="1:21" x14ac:dyDescent="0.3">
      <c r="A138" s="6" t="s">
        <v>2294</v>
      </c>
      <c r="B138" s="7" t="s">
        <v>127</v>
      </c>
      <c r="C138" s="7" t="s">
        <v>589</v>
      </c>
      <c r="D138" s="7" t="s">
        <v>26</v>
      </c>
      <c r="E138" s="7" t="s">
        <v>1384</v>
      </c>
      <c r="F138" s="7" t="s">
        <v>1385</v>
      </c>
      <c r="G138" s="7" t="s">
        <v>2295</v>
      </c>
      <c r="H138" s="7" t="s">
        <v>2296</v>
      </c>
      <c r="I138" s="7" t="s">
        <v>2275</v>
      </c>
      <c r="J138" s="7" t="s">
        <v>1734</v>
      </c>
      <c r="K138" s="7" t="s">
        <v>1670</v>
      </c>
      <c r="L138" s="7">
        <v>23</v>
      </c>
      <c r="M138" s="7"/>
      <c r="N138" s="7"/>
      <c r="O138" s="7">
        <v>23</v>
      </c>
      <c r="P138" s="7"/>
      <c r="Q138" s="7">
        <v>18</v>
      </c>
      <c r="R138" s="7">
        <v>5</v>
      </c>
      <c r="S138" s="7">
        <v>23</v>
      </c>
      <c r="T138" s="7" t="s">
        <v>232</v>
      </c>
      <c r="U138" s="7" t="s">
        <v>2297</v>
      </c>
    </row>
    <row r="139" spans="1:21" x14ac:dyDescent="0.3">
      <c r="A139" s="6" t="s">
        <v>2298</v>
      </c>
      <c r="B139" s="7" t="s">
        <v>127</v>
      </c>
      <c r="C139" s="7" t="s">
        <v>589</v>
      </c>
      <c r="D139" s="7" t="s">
        <v>26</v>
      </c>
      <c r="E139" s="7" t="s">
        <v>1388</v>
      </c>
      <c r="F139" s="7" t="s">
        <v>1389</v>
      </c>
      <c r="G139" s="7" t="s">
        <v>2299</v>
      </c>
      <c r="H139" s="7" t="s">
        <v>2300</v>
      </c>
      <c r="I139" s="7" t="s">
        <v>2275</v>
      </c>
      <c r="J139" s="7" t="s">
        <v>2276</v>
      </c>
      <c r="K139" s="7" t="s">
        <v>1691</v>
      </c>
      <c r="L139" s="7">
        <v>1</v>
      </c>
      <c r="M139" s="7"/>
      <c r="N139" s="7"/>
      <c r="O139" s="7">
        <v>1</v>
      </c>
      <c r="P139" s="7"/>
      <c r="Q139" s="7">
        <v>0</v>
      </c>
      <c r="R139" s="7">
        <v>1</v>
      </c>
      <c r="S139" s="7">
        <v>1</v>
      </c>
      <c r="T139" s="7" t="s">
        <v>1684</v>
      </c>
      <c r="U139" s="7" t="s">
        <v>2269</v>
      </c>
    </row>
    <row r="140" spans="1:21" x14ac:dyDescent="0.3">
      <c r="A140" s="6" t="s">
        <v>2301</v>
      </c>
      <c r="B140" s="7" t="s">
        <v>127</v>
      </c>
      <c r="C140" s="7" t="s">
        <v>589</v>
      </c>
      <c r="D140" s="7" t="s">
        <v>26</v>
      </c>
      <c r="E140" s="7" t="s">
        <v>1388</v>
      </c>
      <c r="F140" s="7" t="s">
        <v>1389</v>
      </c>
      <c r="G140" s="7" t="s">
        <v>2302</v>
      </c>
      <c r="H140" s="7" t="s">
        <v>2303</v>
      </c>
      <c r="I140" s="7" t="s">
        <v>2275</v>
      </c>
      <c r="J140" s="7" t="s">
        <v>2276</v>
      </c>
      <c r="K140" s="7" t="s">
        <v>1691</v>
      </c>
      <c r="L140" s="7">
        <v>4</v>
      </c>
      <c r="M140" s="7"/>
      <c r="N140" s="7"/>
      <c r="O140" s="7">
        <v>4</v>
      </c>
      <c r="P140" s="7"/>
      <c r="Q140" s="7">
        <v>0</v>
      </c>
      <c r="R140" s="7">
        <v>4</v>
      </c>
      <c r="S140" s="7">
        <v>4</v>
      </c>
      <c r="T140" s="7" t="s">
        <v>290</v>
      </c>
      <c r="U140" s="7" t="s">
        <v>2304</v>
      </c>
    </row>
    <row r="141" spans="1:21" x14ac:dyDescent="0.3">
      <c r="A141" s="6" t="s">
        <v>2305</v>
      </c>
      <c r="B141" s="7" t="s">
        <v>127</v>
      </c>
      <c r="C141" s="7" t="s">
        <v>589</v>
      </c>
      <c r="D141" s="7" t="s">
        <v>26</v>
      </c>
      <c r="E141" s="7" t="s">
        <v>2306</v>
      </c>
      <c r="F141" s="7" t="s">
        <v>2307</v>
      </c>
      <c r="G141" s="7" t="s">
        <v>2308</v>
      </c>
      <c r="H141" s="7" t="s">
        <v>2309</v>
      </c>
      <c r="I141" s="7" t="s">
        <v>1734</v>
      </c>
      <c r="J141" s="7" t="s">
        <v>2310</v>
      </c>
      <c r="K141" s="7" t="s">
        <v>1691</v>
      </c>
      <c r="L141" s="7"/>
      <c r="M141" s="7" t="s">
        <v>1802</v>
      </c>
      <c r="N141" s="7"/>
      <c r="O141" s="7">
        <v>23</v>
      </c>
      <c r="P141" s="7"/>
      <c r="Q141" s="7">
        <v>4</v>
      </c>
      <c r="R141" s="7">
        <v>19</v>
      </c>
      <c r="S141" s="7">
        <v>23</v>
      </c>
      <c r="T141" s="7" t="s">
        <v>2311</v>
      </c>
      <c r="U141" s="7" t="s">
        <v>404</v>
      </c>
    </row>
    <row r="142" spans="1:21" x14ac:dyDescent="0.3">
      <c r="A142" s="6" t="s">
        <v>2312</v>
      </c>
      <c r="B142" s="7" t="s">
        <v>127</v>
      </c>
      <c r="C142" s="7" t="s">
        <v>589</v>
      </c>
      <c r="D142" s="7" t="s">
        <v>26</v>
      </c>
      <c r="E142" s="7" t="s">
        <v>2313</v>
      </c>
      <c r="F142" s="7" t="s">
        <v>2314</v>
      </c>
      <c r="G142" s="7" t="s">
        <v>2315</v>
      </c>
      <c r="H142" s="7" t="s">
        <v>2316</v>
      </c>
      <c r="I142" s="7" t="s">
        <v>2275</v>
      </c>
      <c r="J142" s="7" t="s">
        <v>2276</v>
      </c>
      <c r="K142" s="7" t="s">
        <v>2317</v>
      </c>
      <c r="L142" s="7"/>
      <c r="M142" s="7" t="s">
        <v>721</v>
      </c>
      <c r="N142" s="7"/>
      <c r="O142" s="7">
        <v>40</v>
      </c>
      <c r="P142" s="7"/>
      <c r="Q142" s="7">
        <v>0</v>
      </c>
      <c r="R142" s="7">
        <v>40</v>
      </c>
      <c r="S142" s="7">
        <v>40</v>
      </c>
      <c r="T142" s="7" t="s">
        <v>82</v>
      </c>
      <c r="U142" s="7" t="s">
        <v>2318</v>
      </c>
    </row>
    <row r="143" spans="1:21" x14ac:dyDescent="0.3">
      <c r="A143" s="6" t="s">
        <v>2319</v>
      </c>
      <c r="B143" s="7" t="s">
        <v>127</v>
      </c>
      <c r="C143" s="7" t="s">
        <v>589</v>
      </c>
      <c r="D143" s="7" t="s">
        <v>26</v>
      </c>
      <c r="E143" s="7" t="s">
        <v>2320</v>
      </c>
      <c r="F143" s="7" t="s">
        <v>2321</v>
      </c>
      <c r="G143" s="7" t="s">
        <v>2322</v>
      </c>
      <c r="H143" s="7" t="s">
        <v>2323</v>
      </c>
      <c r="I143" s="7" t="s">
        <v>2275</v>
      </c>
      <c r="J143" s="7" t="s">
        <v>2310</v>
      </c>
      <c r="K143" s="7" t="s">
        <v>1691</v>
      </c>
      <c r="L143" s="7"/>
      <c r="M143" s="7" t="s">
        <v>588</v>
      </c>
      <c r="N143" s="7"/>
      <c r="O143" s="7">
        <v>3</v>
      </c>
      <c r="P143" s="7"/>
      <c r="Q143" s="7">
        <v>0</v>
      </c>
      <c r="R143" s="7">
        <v>7</v>
      </c>
      <c r="S143" s="7">
        <v>7</v>
      </c>
      <c r="T143" s="7" t="s">
        <v>343</v>
      </c>
      <c r="U143" s="7" t="s">
        <v>2324</v>
      </c>
    </row>
    <row r="144" spans="1:21" x14ac:dyDescent="0.3">
      <c r="A144" s="6" t="s">
        <v>2325</v>
      </c>
      <c r="B144" s="7" t="s">
        <v>127</v>
      </c>
      <c r="C144" s="7" t="s">
        <v>589</v>
      </c>
      <c r="D144" s="7" t="s">
        <v>26</v>
      </c>
      <c r="E144" s="7" t="s">
        <v>1431</v>
      </c>
      <c r="F144" s="7" t="s">
        <v>1432</v>
      </c>
      <c r="G144" s="7" t="s">
        <v>2326</v>
      </c>
      <c r="H144" s="7" t="s">
        <v>2327</v>
      </c>
      <c r="I144" s="7" t="s">
        <v>2275</v>
      </c>
      <c r="J144" s="7" t="s">
        <v>2310</v>
      </c>
      <c r="K144" s="7" t="s">
        <v>1691</v>
      </c>
      <c r="L144" s="7">
        <v>3</v>
      </c>
      <c r="M144" s="7"/>
      <c r="N144" s="7"/>
      <c r="O144" s="7">
        <v>3</v>
      </c>
      <c r="P144" s="7"/>
      <c r="Q144" s="7">
        <v>0</v>
      </c>
      <c r="R144" s="7">
        <v>8</v>
      </c>
      <c r="S144" s="7">
        <v>8</v>
      </c>
      <c r="T144" s="7" t="s">
        <v>874</v>
      </c>
      <c r="U144" s="7" t="s">
        <v>179</v>
      </c>
    </row>
    <row r="145" spans="1:21" x14ac:dyDescent="0.3">
      <c r="A145" s="6" t="s">
        <v>2328</v>
      </c>
      <c r="B145" s="7" t="s">
        <v>127</v>
      </c>
      <c r="C145" s="7" t="s">
        <v>589</v>
      </c>
      <c r="D145" s="7" t="s">
        <v>26</v>
      </c>
      <c r="E145" s="7" t="s">
        <v>1435</v>
      </c>
      <c r="F145" s="7" t="s">
        <v>1436</v>
      </c>
      <c r="G145" s="7" t="s">
        <v>2329</v>
      </c>
      <c r="H145" s="7" t="s">
        <v>2330</v>
      </c>
      <c r="I145" s="7" t="s">
        <v>2275</v>
      </c>
      <c r="J145" s="7" t="s">
        <v>2276</v>
      </c>
      <c r="K145" s="7" t="s">
        <v>2277</v>
      </c>
      <c r="L145" s="7">
        <v>7</v>
      </c>
      <c r="M145" s="7"/>
      <c r="N145" s="7"/>
      <c r="O145" s="7">
        <v>7</v>
      </c>
      <c r="P145" s="7"/>
      <c r="Q145" s="7">
        <v>2</v>
      </c>
      <c r="R145" s="7">
        <v>5</v>
      </c>
      <c r="S145" s="7">
        <v>7</v>
      </c>
      <c r="T145" s="7" t="s">
        <v>69</v>
      </c>
      <c r="U145" s="7" t="s">
        <v>2304</v>
      </c>
    </row>
    <row r="146" spans="1:21" x14ac:dyDescent="0.3">
      <c r="A146" s="6" t="s">
        <v>2331</v>
      </c>
      <c r="B146" s="7" t="s">
        <v>127</v>
      </c>
      <c r="C146" s="7" t="s">
        <v>589</v>
      </c>
      <c r="D146" s="7" t="s">
        <v>26</v>
      </c>
      <c r="E146" s="7" t="s">
        <v>2332</v>
      </c>
      <c r="F146" s="7" t="s">
        <v>2333</v>
      </c>
      <c r="G146" s="7" t="s">
        <v>2334</v>
      </c>
      <c r="H146" s="7" t="s">
        <v>2335</v>
      </c>
      <c r="I146" s="7" t="s">
        <v>2275</v>
      </c>
      <c r="J146" s="7" t="s">
        <v>2310</v>
      </c>
      <c r="K146" s="7" t="s">
        <v>1691</v>
      </c>
      <c r="L146" s="7">
        <v>10</v>
      </c>
      <c r="M146" s="7"/>
      <c r="N146" s="7"/>
      <c r="O146" s="7">
        <v>10</v>
      </c>
      <c r="P146" s="7"/>
      <c r="Q146" s="7">
        <v>4</v>
      </c>
      <c r="R146" s="7">
        <v>24</v>
      </c>
      <c r="S146" s="7">
        <v>28</v>
      </c>
      <c r="T146" s="7" t="s">
        <v>2336</v>
      </c>
      <c r="U146" s="7" t="s">
        <v>955</v>
      </c>
    </row>
    <row r="147" spans="1:21" x14ac:dyDescent="0.3">
      <c r="A147" s="6" t="s">
        <v>2337</v>
      </c>
      <c r="B147" s="7" t="s">
        <v>127</v>
      </c>
      <c r="C147" s="7" t="s">
        <v>589</v>
      </c>
      <c r="D147" s="7" t="s">
        <v>26</v>
      </c>
      <c r="E147" s="7" t="s">
        <v>1461</v>
      </c>
      <c r="F147" s="7" t="s">
        <v>1462</v>
      </c>
      <c r="G147" s="7" t="s">
        <v>2338</v>
      </c>
      <c r="H147" s="7" t="s">
        <v>2339</v>
      </c>
      <c r="I147" s="7" t="s">
        <v>2293</v>
      </c>
      <c r="J147" s="7" t="s">
        <v>1675</v>
      </c>
      <c r="K147" s="7" t="s">
        <v>1677</v>
      </c>
      <c r="L147" s="7">
        <v>4</v>
      </c>
      <c r="M147" s="7"/>
      <c r="N147" s="7"/>
      <c r="O147" s="7">
        <v>4</v>
      </c>
      <c r="P147" s="7"/>
      <c r="Q147" s="7">
        <v>0</v>
      </c>
      <c r="R147" s="7">
        <v>4</v>
      </c>
      <c r="S147" s="7">
        <v>4</v>
      </c>
      <c r="T147" s="7" t="s">
        <v>2340</v>
      </c>
      <c r="U147" s="7" t="s">
        <v>2336</v>
      </c>
    </row>
    <row r="148" spans="1:21" x14ac:dyDescent="0.3">
      <c r="A148" s="6" t="s">
        <v>2341</v>
      </c>
      <c r="B148" s="7" t="s">
        <v>127</v>
      </c>
      <c r="C148" s="7" t="s">
        <v>589</v>
      </c>
      <c r="D148" s="7" t="s">
        <v>26</v>
      </c>
      <c r="E148" s="7" t="s">
        <v>2342</v>
      </c>
      <c r="F148" s="7" t="s">
        <v>516</v>
      </c>
      <c r="G148" s="7" t="s">
        <v>2343</v>
      </c>
      <c r="H148" s="7" t="s">
        <v>2344</v>
      </c>
      <c r="I148" s="7" t="s">
        <v>2293</v>
      </c>
      <c r="J148" s="7" t="s">
        <v>1675</v>
      </c>
      <c r="K148" s="7" t="s">
        <v>1677</v>
      </c>
      <c r="L148" s="7">
        <v>21</v>
      </c>
      <c r="M148" s="7"/>
      <c r="N148" s="7"/>
      <c r="O148" s="7">
        <v>21</v>
      </c>
      <c r="P148" s="7"/>
      <c r="Q148" s="7">
        <v>3</v>
      </c>
      <c r="R148" s="7">
        <v>18</v>
      </c>
      <c r="S148" s="7">
        <v>21</v>
      </c>
      <c r="T148" s="7" t="s">
        <v>111</v>
      </c>
      <c r="U148" s="7" t="s">
        <v>1218</v>
      </c>
    </row>
    <row r="149" spans="1:21" x14ac:dyDescent="0.3">
      <c r="A149" s="6" t="s">
        <v>2345</v>
      </c>
      <c r="B149" s="7" t="s">
        <v>127</v>
      </c>
      <c r="C149" s="7" t="s">
        <v>589</v>
      </c>
      <c r="D149" s="7" t="s">
        <v>27</v>
      </c>
      <c r="E149" s="7" t="s">
        <v>2346</v>
      </c>
      <c r="F149" s="7" t="s">
        <v>2347</v>
      </c>
      <c r="G149" s="7" t="s">
        <v>2348</v>
      </c>
      <c r="H149" s="7" t="s">
        <v>2349</v>
      </c>
      <c r="I149" s="7" t="s">
        <v>1655</v>
      </c>
      <c r="J149" s="7" t="s">
        <v>1655</v>
      </c>
      <c r="K149" s="7" t="s">
        <v>1807</v>
      </c>
      <c r="L149" s="7">
        <v>1</v>
      </c>
      <c r="M149" s="7"/>
      <c r="N149" s="7"/>
      <c r="O149" s="7">
        <v>1</v>
      </c>
      <c r="P149" s="7"/>
      <c r="Q149" s="7">
        <v>0</v>
      </c>
      <c r="R149" s="7">
        <v>1</v>
      </c>
      <c r="S149" s="7">
        <v>1</v>
      </c>
      <c r="T149" s="7" t="s">
        <v>2350</v>
      </c>
      <c r="U149" s="7" t="s">
        <v>612</v>
      </c>
    </row>
    <row r="150" spans="1:21" x14ac:dyDescent="0.3">
      <c r="A150" s="6" t="s">
        <v>2351</v>
      </c>
      <c r="B150" s="7" t="s">
        <v>127</v>
      </c>
      <c r="C150" s="7" t="s">
        <v>589</v>
      </c>
      <c r="D150" s="7" t="s">
        <v>27</v>
      </c>
      <c r="E150" s="7" t="s">
        <v>1497</v>
      </c>
      <c r="F150" s="7" t="s">
        <v>638</v>
      </c>
      <c r="G150" s="7" t="s">
        <v>2352</v>
      </c>
      <c r="H150" s="7" t="s">
        <v>2353</v>
      </c>
      <c r="I150" s="7" t="s">
        <v>2354</v>
      </c>
      <c r="J150" s="7" t="s">
        <v>2355</v>
      </c>
      <c r="K150" s="7" t="s">
        <v>1670</v>
      </c>
      <c r="L150" s="7"/>
      <c r="M150" s="7" t="s">
        <v>1784</v>
      </c>
      <c r="N150" s="7"/>
      <c r="O150" s="7">
        <v>7</v>
      </c>
      <c r="P150" s="7"/>
      <c r="Q150" s="7">
        <v>1</v>
      </c>
      <c r="R150" s="7">
        <v>6</v>
      </c>
      <c r="S150" s="7">
        <v>7</v>
      </c>
      <c r="T150" s="7" t="s">
        <v>793</v>
      </c>
      <c r="U150" s="7" t="s">
        <v>640</v>
      </c>
    </row>
    <row r="151" spans="1:21" x14ac:dyDescent="0.3">
      <c r="A151" s="6" t="s">
        <v>2356</v>
      </c>
      <c r="B151" s="7" t="s">
        <v>127</v>
      </c>
      <c r="C151" s="7" t="s">
        <v>589</v>
      </c>
      <c r="D151" s="7" t="s">
        <v>27</v>
      </c>
      <c r="E151" s="7" t="s">
        <v>2357</v>
      </c>
      <c r="F151" s="7" t="s">
        <v>2358</v>
      </c>
      <c r="G151" s="7" t="s">
        <v>2359</v>
      </c>
      <c r="H151" s="7" t="s">
        <v>2360</v>
      </c>
      <c r="I151" s="7" t="s">
        <v>2354</v>
      </c>
      <c r="J151" s="7" t="s">
        <v>2361</v>
      </c>
      <c r="K151" s="7" t="s">
        <v>1670</v>
      </c>
      <c r="L151" s="7"/>
      <c r="M151" s="7" t="s">
        <v>1770</v>
      </c>
      <c r="N151" s="7"/>
      <c r="O151" s="7">
        <v>6</v>
      </c>
      <c r="P151" s="7"/>
      <c r="Q151" s="7">
        <v>0</v>
      </c>
      <c r="R151" s="7">
        <v>6</v>
      </c>
      <c r="S151" s="7">
        <v>6</v>
      </c>
      <c r="T151" s="7" t="s">
        <v>208</v>
      </c>
      <c r="U151" s="7" t="s">
        <v>166</v>
      </c>
    </row>
    <row r="152" spans="1:21" x14ac:dyDescent="0.3">
      <c r="A152" s="6" t="s">
        <v>2362</v>
      </c>
      <c r="B152" s="7" t="s">
        <v>127</v>
      </c>
      <c r="C152" s="7" t="s">
        <v>589</v>
      </c>
      <c r="D152" s="7" t="s">
        <v>27</v>
      </c>
      <c r="E152" s="7" t="s">
        <v>2363</v>
      </c>
      <c r="F152" s="7" t="s">
        <v>2364</v>
      </c>
      <c r="G152" s="7" t="s">
        <v>2365</v>
      </c>
      <c r="H152" s="7" t="s">
        <v>2366</v>
      </c>
      <c r="I152" s="7" t="s">
        <v>2354</v>
      </c>
      <c r="J152" s="7" t="s">
        <v>2367</v>
      </c>
      <c r="K152" s="7" t="s">
        <v>1670</v>
      </c>
      <c r="L152" s="7"/>
      <c r="M152" s="7" t="s">
        <v>588</v>
      </c>
      <c r="N152" s="7"/>
      <c r="O152" s="7">
        <v>3</v>
      </c>
      <c r="P152" s="7"/>
      <c r="Q152" s="7">
        <v>1</v>
      </c>
      <c r="R152" s="7">
        <v>2</v>
      </c>
      <c r="S152" s="7">
        <v>3</v>
      </c>
      <c r="T152" s="7" t="s">
        <v>811</v>
      </c>
      <c r="U152" s="7" t="s">
        <v>505</v>
      </c>
    </row>
    <row r="153" spans="1:21" x14ac:dyDescent="0.3">
      <c r="A153" s="6" t="s">
        <v>2368</v>
      </c>
      <c r="B153" s="7" t="s">
        <v>127</v>
      </c>
      <c r="C153" s="7" t="s">
        <v>589</v>
      </c>
      <c r="D153" s="7" t="s">
        <v>27</v>
      </c>
      <c r="E153" s="7" t="s">
        <v>2369</v>
      </c>
      <c r="F153" s="7" t="s">
        <v>2370</v>
      </c>
      <c r="G153" s="7" t="s">
        <v>2371</v>
      </c>
      <c r="H153" s="7" t="s">
        <v>2372</v>
      </c>
      <c r="I153" s="7" t="s">
        <v>2354</v>
      </c>
      <c r="J153" s="7" t="s">
        <v>2373</v>
      </c>
      <c r="K153" s="7" t="s">
        <v>1782</v>
      </c>
      <c r="L153" s="7"/>
      <c r="M153" s="7" t="s">
        <v>610</v>
      </c>
      <c r="N153" s="7"/>
      <c r="O153" s="7">
        <v>4</v>
      </c>
      <c r="P153" s="7"/>
      <c r="Q153" s="7">
        <v>2</v>
      </c>
      <c r="R153" s="7">
        <v>2</v>
      </c>
      <c r="S153" s="7">
        <v>4</v>
      </c>
      <c r="T153" s="7" t="s">
        <v>303</v>
      </c>
      <c r="U153" s="7" t="s">
        <v>294</v>
      </c>
    </row>
    <row r="154" spans="1:21" x14ac:dyDescent="0.3">
      <c r="A154" s="6" t="s">
        <v>2374</v>
      </c>
      <c r="B154" s="7" t="s">
        <v>127</v>
      </c>
      <c r="C154" s="7"/>
      <c r="D154" s="7" t="s">
        <v>28</v>
      </c>
      <c r="E154" s="7" t="s">
        <v>2375</v>
      </c>
      <c r="F154" s="7" t="s">
        <v>401</v>
      </c>
      <c r="G154" s="7" t="s">
        <v>2376</v>
      </c>
      <c r="H154" s="7" t="s">
        <v>2377</v>
      </c>
      <c r="I154" s="7" t="s">
        <v>2378</v>
      </c>
      <c r="J154" s="7" t="s">
        <v>2379</v>
      </c>
      <c r="K154" s="7" t="s">
        <v>1792</v>
      </c>
      <c r="L154" s="7">
        <v>2</v>
      </c>
      <c r="M154" s="7"/>
      <c r="N154" s="7"/>
      <c r="O154" s="7"/>
      <c r="P154" s="7"/>
      <c r="Q154" s="7">
        <v>0</v>
      </c>
      <c r="R154" s="7">
        <v>2</v>
      </c>
      <c r="S154" s="7">
        <v>2</v>
      </c>
      <c r="T154" s="7" t="s">
        <v>1941</v>
      </c>
      <c r="U154" s="7" t="s">
        <v>676</v>
      </c>
    </row>
    <row r="155" spans="1:21" x14ac:dyDescent="0.3">
      <c r="A155" s="6" t="s">
        <v>2380</v>
      </c>
      <c r="B155" s="7" t="s">
        <v>127</v>
      </c>
      <c r="C155" s="7"/>
      <c r="D155" s="7" t="s">
        <v>28</v>
      </c>
      <c r="E155" s="7" t="s">
        <v>2381</v>
      </c>
      <c r="F155" s="7" t="s">
        <v>1721</v>
      </c>
      <c r="G155" s="7" t="s">
        <v>2382</v>
      </c>
      <c r="H155" s="7" t="s">
        <v>2383</v>
      </c>
      <c r="I155" s="7" t="s">
        <v>2384</v>
      </c>
      <c r="J155" s="7" t="s">
        <v>2385</v>
      </c>
      <c r="K155" s="7" t="s">
        <v>1670</v>
      </c>
      <c r="L155" s="7"/>
      <c r="M155" s="7" t="s">
        <v>606</v>
      </c>
      <c r="N155" s="7"/>
      <c r="O155" s="7">
        <v>5</v>
      </c>
      <c r="P155" s="7"/>
      <c r="Q155" s="7">
        <v>1</v>
      </c>
      <c r="R155" s="7">
        <v>4</v>
      </c>
      <c r="S155" s="7">
        <v>5</v>
      </c>
      <c r="T155" s="7" t="s">
        <v>2386</v>
      </c>
      <c r="U155" s="7" t="s">
        <v>246</v>
      </c>
    </row>
    <row r="156" spans="1:21" x14ac:dyDescent="0.3">
      <c r="A156" s="6" t="s">
        <v>2387</v>
      </c>
      <c r="B156" s="7" t="s">
        <v>127</v>
      </c>
      <c r="C156" s="7"/>
      <c r="D156" s="7" t="s">
        <v>28</v>
      </c>
      <c r="E156" s="7" t="s">
        <v>2388</v>
      </c>
      <c r="F156" s="7" t="s">
        <v>2389</v>
      </c>
      <c r="G156" s="7" t="s">
        <v>2390</v>
      </c>
      <c r="H156" s="7" t="s">
        <v>2391</v>
      </c>
      <c r="I156" s="7" t="s">
        <v>2378</v>
      </c>
      <c r="J156" s="7" t="s">
        <v>2378</v>
      </c>
      <c r="K156" s="7" t="s">
        <v>1792</v>
      </c>
      <c r="L156" s="7"/>
      <c r="M156" s="7" t="s">
        <v>789</v>
      </c>
      <c r="N156" s="7"/>
      <c r="O156" s="7"/>
      <c r="P156" s="7"/>
      <c r="Q156" s="7">
        <v>3</v>
      </c>
      <c r="R156" s="7">
        <v>70</v>
      </c>
      <c r="S156" s="7">
        <v>73</v>
      </c>
      <c r="T156" s="7" t="s">
        <v>324</v>
      </c>
      <c r="U156" s="7" t="s">
        <v>155</v>
      </c>
    </row>
    <row r="157" spans="1:21" x14ac:dyDescent="0.3">
      <c r="A157" s="6" t="s">
        <v>2392</v>
      </c>
      <c r="B157" s="7" t="s">
        <v>127</v>
      </c>
      <c r="C157" s="7"/>
      <c r="D157" s="7" t="s">
        <v>28</v>
      </c>
      <c r="E157" s="7" t="s">
        <v>2393</v>
      </c>
      <c r="F157" s="7" t="s">
        <v>1098</v>
      </c>
      <c r="G157" s="7" t="s">
        <v>2394</v>
      </c>
      <c r="H157" s="7" t="s">
        <v>2395</v>
      </c>
      <c r="I157" s="7" t="s">
        <v>2378</v>
      </c>
      <c r="J157" s="7" t="s">
        <v>2378</v>
      </c>
      <c r="K157" s="7" t="s">
        <v>1792</v>
      </c>
      <c r="L157" s="7"/>
      <c r="M157" s="7" t="s">
        <v>600</v>
      </c>
      <c r="N157" s="7"/>
      <c r="O157" s="7"/>
      <c r="P157" s="7"/>
      <c r="Q157" s="7">
        <v>0</v>
      </c>
      <c r="R157" s="7">
        <v>2</v>
      </c>
      <c r="S157" s="7">
        <v>2</v>
      </c>
      <c r="T157" s="7" t="s">
        <v>196</v>
      </c>
      <c r="U157" s="7" t="s">
        <v>155</v>
      </c>
    </row>
    <row r="158" spans="1:21" x14ac:dyDescent="0.3">
      <c r="A158" s="6" t="s">
        <v>2396</v>
      </c>
      <c r="B158" s="7" t="s">
        <v>127</v>
      </c>
      <c r="C158" s="7"/>
      <c r="D158" s="7" t="s">
        <v>28</v>
      </c>
      <c r="E158" s="7" t="s">
        <v>2397</v>
      </c>
      <c r="F158" s="7" t="s">
        <v>2398</v>
      </c>
      <c r="G158" s="7" t="s">
        <v>2399</v>
      </c>
      <c r="H158" s="7" t="s">
        <v>2400</v>
      </c>
      <c r="I158" s="7" t="s">
        <v>2378</v>
      </c>
      <c r="J158" s="7" t="s">
        <v>2378</v>
      </c>
      <c r="K158" s="7" t="s">
        <v>1792</v>
      </c>
      <c r="L158" s="7">
        <v>1</v>
      </c>
      <c r="M158" s="7"/>
      <c r="N158" s="7"/>
      <c r="O158" s="7"/>
      <c r="P158" s="7"/>
      <c r="Q158" s="7">
        <v>0</v>
      </c>
      <c r="R158" s="7">
        <v>1</v>
      </c>
      <c r="S158" s="7">
        <v>1</v>
      </c>
      <c r="T158" s="7" t="s">
        <v>562</v>
      </c>
      <c r="U158" s="7" t="s">
        <v>1218</v>
      </c>
    </row>
    <row r="159" spans="1:21" x14ac:dyDescent="0.3">
      <c r="A159" s="6" t="s">
        <v>2401</v>
      </c>
      <c r="B159" s="7" t="s">
        <v>127</v>
      </c>
      <c r="C159" s="7"/>
      <c r="D159" s="7" t="s">
        <v>28</v>
      </c>
      <c r="E159" s="7" t="s">
        <v>2402</v>
      </c>
      <c r="F159" s="7" t="s">
        <v>2403</v>
      </c>
      <c r="G159" s="7" t="s">
        <v>2404</v>
      </c>
      <c r="H159" s="7" t="s">
        <v>2405</v>
      </c>
      <c r="I159" s="7" t="s">
        <v>2378</v>
      </c>
      <c r="J159" s="7" t="s">
        <v>2406</v>
      </c>
      <c r="K159" s="7" t="s">
        <v>1792</v>
      </c>
      <c r="L159" s="7"/>
      <c r="M159" s="7" t="s">
        <v>610</v>
      </c>
      <c r="N159" s="7"/>
      <c r="O159" s="7"/>
      <c r="P159" s="7"/>
      <c r="Q159" s="7">
        <v>0</v>
      </c>
      <c r="R159" s="7">
        <v>4</v>
      </c>
      <c r="S159" s="7">
        <v>4</v>
      </c>
      <c r="T159" s="7" t="s">
        <v>2407</v>
      </c>
      <c r="U159" s="7" t="s">
        <v>232</v>
      </c>
    </row>
    <row r="160" spans="1:21" x14ac:dyDescent="0.3">
      <c r="A160" s="6" t="s">
        <v>2408</v>
      </c>
      <c r="B160" s="7" t="s">
        <v>127</v>
      </c>
      <c r="C160" s="7"/>
      <c r="D160" s="7" t="s">
        <v>28</v>
      </c>
      <c r="E160" s="7" t="s">
        <v>2409</v>
      </c>
      <c r="F160" s="7" t="s">
        <v>862</v>
      </c>
      <c r="G160" s="7" t="s">
        <v>2410</v>
      </c>
      <c r="H160" s="7" t="s">
        <v>2411</v>
      </c>
      <c r="I160" s="7" t="s">
        <v>2378</v>
      </c>
      <c r="J160" s="7" t="s">
        <v>1699</v>
      </c>
      <c r="K160" s="7" t="s">
        <v>1792</v>
      </c>
      <c r="L160" s="7"/>
      <c r="M160" s="7" t="s">
        <v>594</v>
      </c>
      <c r="N160" s="7"/>
      <c r="O160" s="7"/>
      <c r="P160" s="7"/>
      <c r="Q160" s="7">
        <v>0</v>
      </c>
      <c r="R160" s="7">
        <v>1</v>
      </c>
      <c r="S160" s="7">
        <v>1</v>
      </c>
      <c r="T160" s="7" t="s">
        <v>165</v>
      </c>
      <c r="U160" s="7" t="s">
        <v>2412</v>
      </c>
    </row>
    <row r="161" spans="1:21" x14ac:dyDescent="0.3">
      <c r="A161" s="6" t="s">
        <v>2413</v>
      </c>
      <c r="B161" s="7" t="s">
        <v>127</v>
      </c>
      <c r="C161" s="7"/>
      <c r="D161" s="7" t="s">
        <v>28</v>
      </c>
      <c r="E161" s="7" t="s">
        <v>2414</v>
      </c>
      <c r="F161" s="7" t="s">
        <v>2415</v>
      </c>
      <c r="G161" s="7" t="s">
        <v>2416</v>
      </c>
      <c r="H161" s="7" t="s">
        <v>2417</v>
      </c>
      <c r="I161" s="7" t="s">
        <v>2378</v>
      </c>
      <c r="J161" s="7" t="s">
        <v>2379</v>
      </c>
      <c r="K161" s="7" t="s">
        <v>1792</v>
      </c>
      <c r="L161" s="7"/>
      <c r="M161" s="7" t="s">
        <v>606</v>
      </c>
      <c r="N161" s="7"/>
      <c r="O161" s="7"/>
      <c r="P161" s="7"/>
      <c r="Q161" s="7">
        <v>0</v>
      </c>
      <c r="R161" s="7">
        <v>5</v>
      </c>
      <c r="S161" s="7">
        <v>5</v>
      </c>
      <c r="T161" s="7" t="s">
        <v>2418</v>
      </c>
      <c r="U161" s="7" t="s">
        <v>404</v>
      </c>
    </row>
    <row r="162" spans="1:21" x14ac:dyDescent="0.3">
      <c r="A162" s="6" t="s">
        <v>2419</v>
      </c>
      <c r="B162" s="7" t="s">
        <v>127</v>
      </c>
      <c r="C162" s="7"/>
      <c r="D162" s="7" t="s">
        <v>28</v>
      </c>
      <c r="E162" s="7" t="s">
        <v>2420</v>
      </c>
      <c r="F162" s="7" t="s">
        <v>2421</v>
      </c>
      <c r="G162" s="7" t="s">
        <v>2422</v>
      </c>
      <c r="H162" s="7" t="s">
        <v>2423</v>
      </c>
      <c r="I162" s="7" t="s">
        <v>1734</v>
      </c>
      <c r="J162" s="7" t="s">
        <v>2378</v>
      </c>
      <c r="K162" s="7" t="s">
        <v>1792</v>
      </c>
      <c r="L162" s="7">
        <v>2</v>
      </c>
      <c r="M162" s="7"/>
      <c r="N162" s="7"/>
      <c r="O162" s="7"/>
      <c r="P162" s="7"/>
      <c r="Q162" s="7">
        <v>1</v>
      </c>
      <c r="R162" s="7">
        <v>1</v>
      </c>
      <c r="S162" s="7">
        <v>2</v>
      </c>
      <c r="T162" s="7" t="s">
        <v>366</v>
      </c>
      <c r="U162" s="7" t="s">
        <v>2424</v>
      </c>
    </row>
    <row r="163" spans="1:21" x14ac:dyDescent="0.3">
      <c r="A163" s="6" t="s">
        <v>2425</v>
      </c>
      <c r="B163" s="7" t="s">
        <v>1945</v>
      </c>
      <c r="C163" s="7" t="s">
        <v>2426</v>
      </c>
      <c r="D163" s="7" t="s">
        <v>28</v>
      </c>
      <c r="E163" s="7" t="s">
        <v>2427</v>
      </c>
      <c r="F163" s="7" t="s">
        <v>2428</v>
      </c>
      <c r="G163" s="7" t="s">
        <v>2429</v>
      </c>
      <c r="H163" s="7" t="s">
        <v>2430</v>
      </c>
      <c r="I163" s="7" t="s">
        <v>1734</v>
      </c>
      <c r="J163" s="7" t="s">
        <v>1676</v>
      </c>
      <c r="K163" s="7" t="s">
        <v>1735</v>
      </c>
      <c r="L163" s="7">
        <v>10</v>
      </c>
      <c r="M163" s="7"/>
      <c r="N163" s="7"/>
      <c r="O163" s="7"/>
      <c r="P163" s="7"/>
      <c r="Q163" s="7">
        <v>8</v>
      </c>
      <c r="R163" s="7">
        <v>2</v>
      </c>
      <c r="S163" s="7">
        <v>10</v>
      </c>
      <c r="T163" s="7" t="s">
        <v>492</v>
      </c>
      <c r="U163" s="7" t="s">
        <v>2431</v>
      </c>
    </row>
    <row r="164" spans="1:21" x14ac:dyDescent="0.3">
      <c r="A164" s="6" t="s">
        <v>2432</v>
      </c>
      <c r="B164" s="7" t="s">
        <v>127</v>
      </c>
      <c r="C164" s="7"/>
      <c r="D164" s="7" t="s">
        <v>28</v>
      </c>
      <c r="E164" s="7" t="s">
        <v>2433</v>
      </c>
      <c r="F164" s="7" t="s">
        <v>1182</v>
      </c>
      <c r="G164" s="7" t="s">
        <v>2434</v>
      </c>
      <c r="H164" s="7" t="s">
        <v>2435</v>
      </c>
      <c r="I164" s="7" t="s">
        <v>2378</v>
      </c>
      <c r="J164" s="7" t="s">
        <v>2379</v>
      </c>
      <c r="K164" s="7" t="s">
        <v>1792</v>
      </c>
      <c r="L164" s="7"/>
      <c r="M164" s="7" t="s">
        <v>606</v>
      </c>
      <c r="N164" s="7"/>
      <c r="O164" s="7"/>
      <c r="P164" s="7"/>
      <c r="Q164" s="7">
        <v>0</v>
      </c>
      <c r="R164" s="7">
        <v>5</v>
      </c>
      <c r="S164" s="7">
        <v>5</v>
      </c>
      <c r="T164" s="7" t="s">
        <v>99</v>
      </c>
      <c r="U164" s="7" t="s">
        <v>189</v>
      </c>
    </row>
    <row r="165" spans="1:21" x14ac:dyDescent="0.3">
      <c r="A165" s="6" t="s">
        <v>2436</v>
      </c>
      <c r="B165" s="7" t="s">
        <v>127</v>
      </c>
      <c r="C165" s="7"/>
      <c r="D165" s="7" t="s">
        <v>28</v>
      </c>
      <c r="E165" s="7" t="s">
        <v>2437</v>
      </c>
      <c r="F165" s="7" t="s">
        <v>2438</v>
      </c>
      <c r="G165" s="7" t="s">
        <v>2439</v>
      </c>
      <c r="H165" s="7" t="s">
        <v>2440</v>
      </c>
      <c r="I165" s="7" t="s">
        <v>2378</v>
      </c>
      <c r="J165" s="7" t="s">
        <v>1699</v>
      </c>
      <c r="K165" s="7" t="s">
        <v>1792</v>
      </c>
      <c r="L165" s="7"/>
      <c r="M165" s="7" t="s">
        <v>600</v>
      </c>
      <c r="N165" s="7"/>
      <c r="O165" s="7"/>
      <c r="P165" s="7"/>
      <c r="Q165" s="7">
        <v>0</v>
      </c>
      <c r="R165" s="7">
        <v>2</v>
      </c>
      <c r="S165" s="7">
        <v>2</v>
      </c>
      <c r="T165" s="7" t="s">
        <v>1307</v>
      </c>
      <c r="U165" s="7" t="s">
        <v>294</v>
      </c>
    </row>
    <row r="166" spans="1:21" x14ac:dyDescent="0.3">
      <c r="A166" s="6" t="s">
        <v>2441</v>
      </c>
      <c r="B166" s="7" t="s">
        <v>127</v>
      </c>
      <c r="C166" s="7"/>
      <c r="D166" s="7" t="s">
        <v>28</v>
      </c>
      <c r="E166" s="7" t="s">
        <v>2442</v>
      </c>
      <c r="F166" s="7" t="s">
        <v>2443</v>
      </c>
      <c r="G166" s="7" t="s">
        <v>2444</v>
      </c>
      <c r="H166" s="7" t="s">
        <v>2445</v>
      </c>
      <c r="I166" s="7" t="s">
        <v>2378</v>
      </c>
      <c r="J166" s="7" t="s">
        <v>2379</v>
      </c>
      <c r="K166" s="7" t="s">
        <v>1792</v>
      </c>
      <c r="L166" s="7"/>
      <c r="M166" s="7" t="s">
        <v>594</v>
      </c>
      <c r="N166" s="7"/>
      <c r="O166" s="7"/>
      <c r="P166" s="7"/>
      <c r="Q166" s="7">
        <v>0</v>
      </c>
      <c r="R166" s="7">
        <v>1</v>
      </c>
      <c r="S166" s="7">
        <v>1</v>
      </c>
      <c r="T166" s="7" t="s">
        <v>1066</v>
      </c>
      <c r="U166" s="7" t="s">
        <v>2446</v>
      </c>
    </row>
    <row r="167" spans="1:21" x14ac:dyDescent="0.3">
      <c r="A167" s="6" t="s">
        <v>2447</v>
      </c>
      <c r="B167" s="7" t="s">
        <v>127</v>
      </c>
      <c r="C167" s="7"/>
      <c r="D167" s="7" t="s">
        <v>28</v>
      </c>
      <c r="E167" s="7" t="s">
        <v>2448</v>
      </c>
      <c r="F167" s="7" t="s">
        <v>1025</v>
      </c>
      <c r="G167" s="7" t="s">
        <v>2449</v>
      </c>
      <c r="H167" s="7" t="s">
        <v>2450</v>
      </c>
      <c r="I167" s="7" t="s">
        <v>2378</v>
      </c>
      <c r="J167" s="7" t="s">
        <v>2378</v>
      </c>
      <c r="K167" s="7" t="s">
        <v>1792</v>
      </c>
      <c r="L167" s="7">
        <v>3</v>
      </c>
      <c r="M167" s="7"/>
      <c r="N167" s="7"/>
      <c r="O167" s="7"/>
      <c r="P167" s="7"/>
      <c r="Q167" s="7">
        <v>3</v>
      </c>
      <c r="R167" s="7">
        <v>0</v>
      </c>
      <c r="S167" s="7">
        <v>3</v>
      </c>
      <c r="T167" s="7" t="s">
        <v>604</v>
      </c>
      <c r="U167" s="7" t="s">
        <v>266</v>
      </c>
    </row>
    <row r="168" spans="1:21" x14ac:dyDescent="0.3">
      <c r="A168" s="6" t="s">
        <v>2451</v>
      </c>
      <c r="B168" s="7" t="s">
        <v>127</v>
      </c>
      <c r="C168" s="7" t="s">
        <v>589</v>
      </c>
      <c r="D168" s="7" t="s">
        <v>29</v>
      </c>
      <c r="E168" s="7" t="s">
        <v>515</v>
      </c>
      <c r="F168" s="7" t="s">
        <v>516</v>
      </c>
      <c r="G168" s="7" t="s">
        <v>2452</v>
      </c>
      <c r="H168" s="7" t="s">
        <v>2453</v>
      </c>
      <c r="I168" s="7" t="s">
        <v>2454</v>
      </c>
      <c r="J168" s="7" t="s">
        <v>2455</v>
      </c>
      <c r="K168" s="7" t="s">
        <v>1670</v>
      </c>
      <c r="L168" s="7">
        <v>9</v>
      </c>
      <c r="M168" s="7"/>
      <c r="N168" s="7"/>
      <c r="O168" s="7">
        <v>9</v>
      </c>
      <c r="P168" s="7"/>
      <c r="Q168" s="7">
        <v>3</v>
      </c>
      <c r="R168" s="7">
        <v>6</v>
      </c>
      <c r="S168" s="7"/>
      <c r="T168" s="7" t="s">
        <v>1769</v>
      </c>
      <c r="U168" s="7" t="s">
        <v>343</v>
      </c>
    </row>
    <row r="169" spans="1:21" x14ac:dyDescent="0.3">
      <c r="A169" s="6" t="s">
        <v>2456</v>
      </c>
      <c r="B169" s="7" t="s">
        <v>127</v>
      </c>
      <c r="C169" s="7" t="s">
        <v>589</v>
      </c>
      <c r="D169" s="7" t="s">
        <v>30</v>
      </c>
      <c r="E169" s="7" t="s">
        <v>1537</v>
      </c>
      <c r="F169" s="7" t="s">
        <v>2457</v>
      </c>
      <c r="G169" s="7" t="s">
        <v>2458</v>
      </c>
      <c r="H169" s="7" t="s">
        <v>2459</v>
      </c>
      <c r="I169" s="7" t="s">
        <v>2460</v>
      </c>
      <c r="J169" s="7" t="s">
        <v>2461</v>
      </c>
      <c r="K169" s="7" t="s">
        <v>1792</v>
      </c>
      <c r="L169" s="7">
        <v>8</v>
      </c>
      <c r="M169" s="7"/>
      <c r="N169" s="7"/>
      <c r="O169" s="7">
        <v>8</v>
      </c>
      <c r="P169" s="7"/>
      <c r="Q169" s="7">
        <v>1</v>
      </c>
      <c r="R169" s="7">
        <v>7</v>
      </c>
      <c r="S169" s="7">
        <v>8</v>
      </c>
      <c r="T169" s="7" t="s">
        <v>2061</v>
      </c>
      <c r="U169" s="7" t="s">
        <v>2462</v>
      </c>
    </row>
    <row r="170" spans="1:21" x14ac:dyDescent="0.3">
      <c r="A170" s="6" t="s">
        <v>2463</v>
      </c>
      <c r="B170" s="7" t="s">
        <v>2464</v>
      </c>
      <c r="C170" s="7" t="s">
        <v>2465</v>
      </c>
      <c r="D170" s="7" t="s">
        <v>31</v>
      </c>
      <c r="E170" s="7" t="s">
        <v>2466</v>
      </c>
      <c r="F170" s="7" t="s">
        <v>1035</v>
      </c>
      <c r="G170" s="7" t="s">
        <v>2467</v>
      </c>
      <c r="H170" s="7" t="s">
        <v>2468</v>
      </c>
      <c r="I170" s="7" t="s">
        <v>2469</v>
      </c>
      <c r="J170" s="7" t="s">
        <v>2470</v>
      </c>
      <c r="K170" s="7" t="s">
        <v>1670</v>
      </c>
      <c r="L170" s="7"/>
      <c r="M170" s="7"/>
      <c r="N170" s="7"/>
      <c r="O170" s="7">
        <v>3</v>
      </c>
      <c r="P170" s="7"/>
      <c r="Q170" s="7"/>
      <c r="R170" s="7">
        <v>3</v>
      </c>
      <c r="S170" s="7">
        <v>3</v>
      </c>
      <c r="T170" s="7" t="s">
        <v>2471</v>
      </c>
      <c r="U170" s="7" t="s">
        <v>1150</v>
      </c>
    </row>
  </sheetData>
  <hyperlinks>
    <hyperlink ref="A1" location="'Dashboard-R'!A1" display="⬅️ Dashboard Principal"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9"/>
  <sheetViews>
    <sheetView showGridLines="0" showRowColHeaders="0" workbookViewId="0"/>
  </sheetViews>
  <sheetFormatPr baseColWidth="10" defaultColWidth="8.88671875" defaultRowHeight="14.4" x14ac:dyDescent="0.3"/>
  <cols>
    <col min="1" max="1" width="13" customWidth="1"/>
    <col min="2" max="2" width="8" customWidth="1"/>
    <col min="3" max="3" width="9" customWidth="1"/>
    <col min="4" max="4" width="15" customWidth="1"/>
    <col min="5" max="5" width="17" customWidth="1"/>
    <col min="6" max="6" width="22" customWidth="1"/>
    <col min="7" max="7" width="50" customWidth="1"/>
    <col min="8" max="8" width="16" customWidth="1"/>
    <col min="9" max="9" width="20" customWidth="1"/>
    <col min="10" max="10" width="17" customWidth="1"/>
    <col min="11" max="11" width="14" customWidth="1"/>
    <col min="12" max="12" width="13" customWidth="1"/>
    <col min="13" max="13" width="24" customWidth="1"/>
  </cols>
  <sheetData>
    <row r="1" spans="1:11" ht="30" customHeight="1" x14ac:dyDescent="0.3">
      <c r="A1" s="1" t="s">
        <v>0</v>
      </c>
      <c r="B1" s="2"/>
      <c r="C1" s="2"/>
      <c r="D1" s="2"/>
      <c r="E1" s="2"/>
      <c r="F1" s="2"/>
      <c r="G1" s="2"/>
      <c r="H1" s="2"/>
      <c r="I1" s="2"/>
      <c r="J1" s="2"/>
      <c r="K1" s="3" t="s">
        <v>1</v>
      </c>
    </row>
    <row r="2" spans="1:11" ht="25.05" customHeight="1" x14ac:dyDescent="0.3">
      <c r="A2" s="4" t="s">
        <v>117</v>
      </c>
      <c r="B2" s="5" t="s">
        <v>118</v>
      </c>
      <c r="C2" s="5" t="s">
        <v>119</v>
      </c>
      <c r="D2" s="5" t="s">
        <v>120</v>
      </c>
      <c r="E2" s="5" t="s">
        <v>121</v>
      </c>
      <c r="F2" s="5" t="s">
        <v>122</v>
      </c>
      <c r="G2" s="5" t="s">
        <v>44</v>
      </c>
      <c r="H2" s="5" t="s">
        <v>123</v>
      </c>
      <c r="I2" s="5" t="s">
        <v>124</v>
      </c>
      <c r="J2" s="5" t="s">
        <v>125</v>
      </c>
      <c r="K2" s="5" t="s">
        <v>2472</v>
      </c>
    </row>
    <row r="3" spans="1:11" x14ac:dyDescent="0.3">
      <c r="A3" s="6" t="s">
        <v>2473</v>
      </c>
      <c r="B3" s="7" t="s">
        <v>127</v>
      </c>
      <c r="C3" s="7" t="s">
        <v>2193</v>
      </c>
      <c r="D3" s="7" t="s">
        <v>16</v>
      </c>
      <c r="E3" s="7" t="s">
        <v>2474</v>
      </c>
      <c r="F3" s="7"/>
      <c r="G3" s="7"/>
      <c r="H3" s="7">
        <v>1</v>
      </c>
      <c r="I3" s="7" t="s">
        <v>2475</v>
      </c>
      <c r="J3" s="7"/>
      <c r="K3" s="7" t="s">
        <v>2476</v>
      </c>
    </row>
    <row r="4" spans="1:11" x14ac:dyDescent="0.3">
      <c r="A4" s="6" t="s">
        <v>2477</v>
      </c>
      <c r="B4" s="7" t="s">
        <v>127</v>
      </c>
      <c r="C4" s="7" t="s">
        <v>2193</v>
      </c>
      <c r="D4" s="7" t="s">
        <v>16</v>
      </c>
      <c r="E4" s="7" t="s">
        <v>2478</v>
      </c>
      <c r="F4" s="7"/>
      <c r="G4" s="7"/>
      <c r="H4" s="7">
        <v>3</v>
      </c>
      <c r="I4" s="7" t="s">
        <v>2479</v>
      </c>
      <c r="J4" s="7"/>
      <c r="K4" s="7" t="s">
        <v>2476</v>
      </c>
    </row>
    <row r="5" spans="1:11" x14ac:dyDescent="0.3">
      <c r="A5" s="6" t="s">
        <v>2480</v>
      </c>
      <c r="B5" s="7" t="s">
        <v>127</v>
      </c>
      <c r="C5" s="7" t="s">
        <v>2193</v>
      </c>
      <c r="D5" s="7" t="s">
        <v>16</v>
      </c>
      <c r="E5" s="7" t="s">
        <v>2478</v>
      </c>
      <c r="F5" s="7"/>
      <c r="G5" s="7"/>
      <c r="H5" s="7">
        <v>11</v>
      </c>
      <c r="I5" s="7" t="s">
        <v>2479</v>
      </c>
      <c r="J5" s="7"/>
      <c r="K5" s="7" t="s">
        <v>2476</v>
      </c>
    </row>
    <row r="6" spans="1:11" x14ac:dyDescent="0.3">
      <c r="A6" s="6" t="s">
        <v>2481</v>
      </c>
      <c r="B6" s="7" t="s">
        <v>127</v>
      </c>
      <c r="C6" s="7" t="s">
        <v>2193</v>
      </c>
      <c r="D6" s="7" t="s">
        <v>16</v>
      </c>
      <c r="E6" s="7" t="s">
        <v>2478</v>
      </c>
      <c r="F6" s="7"/>
      <c r="G6" s="7"/>
      <c r="H6" s="7">
        <v>3</v>
      </c>
      <c r="I6" s="7" t="s">
        <v>2479</v>
      </c>
      <c r="J6" s="7"/>
      <c r="K6" s="7" t="s">
        <v>2476</v>
      </c>
    </row>
    <row r="7" spans="1:11" x14ac:dyDescent="0.3">
      <c r="A7" s="6" t="s">
        <v>2482</v>
      </c>
      <c r="B7" s="7" t="s">
        <v>127</v>
      </c>
      <c r="C7" s="7" t="s">
        <v>2193</v>
      </c>
      <c r="D7" s="7" t="s">
        <v>16</v>
      </c>
      <c r="E7" s="7" t="s">
        <v>2483</v>
      </c>
      <c r="F7" s="7"/>
      <c r="G7" s="7"/>
      <c r="H7" s="7">
        <v>3</v>
      </c>
      <c r="I7" s="7" t="s">
        <v>2479</v>
      </c>
      <c r="J7" s="7"/>
      <c r="K7" s="7" t="s">
        <v>2476</v>
      </c>
    </row>
    <row r="8" spans="1:11" x14ac:dyDescent="0.3">
      <c r="A8" s="6" t="s">
        <v>2484</v>
      </c>
      <c r="B8" s="7" t="s">
        <v>127</v>
      </c>
      <c r="C8" s="7" t="s">
        <v>2193</v>
      </c>
      <c r="D8" s="7" t="s">
        <v>16</v>
      </c>
      <c r="E8" s="7" t="s">
        <v>2485</v>
      </c>
      <c r="F8" s="7"/>
      <c r="G8" s="7"/>
      <c r="H8" s="7">
        <v>2</v>
      </c>
      <c r="I8" s="7" t="s">
        <v>78</v>
      </c>
      <c r="J8" s="7"/>
      <c r="K8" s="7" t="s">
        <v>2476</v>
      </c>
    </row>
    <row r="9" spans="1:11" x14ac:dyDescent="0.3">
      <c r="A9" s="6" t="s">
        <v>2486</v>
      </c>
      <c r="B9" s="7" t="s">
        <v>127</v>
      </c>
      <c r="C9" s="7" t="s">
        <v>2193</v>
      </c>
      <c r="D9" s="7" t="s">
        <v>16</v>
      </c>
      <c r="E9" s="7" t="s">
        <v>2487</v>
      </c>
      <c r="F9" s="7"/>
      <c r="G9" s="7"/>
      <c r="H9" s="7">
        <v>29</v>
      </c>
      <c r="I9" s="7" t="s">
        <v>78</v>
      </c>
      <c r="J9" s="7"/>
      <c r="K9" s="7" t="s">
        <v>2476</v>
      </c>
    </row>
    <row r="10" spans="1:11" x14ac:dyDescent="0.3">
      <c r="A10" s="6" t="s">
        <v>2488</v>
      </c>
      <c r="B10" s="7" t="s">
        <v>127</v>
      </c>
      <c r="C10" s="7"/>
      <c r="D10" s="7" t="s">
        <v>28</v>
      </c>
      <c r="E10" s="7" t="s">
        <v>2489</v>
      </c>
      <c r="F10" s="7" t="s">
        <v>2490</v>
      </c>
      <c r="G10" s="7"/>
      <c r="H10" s="7">
        <v>23</v>
      </c>
      <c r="I10" s="7"/>
      <c r="J10" s="7"/>
      <c r="K10" s="7" t="s">
        <v>2476</v>
      </c>
    </row>
    <row r="11" spans="1:11" x14ac:dyDescent="0.3">
      <c r="A11" s="6" t="s">
        <v>2491</v>
      </c>
      <c r="B11" s="7" t="s">
        <v>127</v>
      </c>
      <c r="C11" s="7"/>
      <c r="D11" s="7" t="s">
        <v>28</v>
      </c>
      <c r="E11" s="7" t="s">
        <v>2492</v>
      </c>
      <c r="F11" s="7" t="s">
        <v>2493</v>
      </c>
      <c r="G11" s="7"/>
      <c r="H11" s="7">
        <v>4</v>
      </c>
      <c r="I11" s="7"/>
      <c r="J11" s="7"/>
      <c r="K11" s="7" t="s">
        <v>2476</v>
      </c>
    </row>
    <row r="12" spans="1:11" x14ac:dyDescent="0.3">
      <c r="A12" s="6" t="s">
        <v>2494</v>
      </c>
      <c r="B12" s="7" t="s">
        <v>127</v>
      </c>
      <c r="C12" s="7"/>
      <c r="D12" s="7" t="s">
        <v>28</v>
      </c>
      <c r="E12" s="7" t="s">
        <v>2495</v>
      </c>
      <c r="F12" s="7" t="s">
        <v>430</v>
      </c>
      <c r="G12" s="7"/>
      <c r="H12" s="7">
        <v>47</v>
      </c>
      <c r="I12" s="7"/>
      <c r="J12" s="7"/>
      <c r="K12" s="7" t="s">
        <v>2476</v>
      </c>
    </row>
    <row r="13" spans="1:11" x14ac:dyDescent="0.3">
      <c r="A13" s="6" t="s">
        <v>2496</v>
      </c>
      <c r="B13" s="7" t="s">
        <v>1215</v>
      </c>
      <c r="C13" s="7" t="s">
        <v>1045</v>
      </c>
      <c r="D13" s="7" t="s">
        <v>19</v>
      </c>
      <c r="E13" s="7" t="s">
        <v>2497</v>
      </c>
      <c r="F13" s="7" t="s">
        <v>2498</v>
      </c>
      <c r="G13" s="7" t="s">
        <v>2499</v>
      </c>
      <c r="H13" s="7">
        <v>12</v>
      </c>
      <c r="I13" s="7"/>
      <c r="J13" s="7"/>
      <c r="K13" s="7" t="s">
        <v>2500</v>
      </c>
    </row>
    <row r="14" spans="1:11" x14ac:dyDescent="0.3">
      <c r="A14" s="6" t="s">
        <v>2501</v>
      </c>
      <c r="B14" s="7" t="s">
        <v>127</v>
      </c>
      <c r="C14" s="7" t="s">
        <v>589</v>
      </c>
      <c r="D14" s="7" t="s">
        <v>20</v>
      </c>
      <c r="E14" s="7" t="s">
        <v>2502</v>
      </c>
      <c r="F14" s="7" t="s">
        <v>2503</v>
      </c>
      <c r="G14" s="7"/>
      <c r="H14" s="7"/>
      <c r="I14" s="7" t="s">
        <v>1571</v>
      </c>
      <c r="J14" s="7" t="s">
        <v>199</v>
      </c>
      <c r="K14" s="7" t="s">
        <v>2476</v>
      </c>
    </row>
    <row r="15" spans="1:11" x14ac:dyDescent="0.3">
      <c r="A15" s="6" t="s">
        <v>2504</v>
      </c>
      <c r="B15" s="7" t="s">
        <v>127</v>
      </c>
      <c r="C15" s="7" t="s">
        <v>589</v>
      </c>
      <c r="D15" s="7" t="s">
        <v>27</v>
      </c>
      <c r="E15" s="7" t="s">
        <v>2505</v>
      </c>
      <c r="F15" s="7" t="s">
        <v>2506</v>
      </c>
      <c r="G15" s="7"/>
      <c r="H15" s="7">
        <v>2</v>
      </c>
      <c r="I15" s="7" t="s">
        <v>2507</v>
      </c>
      <c r="J15" s="7" t="s">
        <v>294</v>
      </c>
      <c r="K15" s="7" t="s">
        <v>2476</v>
      </c>
    </row>
    <row r="16" spans="1:11" x14ac:dyDescent="0.3">
      <c r="A16" s="6" t="s">
        <v>2508</v>
      </c>
      <c r="B16" s="7" t="s">
        <v>127</v>
      </c>
      <c r="C16" s="7" t="s">
        <v>589</v>
      </c>
      <c r="D16" s="7" t="s">
        <v>27</v>
      </c>
      <c r="E16" s="7" t="s">
        <v>2509</v>
      </c>
      <c r="F16" s="7" t="s">
        <v>2510</v>
      </c>
      <c r="G16" s="7"/>
      <c r="H16" s="7">
        <v>19</v>
      </c>
      <c r="I16" s="7" t="s">
        <v>347</v>
      </c>
      <c r="J16" s="7" t="s">
        <v>294</v>
      </c>
      <c r="K16" s="7" t="s">
        <v>2476</v>
      </c>
    </row>
    <row r="17" spans="1:11" x14ac:dyDescent="0.3">
      <c r="A17" s="6" t="s">
        <v>2511</v>
      </c>
      <c r="B17" s="7" t="s">
        <v>127</v>
      </c>
      <c r="C17" s="7" t="s">
        <v>589</v>
      </c>
      <c r="D17" s="7" t="s">
        <v>27</v>
      </c>
      <c r="E17" s="7" t="s">
        <v>2509</v>
      </c>
      <c r="F17" s="7"/>
      <c r="G17" s="7"/>
      <c r="H17" s="7">
        <v>147</v>
      </c>
      <c r="I17" s="7"/>
      <c r="J17" s="7"/>
      <c r="K17" s="7" t="s">
        <v>2476</v>
      </c>
    </row>
    <row r="18" spans="1:11" x14ac:dyDescent="0.3">
      <c r="A18" s="6" t="s">
        <v>2512</v>
      </c>
      <c r="B18" s="7" t="s">
        <v>127</v>
      </c>
      <c r="C18" s="7" t="s">
        <v>589</v>
      </c>
      <c r="D18" s="7" t="s">
        <v>30</v>
      </c>
      <c r="E18" s="7" t="s">
        <v>2478</v>
      </c>
      <c r="F18" s="7" t="s">
        <v>1204</v>
      </c>
      <c r="G18" s="7"/>
      <c r="H18" s="7">
        <v>1</v>
      </c>
      <c r="I18" s="7"/>
      <c r="J18" s="7"/>
      <c r="K18" s="7" t="s">
        <v>2476</v>
      </c>
    </row>
    <row r="19" spans="1:11" x14ac:dyDescent="0.3">
      <c r="A19" s="6" t="s">
        <v>2513</v>
      </c>
      <c r="B19" s="7"/>
      <c r="C19" s="7"/>
      <c r="D19" s="7" t="s">
        <v>28</v>
      </c>
      <c r="E19" s="7"/>
      <c r="F19" s="7"/>
      <c r="G19" s="7"/>
      <c r="H19" s="7">
        <v>7487</v>
      </c>
      <c r="I19" s="7"/>
      <c r="J19" s="7"/>
      <c r="K19" s="7" t="s">
        <v>2476</v>
      </c>
    </row>
  </sheetData>
  <hyperlinks>
    <hyperlink ref="A1" location="'Dashboard-R'!A1" display="⬅️ Dashboard Principal"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
  <sheetViews>
    <sheetView showGridLines="0" showRowColHeaders="0" workbookViewId="0"/>
  </sheetViews>
  <sheetFormatPr baseColWidth="10" defaultColWidth="8.88671875" defaultRowHeight="14.4" x14ac:dyDescent="0.3"/>
  <cols>
    <col min="1" max="1" width="26" customWidth="1"/>
    <col min="2" max="3" width="28" customWidth="1"/>
    <col min="4" max="4" width="50" customWidth="1"/>
    <col min="5" max="5" width="14" customWidth="1"/>
    <col min="6" max="6" width="20" customWidth="1"/>
    <col min="7" max="7" width="17" customWidth="1"/>
    <col min="8" max="8" width="14" customWidth="1"/>
    <col min="9" max="9" width="13" customWidth="1"/>
    <col min="10" max="10" width="24" customWidth="1"/>
  </cols>
  <sheetData>
    <row r="1" spans="1:9" ht="30" customHeight="1" x14ac:dyDescent="0.3">
      <c r="A1" s="1" t="s">
        <v>0</v>
      </c>
      <c r="B1" s="2"/>
      <c r="C1" s="2"/>
      <c r="D1" s="2"/>
      <c r="E1" s="2"/>
      <c r="F1" s="2"/>
      <c r="G1" s="2"/>
      <c r="H1" s="2"/>
      <c r="I1" s="3" t="s">
        <v>1</v>
      </c>
    </row>
    <row r="2" spans="1:9" ht="25.05" customHeight="1" x14ac:dyDescent="0.3">
      <c r="A2" s="4" t="s">
        <v>119</v>
      </c>
      <c r="B2" s="5" t="s">
        <v>120</v>
      </c>
      <c r="C2" s="5" t="s">
        <v>121</v>
      </c>
      <c r="D2" s="5" t="s">
        <v>122</v>
      </c>
      <c r="E2" s="5" t="s">
        <v>44</v>
      </c>
      <c r="F2" s="5" t="s">
        <v>123</v>
      </c>
      <c r="G2" s="5" t="s">
        <v>124</v>
      </c>
      <c r="H2" s="5" t="s">
        <v>125</v>
      </c>
      <c r="I2" s="5" t="s">
        <v>2472</v>
      </c>
    </row>
    <row r="3" spans="1:9" x14ac:dyDescent="0.3">
      <c r="A3" s="6" t="s">
        <v>2514</v>
      </c>
      <c r="B3" s="7" t="s">
        <v>26</v>
      </c>
      <c r="C3" s="7" t="s">
        <v>2515</v>
      </c>
      <c r="D3" s="7" t="s">
        <v>2516</v>
      </c>
      <c r="E3" s="7"/>
      <c r="F3" s="7">
        <v>5</v>
      </c>
      <c r="G3" s="7" t="s">
        <v>324</v>
      </c>
      <c r="H3" s="7" t="s">
        <v>404</v>
      </c>
      <c r="I3" s="7" t="s">
        <v>2476</v>
      </c>
    </row>
    <row r="4" spans="1:9" x14ac:dyDescent="0.3">
      <c r="A4" s="6" t="s">
        <v>2517</v>
      </c>
      <c r="B4" s="7" t="s">
        <v>32</v>
      </c>
      <c r="C4" s="7" t="s">
        <v>2518</v>
      </c>
      <c r="D4" s="7" t="s">
        <v>430</v>
      </c>
      <c r="E4" s="7"/>
      <c r="F4" s="7">
        <v>47</v>
      </c>
      <c r="G4" s="7" t="s">
        <v>336</v>
      </c>
      <c r="H4" s="7" t="s">
        <v>2519</v>
      </c>
      <c r="I4" s="7" t="s">
        <v>2476</v>
      </c>
    </row>
    <row r="5" spans="1:9" x14ac:dyDescent="0.3">
      <c r="A5" s="6" t="s">
        <v>2514</v>
      </c>
      <c r="B5" s="7" t="s">
        <v>20</v>
      </c>
      <c r="C5" s="7" t="s">
        <v>2502</v>
      </c>
      <c r="D5" s="7" t="s">
        <v>2503</v>
      </c>
      <c r="E5" s="7" t="s">
        <v>2520</v>
      </c>
      <c r="F5" s="7">
        <v>1</v>
      </c>
      <c r="G5" s="7" t="s">
        <v>1571</v>
      </c>
      <c r="H5" s="7" t="s">
        <v>612</v>
      </c>
      <c r="I5" s="7" t="s">
        <v>2521</v>
      </c>
    </row>
    <row r="6" spans="1:9" x14ac:dyDescent="0.3">
      <c r="A6" s="6" t="s">
        <v>2514</v>
      </c>
      <c r="B6" s="7" t="s">
        <v>27</v>
      </c>
      <c r="C6" s="7" t="s">
        <v>2522</v>
      </c>
      <c r="D6" s="7" t="s">
        <v>2523</v>
      </c>
      <c r="E6" s="7"/>
      <c r="F6" s="7">
        <v>12</v>
      </c>
      <c r="G6" s="7" t="s">
        <v>111</v>
      </c>
      <c r="H6" s="7" t="s">
        <v>294</v>
      </c>
      <c r="I6" s="7" t="s">
        <v>2476</v>
      </c>
    </row>
    <row r="7" spans="1:9" x14ac:dyDescent="0.3">
      <c r="A7" s="6" t="s">
        <v>2514</v>
      </c>
      <c r="B7" s="7" t="s">
        <v>10</v>
      </c>
      <c r="C7" s="7" t="s">
        <v>2524</v>
      </c>
      <c r="D7" s="7" t="s">
        <v>2525</v>
      </c>
      <c r="E7" s="7"/>
      <c r="F7" s="7">
        <v>2</v>
      </c>
      <c r="G7" s="7" t="s">
        <v>2160</v>
      </c>
      <c r="H7" s="7" t="s">
        <v>1518</v>
      </c>
      <c r="I7" s="7" t="s">
        <v>2476</v>
      </c>
    </row>
  </sheetData>
  <hyperlinks>
    <hyperlink ref="A1" location="'Dashboard-R'!A1" display="⬅️ Dashboard Principal"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33"/>
  <sheetViews>
    <sheetView showGridLines="0" showRowColHeaders="0" workbookViewId="0"/>
  </sheetViews>
  <sheetFormatPr baseColWidth="10" defaultColWidth="8.88671875" defaultRowHeight="14.4" x14ac:dyDescent="0.3"/>
  <cols>
    <col min="1" max="12" width="23" customWidth="1"/>
  </cols>
  <sheetData>
    <row r="1" spans="1:10" ht="30" customHeight="1" x14ac:dyDescent="0.3">
      <c r="A1" s="1" t="s">
        <v>0</v>
      </c>
      <c r="B1" s="2"/>
      <c r="C1" s="2"/>
      <c r="D1" s="2"/>
      <c r="E1" s="2"/>
      <c r="F1" s="2"/>
      <c r="G1" s="2"/>
      <c r="H1" s="2"/>
      <c r="I1" s="2"/>
      <c r="J1" s="3" t="s">
        <v>1</v>
      </c>
    </row>
    <row r="2" spans="1:10" ht="25.05" customHeight="1" x14ac:dyDescent="0.3">
      <c r="A2" s="4" t="s">
        <v>117</v>
      </c>
      <c r="B2" s="5" t="s">
        <v>118</v>
      </c>
      <c r="C2" s="5" t="s">
        <v>119</v>
      </c>
      <c r="D2" s="5" t="s">
        <v>120</v>
      </c>
      <c r="E2" s="5" t="s">
        <v>121</v>
      </c>
      <c r="F2" s="5" t="s">
        <v>122</v>
      </c>
      <c r="G2" s="5" t="s">
        <v>44</v>
      </c>
      <c r="H2" s="5" t="s">
        <v>123</v>
      </c>
      <c r="I2" s="5" t="s">
        <v>124</v>
      </c>
      <c r="J2" s="5" t="s">
        <v>125</v>
      </c>
    </row>
    <row r="3" spans="1:10" x14ac:dyDescent="0.3">
      <c r="A3" s="6" t="s">
        <v>1879</v>
      </c>
      <c r="B3" s="7" t="s">
        <v>127</v>
      </c>
      <c r="C3" s="7" t="s">
        <v>1045</v>
      </c>
      <c r="D3" s="7" t="s">
        <v>13</v>
      </c>
      <c r="E3" s="7" t="s">
        <v>1880</v>
      </c>
      <c r="F3" s="7" t="s">
        <v>1881</v>
      </c>
      <c r="G3" s="7" t="s">
        <v>1882</v>
      </c>
      <c r="H3" s="7">
        <v>1</v>
      </c>
      <c r="I3" s="7" t="s">
        <v>1885</v>
      </c>
      <c r="J3" s="7" t="s">
        <v>304</v>
      </c>
    </row>
    <row r="4" spans="1:10" x14ac:dyDescent="0.3">
      <c r="A4" s="6" t="s">
        <v>1915</v>
      </c>
      <c r="B4" s="7" t="s">
        <v>127</v>
      </c>
      <c r="C4" s="7" t="s">
        <v>1045</v>
      </c>
      <c r="D4" s="7" t="s">
        <v>13</v>
      </c>
      <c r="E4" s="7" t="s">
        <v>1916</v>
      </c>
      <c r="F4" s="7" t="s">
        <v>460</v>
      </c>
      <c r="G4" s="7" t="s">
        <v>1917</v>
      </c>
      <c r="H4" s="7">
        <v>1</v>
      </c>
      <c r="I4" s="7" t="s">
        <v>1919</v>
      </c>
      <c r="J4" s="7" t="s">
        <v>304</v>
      </c>
    </row>
    <row r="5" spans="1:10" x14ac:dyDescent="0.3">
      <c r="A5" s="6" t="s">
        <v>1886</v>
      </c>
      <c r="B5" s="7" t="s">
        <v>127</v>
      </c>
      <c r="C5" s="7" t="s">
        <v>1045</v>
      </c>
      <c r="D5" s="7" t="s">
        <v>13</v>
      </c>
      <c r="E5" s="7" t="s">
        <v>1887</v>
      </c>
      <c r="F5" s="7" t="s">
        <v>1888</v>
      </c>
      <c r="G5" s="7" t="s">
        <v>1889</v>
      </c>
      <c r="H5" s="7">
        <v>1</v>
      </c>
      <c r="I5" s="7" t="s">
        <v>1891</v>
      </c>
      <c r="J5" s="7" t="s">
        <v>304</v>
      </c>
    </row>
    <row r="6" spans="1:10" x14ac:dyDescent="0.3">
      <c r="A6" s="6" t="s">
        <v>2380</v>
      </c>
      <c r="B6" s="7" t="s">
        <v>127</v>
      </c>
      <c r="C6" s="7"/>
      <c r="D6" s="7" t="s">
        <v>28</v>
      </c>
      <c r="E6" s="7" t="s">
        <v>2381</v>
      </c>
      <c r="F6" s="7" t="s">
        <v>1721</v>
      </c>
      <c r="G6" s="7" t="s">
        <v>2382</v>
      </c>
      <c r="H6" s="7">
        <v>5</v>
      </c>
      <c r="I6" s="7" t="s">
        <v>2386</v>
      </c>
      <c r="J6" s="7" t="s">
        <v>246</v>
      </c>
    </row>
    <row r="7" spans="1:10" x14ac:dyDescent="0.3">
      <c r="A7" s="6" t="s">
        <v>2206</v>
      </c>
      <c r="B7" s="7" t="s">
        <v>1215</v>
      </c>
      <c r="C7" s="7" t="s">
        <v>1045</v>
      </c>
      <c r="D7" s="7" t="s">
        <v>19</v>
      </c>
      <c r="E7" s="7" t="s">
        <v>2207</v>
      </c>
      <c r="F7" s="7" t="s">
        <v>2208</v>
      </c>
      <c r="G7" s="7" t="s">
        <v>2209</v>
      </c>
      <c r="H7" s="7">
        <v>2</v>
      </c>
      <c r="I7" s="7" t="s">
        <v>403</v>
      </c>
      <c r="J7" s="7" t="s">
        <v>462</v>
      </c>
    </row>
    <row r="8" spans="1:10" x14ac:dyDescent="0.3">
      <c r="A8" s="6" t="s">
        <v>1015</v>
      </c>
      <c r="B8" s="7" t="s">
        <v>127</v>
      </c>
      <c r="C8" s="7" t="s">
        <v>727</v>
      </c>
      <c r="D8" s="7" t="s">
        <v>12</v>
      </c>
      <c r="E8" s="7" t="s">
        <v>1016</v>
      </c>
      <c r="F8" s="7" t="s">
        <v>1017</v>
      </c>
      <c r="G8" s="7" t="s">
        <v>1018</v>
      </c>
      <c r="H8" s="7">
        <v>1</v>
      </c>
      <c r="I8" s="7" t="s">
        <v>735</v>
      </c>
      <c r="J8" s="7" t="s">
        <v>736</v>
      </c>
    </row>
    <row r="9" spans="1:10" x14ac:dyDescent="0.3">
      <c r="A9" s="6" t="s">
        <v>731</v>
      </c>
      <c r="B9" s="7" t="s">
        <v>127</v>
      </c>
      <c r="C9" s="7" t="s">
        <v>727</v>
      </c>
      <c r="D9" s="7" t="s">
        <v>12</v>
      </c>
      <c r="E9" s="7" t="s">
        <v>732</v>
      </c>
      <c r="F9" s="7" t="s">
        <v>733</v>
      </c>
      <c r="G9" s="7" t="s">
        <v>734</v>
      </c>
      <c r="H9" s="7">
        <v>1</v>
      </c>
      <c r="I9" s="7" t="s">
        <v>735</v>
      </c>
      <c r="J9" s="7" t="s">
        <v>736</v>
      </c>
    </row>
    <row r="10" spans="1:10" x14ac:dyDescent="0.3">
      <c r="A10" s="6" t="s">
        <v>1019</v>
      </c>
      <c r="B10" s="7" t="s">
        <v>127</v>
      </c>
      <c r="C10" s="7" t="s">
        <v>727</v>
      </c>
      <c r="D10" s="7" t="s">
        <v>12</v>
      </c>
      <c r="E10" s="7" t="s">
        <v>1020</v>
      </c>
      <c r="F10" s="7" t="s">
        <v>1021</v>
      </c>
      <c r="G10" s="7" t="s">
        <v>1022</v>
      </c>
      <c r="H10" s="7">
        <v>2</v>
      </c>
      <c r="I10" s="7" t="s">
        <v>735</v>
      </c>
      <c r="J10" s="7" t="s">
        <v>736</v>
      </c>
    </row>
    <row r="11" spans="1:10" x14ac:dyDescent="0.3">
      <c r="A11" s="6" t="s">
        <v>1930</v>
      </c>
      <c r="B11" s="7" t="s">
        <v>127</v>
      </c>
      <c r="C11" s="7" t="s">
        <v>1045</v>
      </c>
      <c r="D11" s="7" t="s">
        <v>13</v>
      </c>
      <c r="E11" s="7" t="s">
        <v>1931</v>
      </c>
      <c r="F11" s="7" t="s">
        <v>1932</v>
      </c>
      <c r="G11" s="7" t="s">
        <v>1933</v>
      </c>
      <c r="H11" s="7">
        <v>9</v>
      </c>
      <c r="I11" s="7" t="s">
        <v>90</v>
      </c>
      <c r="J11" s="7" t="s">
        <v>304</v>
      </c>
    </row>
    <row r="12" spans="1:10" x14ac:dyDescent="0.3">
      <c r="A12" s="6" t="s">
        <v>2100</v>
      </c>
      <c r="B12" s="7" t="s">
        <v>1945</v>
      </c>
      <c r="C12" s="7" t="s">
        <v>1946</v>
      </c>
      <c r="D12" s="7" t="s">
        <v>15</v>
      </c>
      <c r="E12" s="7" t="s">
        <v>1568</v>
      </c>
      <c r="F12" s="7" t="s">
        <v>1569</v>
      </c>
      <c r="G12" s="7" t="s">
        <v>2101</v>
      </c>
      <c r="H12" s="7">
        <v>3</v>
      </c>
      <c r="I12" s="7" t="s">
        <v>82</v>
      </c>
      <c r="J12" s="7" t="s">
        <v>199</v>
      </c>
    </row>
    <row r="13" spans="1:10" x14ac:dyDescent="0.3">
      <c r="A13" s="6" t="s">
        <v>1261</v>
      </c>
      <c r="B13" s="7" t="s">
        <v>127</v>
      </c>
      <c r="C13" s="7" t="s">
        <v>589</v>
      </c>
      <c r="D13" s="7" t="s">
        <v>20</v>
      </c>
      <c r="E13" s="7" t="s">
        <v>1262</v>
      </c>
      <c r="F13" s="7" t="s">
        <v>1263</v>
      </c>
      <c r="G13" s="7" t="s">
        <v>1264</v>
      </c>
      <c r="H13" s="7"/>
      <c r="I13" s="7" t="s">
        <v>308</v>
      </c>
      <c r="J13" s="7" t="s">
        <v>189</v>
      </c>
    </row>
    <row r="14" spans="1:10" x14ac:dyDescent="0.3">
      <c r="A14" s="6" t="s">
        <v>1784</v>
      </c>
      <c r="B14" s="7" t="s">
        <v>127</v>
      </c>
      <c r="C14" s="7" t="s">
        <v>589</v>
      </c>
      <c r="D14" s="7" t="s">
        <v>10</v>
      </c>
      <c r="E14" s="7" t="s">
        <v>614</v>
      </c>
      <c r="F14" s="7" t="s">
        <v>615</v>
      </c>
      <c r="G14" s="7" t="s">
        <v>1785</v>
      </c>
      <c r="H14" s="7">
        <v>11</v>
      </c>
      <c r="I14" s="7" t="s">
        <v>513</v>
      </c>
      <c r="J14" s="7" t="s">
        <v>1783</v>
      </c>
    </row>
    <row r="15" spans="1:10" x14ac:dyDescent="0.3">
      <c r="A15" s="6" t="s">
        <v>1777</v>
      </c>
      <c r="B15" s="7" t="s">
        <v>127</v>
      </c>
      <c r="C15" s="7" t="s">
        <v>589</v>
      </c>
      <c r="D15" s="7" t="s">
        <v>10</v>
      </c>
      <c r="E15" s="7" t="s">
        <v>1778</v>
      </c>
      <c r="F15" s="7" t="s">
        <v>1467</v>
      </c>
      <c r="G15" s="7" t="s">
        <v>1779</v>
      </c>
      <c r="H15" s="7">
        <v>9</v>
      </c>
      <c r="I15" s="7" t="s">
        <v>82</v>
      </c>
      <c r="J15" s="7" t="s">
        <v>1783</v>
      </c>
    </row>
    <row r="16" spans="1:10" x14ac:dyDescent="0.3">
      <c r="A16" s="6" t="s">
        <v>684</v>
      </c>
      <c r="B16" s="7" t="s">
        <v>127</v>
      </c>
      <c r="C16" s="7" t="s">
        <v>589</v>
      </c>
      <c r="D16" s="7" t="s">
        <v>10</v>
      </c>
      <c r="E16" s="7" t="s">
        <v>685</v>
      </c>
      <c r="F16" s="7" t="s">
        <v>686</v>
      </c>
      <c r="G16" s="7" t="s">
        <v>687</v>
      </c>
      <c r="H16" s="7">
        <v>48</v>
      </c>
      <c r="I16" s="7" t="s">
        <v>688</v>
      </c>
      <c r="J16" s="7" t="s">
        <v>683</v>
      </c>
    </row>
    <row r="17" spans="1:10" x14ac:dyDescent="0.3">
      <c r="A17" s="6" t="s">
        <v>1809</v>
      </c>
      <c r="B17" s="7" t="s">
        <v>127</v>
      </c>
      <c r="C17" s="7" t="s">
        <v>589</v>
      </c>
      <c r="D17" s="7" t="s">
        <v>10</v>
      </c>
      <c r="E17" s="7" t="s">
        <v>1810</v>
      </c>
      <c r="F17" s="7" t="s">
        <v>1811</v>
      </c>
      <c r="G17" s="7" t="s">
        <v>1812</v>
      </c>
      <c r="H17" s="7">
        <v>4</v>
      </c>
      <c r="I17" s="7" t="s">
        <v>1815</v>
      </c>
      <c r="J17" s="7" t="s">
        <v>955</v>
      </c>
    </row>
    <row r="18" spans="1:10" x14ac:dyDescent="0.3">
      <c r="A18" s="6" t="s">
        <v>606</v>
      </c>
      <c r="B18" s="7" t="s">
        <v>127</v>
      </c>
      <c r="C18" s="7" t="s">
        <v>589</v>
      </c>
      <c r="D18" s="7" t="s">
        <v>10</v>
      </c>
      <c r="E18" s="7" t="s">
        <v>163</v>
      </c>
      <c r="F18" s="7" t="s">
        <v>607</v>
      </c>
      <c r="G18" s="7" t="s">
        <v>608</v>
      </c>
      <c r="H18" s="7">
        <v>14</v>
      </c>
      <c r="I18" s="7" t="s">
        <v>339</v>
      </c>
      <c r="J18" s="7" t="s">
        <v>609</v>
      </c>
    </row>
    <row r="19" spans="1:10" x14ac:dyDescent="0.3">
      <c r="A19" s="6" t="s">
        <v>600</v>
      </c>
      <c r="B19" s="7" t="s">
        <v>127</v>
      </c>
      <c r="C19" s="7" t="s">
        <v>589</v>
      </c>
      <c r="D19" s="7" t="s">
        <v>10</v>
      </c>
      <c r="E19" s="7" t="s">
        <v>601</v>
      </c>
      <c r="F19" s="7" t="s">
        <v>602</v>
      </c>
      <c r="G19" s="7" t="s">
        <v>603</v>
      </c>
      <c r="H19" s="7">
        <v>4</v>
      </c>
      <c r="I19" s="7" t="s">
        <v>604</v>
      </c>
      <c r="J19" s="7" t="s">
        <v>605</v>
      </c>
    </row>
    <row r="20" spans="1:10" x14ac:dyDescent="0.3">
      <c r="A20" s="6" t="s">
        <v>656</v>
      </c>
      <c r="B20" s="7" t="s">
        <v>127</v>
      </c>
      <c r="C20" s="7" t="s">
        <v>589</v>
      </c>
      <c r="D20" s="7" t="s">
        <v>10</v>
      </c>
      <c r="E20" s="7" t="s">
        <v>657</v>
      </c>
      <c r="F20" s="7" t="s">
        <v>658</v>
      </c>
      <c r="G20" s="7" t="s">
        <v>659</v>
      </c>
      <c r="H20" s="7">
        <v>6</v>
      </c>
      <c r="I20" s="7" t="s">
        <v>660</v>
      </c>
      <c r="J20" s="7" t="s">
        <v>661</v>
      </c>
    </row>
    <row r="21" spans="1:10" x14ac:dyDescent="0.3">
      <c r="A21" s="6" t="s">
        <v>1925</v>
      </c>
      <c r="B21" s="7" t="s">
        <v>127</v>
      </c>
      <c r="C21" s="7" t="s">
        <v>1045</v>
      </c>
      <c r="D21" s="7" t="s">
        <v>13</v>
      </c>
      <c r="E21" s="7" t="s">
        <v>1193</v>
      </c>
      <c r="F21" s="7" t="s">
        <v>1194</v>
      </c>
      <c r="G21" s="7" t="s">
        <v>1926</v>
      </c>
      <c r="H21" s="7">
        <v>27</v>
      </c>
      <c r="I21" s="7" t="s">
        <v>165</v>
      </c>
      <c r="J21" s="7" t="s">
        <v>542</v>
      </c>
    </row>
    <row r="22" spans="1:10" x14ac:dyDescent="0.3">
      <c r="A22" s="6" t="s">
        <v>840</v>
      </c>
      <c r="B22" s="7" t="s">
        <v>127</v>
      </c>
      <c r="C22" s="7" t="s">
        <v>727</v>
      </c>
      <c r="D22" s="7" t="s">
        <v>12</v>
      </c>
      <c r="E22" s="7" t="s">
        <v>282</v>
      </c>
      <c r="F22" s="7" t="s">
        <v>283</v>
      </c>
      <c r="G22" s="7" t="s">
        <v>841</v>
      </c>
      <c r="H22" s="7">
        <v>2</v>
      </c>
      <c r="I22" s="7" t="s">
        <v>403</v>
      </c>
      <c r="J22" s="7" t="s">
        <v>199</v>
      </c>
    </row>
    <row r="23" spans="1:10" x14ac:dyDescent="0.3">
      <c r="A23" s="6" t="s">
        <v>2040</v>
      </c>
      <c r="B23" s="7" t="s">
        <v>1945</v>
      </c>
      <c r="C23" s="7" t="s">
        <v>1946</v>
      </c>
      <c r="D23" s="7" t="s">
        <v>15</v>
      </c>
      <c r="E23" s="7" t="s">
        <v>1203</v>
      </c>
      <c r="F23" s="7" t="s">
        <v>1204</v>
      </c>
      <c r="G23" s="7" t="s">
        <v>2041</v>
      </c>
      <c r="H23" s="7">
        <v>4</v>
      </c>
      <c r="I23" s="7" t="s">
        <v>2045</v>
      </c>
      <c r="J23" s="7" t="s">
        <v>1218</v>
      </c>
    </row>
    <row r="24" spans="1:10" x14ac:dyDescent="0.3">
      <c r="A24" s="6" t="s">
        <v>2387</v>
      </c>
      <c r="B24" s="7" t="s">
        <v>127</v>
      </c>
      <c r="C24" s="7"/>
      <c r="D24" s="7" t="s">
        <v>28</v>
      </c>
      <c r="E24" s="7" t="s">
        <v>2388</v>
      </c>
      <c r="F24" s="7" t="s">
        <v>2389</v>
      </c>
      <c r="G24" s="7" t="s">
        <v>2390</v>
      </c>
      <c r="H24" s="7">
        <v>73</v>
      </c>
      <c r="I24" s="7" t="s">
        <v>324</v>
      </c>
      <c r="J24" s="7" t="s">
        <v>155</v>
      </c>
    </row>
    <row r="25" spans="1:10" x14ac:dyDescent="0.3">
      <c r="A25" s="6" t="s">
        <v>2392</v>
      </c>
      <c r="B25" s="7" t="s">
        <v>127</v>
      </c>
      <c r="C25" s="7"/>
      <c r="D25" s="7" t="s">
        <v>28</v>
      </c>
      <c r="E25" s="7" t="s">
        <v>2393</v>
      </c>
      <c r="F25" s="7" t="s">
        <v>1098</v>
      </c>
      <c r="G25" s="7" t="s">
        <v>2394</v>
      </c>
      <c r="H25" s="7">
        <v>2</v>
      </c>
      <c r="I25" s="7" t="s">
        <v>196</v>
      </c>
      <c r="J25" s="7" t="s">
        <v>155</v>
      </c>
    </row>
    <row r="26" spans="1:10" x14ac:dyDescent="0.3">
      <c r="A26" s="6" t="s">
        <v>1544</v>
      </c>
      <c r="B26" s="7" t="s">
        <v>127</v>
      </c>
      <c r="C26" s="7" t="s">
        <v>589</v>
      </c>
      <c r="D26" s="7" t="s">
        <v>27</v>
      </c>
      <c r="E26" s="7" t="s">
        <v>1545</v>
      </c>
      <c r="F26" s="7" t="s">
        <v>1546</v>
      </c>
      <c r="G26" s="7" t="s">
        <v>1547</v>
      </c>
      <c r="H26" s="7">
        <v>0</v>
      </c>
      <c r="I26" s="7" t="s">
        <v>604</v>
      </c>
      <c r="J26" s="7" t="s">
        <v>404</v>
      </c>
    </row>
    <row r="27" spans="1:10" x14ac:dyDescent="0.3">
      <c r="A27" s="6" t="s">
        <v>1622</v>
      </c>
      <c r="B27" s="7" t="s">
        <v>127</v>
      </c>
      <c r="C27" s="7" t="s">
        <v>589</v>
      </c>
      <c r="D27" s="7" t="s">
        <v>27</v>
      </c>
      <c r="E27" s="7" t="s">
        <v>1623</v>
      </c>
      <c r="F27" s="7" t="s">
        <v>1624</v>
      </c>
      <c r="G27" s="7" t="s">
        <v>1625</v>
      </c>
      <c r="H27" s="7">
        <v>9</v>
      </c>
      <c r="I27" s="7" t="s">
        <v>568</v>
      </c>
      <c r="J27" s="7" t="s">
        <v>189</v>
      </c>
    </row>
    <row r="28" spans="1:10" x14ac:dyDescent="0.3">
      <c r="A28" s="6" t="s">
        <v>1588</v>
      </c>
      <c r="B28" s="7" t="s">
        <v>127</v>
      </c>
      <c r="C28" s="7" t="s">
        <v>589</v>
      </c>
      <c r="D28" s="7" t="s">
        <v>27</v>
      </c>
      <c r="E28" s="7" t="s">
        <v>1589</v>
      </c>
      <c r="F28" s="7" t="s">
        <v>1590</v>
      </c>
      <c r="G28" s="7" t="s">
        <v>1591</v>
      </c>
      <c r="H28" s="7">
        <v>12</v>
      </c>
      <c r="I28" s="7" t="s">
        <v>1592</v>
      </c>
      <c r="J28" s="7" t="s">
        <v>189</v>
      </c>
    </row>
    <row r="29" spans="1:10" x14ac:dyDescent="0.3">
      <c r="A29" s="6" t="s">
        <v>1634</v>
      </c>
      <c r="B29" s="7" t="s">
        <v>127</v>
      </c>
      <c r="C29" s="7" t="s">
        <v>589</v>
      </c>
      <c r="D29" s="7" t="s">
        <v>27</v>
      </c>
      <c r="E29" s="7" t="s">
        <v>1635</v>
      </c>
      <c r="F29" s="7" t="s">
        <v>1636</v>
      </c>
      <c r="G29" s="7" t="s">
        <v>1637</v>
      </c>
      <c r="H29" s="7">
        <v>20</v>
      </c>
      <c r="I29" s="7" t="s">
        <v>1638</v>
      </c>
      <c r="J29" s="7" t="s">
        <v>294</v>
      </c>
    </row>
    <row r="30" spans="1:10" x14ac:dyDescent="0.3">
      <c r="A30" s="6" t="s">
        <v>1559</v>
      </c>
      <c r="B30" s="7" t="s">
        <v>127</v>
      </c>
      <c r="C30" s="7" t="s">
        <v>589</v>
      </c>
      <c r="D30" s="7" t="s">
        <v>27</v>
      </c>
      <c r="E30" s="7" t="s">
        <v>1560</v>
      </c>
      <c r="F30" s="7" t="s">
        <v>1561</v>
      </c>
      <c r="G30" s="7" t="s">
        <v>1562</v>
      </c>
      <c r="H30" s="7">
        <v>15</v>
      </c>
      <c r="I30" s="7" t="s">
        <v>625</v>
      </c>
      <c r="J30" s="7" t="s">
        <v>696</v>
      </c>
    </row>
    <row r="31" spans="1:10" x14ac:dyDescent="0.3">
      <c r="A31" s="6" t="s">
        <v>1529</v>
      </c>
      <c r="B31" s="7" t="s">
        <v>127</v>
      </c>
      <c r="C31" s="7" t="s">
        <v>589</v>
      </c>
      <c r="D31" s="7" t="s">
        <v>27</v>
      </c>
      <c r="E31" s="7" t="s">
        <v>1530</v>
      </c>
      <c r="F31" s="7" t="s">
        <v>1531</v>
      </c>
      <c r="G31" s="7" t="s">
        <v>1532</v>
      </c>
      <c r="H31" s="7">
        <v>11</v>
      </c>
      <c r="I31" s="7" t="s">
        <v>1533</v>
      </c>
      <c r="J31" s="7" t="s">
        <v>1518</v>
      </c>
    </row>
    <row r="32" spans="1:10" x14ac:dyDescent="0.3">
      <c r="A32" s="6" t="s">
        <v>1567</v>
      </c>
      <c r="B32" s="7" t="s">
        <v>127</v>
      </c>
      <c r="C32" s="7" t="s">
        <v>589</v>
      </c>
      <c r="D32" s="7" t="s">
        <v>27</v>
      </c>
      <c r="E32" s="7" t="s">
        <v>1568</v>
      </c>
      <c r="F32" s="7" t="s">
        <v>1569</v>
      </c>
      <c r="G32" s="7" t="s">
        <v>1570</v>
      </c>
      <c r="H32" s="7">
        <v>7</v>
      </c>
      <c r="I32" s="7" t="s">
        <v>1571</v>
      </c>
      <c r="J32" s="7" t="s">
        <v>404</v>
      </c>
    </row>
    <row r="33" spans="1:10" x14ac:dyDescent="0.3">
      <c r="A33" s="6" t="s">
        <v>1484</v>
      </c>
      <c r="B33" s="7" t="s">
        <v>127</v>
      </c>
      <c r="C33" s="7" t="s">
        <v>589</v>
      </c>
      <c r="D33" s="7" t="s">
        <v>27</v>
      </c>
      <c r="E33" s="7" t="s">
        <v>1485</v>
      </c>
      <c r="F33" s="7" t="s">
        <v>1486</v>
      </c>
      <c r="G33" s="7" t="s">
        <v>1487</v>
      </c>
      <c r="H33" s="7">
        <v>14</v>
      </c>
      <c r="I33" s="7" t="s">
        <v>625</v>
      </c>
      <c r="J33" s="7" t="s">
        <v>622</v>
      </c>
    </row>
    <row r="34" spans="1:10" x14ac:dyDescent="0.3">
      <c r="A34" s="6" t="s">
        <v>2062</v>
      </c>
      <c r="B34" s="7" t="s">
        <v>1945</v>
      </c>
      <c r="C34" s="7" t="s">
        <v>1946</v>
      </c>
      <c r="D34" s="7" t="s">
        <v>15</v>
      </c>
      <c r="E34" s="7" t="s">
        <v>2063</v>
      </c>
      <c r="F34" s="7" t="s">
        <v>2064</v>
      </c>
      <c r="G34" s="7" t="s">
        <v>2065</v>
      </c>
      <c r="H34" s="7">
        <v>12</v>
      </c>
      <c r="I34" s="7" t="s">
        <v>496</v>
      </c>
      <c r="J34" s="7" t="s">
        <v>404</v>
      </c>
    </row>
    <row r="35" spans="1:10" x14ac:dyDescent="0.3">
      <c r="A35" s="6" t="s">
        <v>2161</v>
      </c>
      <c r="B35" s="7" t="s">
        <v>1945</v>
      </c>
      <c r="C35" s="7" t="s">
        <v>1946</v>
      </c>
      <c r="D35" s="7" t="s">
        <v>15</v>
      </c>
      <c r="E35" s="7" t="s">
        <v>2162</v>
      </c>
      <c r="F35" s="7" t="s">
        <v>2163</v>
      </c>
      <c r="G35" s="7" t="s">
        <v>2164</v>
      </c>
      <c r="H35" s="7">
        <v>12</v>
      </c>
      <c r="I35" s="7" t="s">
        <v>2167</v>
      </c>
      <c r="J35" s="7" t="s">
        <v>640</v>
      </c>
    </row>
    <row r="36" spans="1:10" x14ac:dyDescent="0.3">
      <c r="A36" s="6" t="s">
        <v>2030</v>
      </c>
      <c r="B36" s="7" t="s">
        <v>1945</v>
      </c>
      <c r="C36" s="7" t="s">
        <v>1946</v>
      </c>
      <c r="D36" s="7" t="s">
        <v>15</v>
      </c>
      <c r="E36" s="7" t="s">
        <v>2031</v>
      </c>
      <c r="F36" s="7" t="s">
        <v>283</v>
      </c>
      <c r="G36" s="7" t="s">
        <v>2032</v>
      </c>
      <c r="H36" s="7">
        <v>40</v>
      </c>
      <c r="I36" s="7" t="s">
        <v>2034</v>
      </c>
      <c r="J36" s="7" t="s">
        <v>2035</v>
      </c>
    </row>
    <row r="37" spans="1:10" x14ac:dyDescent="0.3">
      <c r="A37" s="6" t="s">
        <v>2050</v>
      </c>
      <c r="B37" s="7" t="s">
        <v>1945</v>
      </c>
      <c r="C37" s="7" t="s">
        <v>1946</v>
      </c>
      <c r="D37" s="7" t="s">
        <v>15</v>
      </c>
      <c r="E37" s="7" t="s">
        <v>2051</v>
      </c>
      <c r="F37" s="7" t="s">
        <v>2052</v>
      </c>
      <c r="G37" s="7" t="s">
        <v>2053</v>
      </c>
      <c r="H37" s="7">
        <v>7</v>
      </c>
      <c r="I37" s="7" t="s">
        <v>160</v>
      </c>
      <c r="J37" s="7" t="s">
        <v>683</v>
      </c>
    </row>
    <row r="38" spans="1:10" x14ac:dyDescent="0.3">
      <c r="A38" s="6" t="s">
        <v>1974</v>
      </c>
      <c r="B38" s="7" t="s">
        <v>1945</v>
      </c>
      <c r="C38" s="7" t="s">
        <v>1946</v>
      </c>
      <c r="D38" s="7" t="s">
        <v>15</v>
      </c>
      <c r="E38" s="7" t="s">
        <v>1975</v>
      </c>
      <c r="F38" s="7" t="s">
        <v>1976</v>
      </c>
      <c r="G38" s="7" t="s">
        <v>1977</v>
      </c>
      <c r="H38" s="7">
        <v>22</v>
      </c>
      <c r="I38" s="7" t="s">
        <v>1980</v>
      </c>
      <c r="J38" s="7" t="s">
        <v>1518</v>
      </c>
    </row>
    <row r="39" spans="1:10" x14ac:dyDescent="0.3">
      <c r="A39" s="6" t="s">
        <v>2125</v>
      </c>
      <c r="B39" s="7" t="s">
        <v>1945</v>
      </c>
      <c r="C39" s="7" t="s">
        <v>1946</v>
      </c>
      <c r="D39" s="7" t="s">
        <v>15</v>
      </c>
      <c r="E39" s="7" t="s">
        <v>2126</v>
      </c>
      <c r="F39" s="7" t="s">
        <v>2121</v>
      </c>
      <c r="G39" s="7" t="s">
        <v>2127</v>
      </c>
      <c r="H39" s="7">
        <v>14</v>
      </c>
      <c r="I39" s="7" t="s">
        <v>2129</v>
      </c>
      <c r="J39" s="7" t="s">
        <v>2039</v>
      </c>
    </row>
    <row r="40" spans="1:10" x14ac:dyDescent="0.3">
      <c r="A40" s="6" t="s">
        <v>1964</v>
      </c>
      <c r="B40" s="7" t="s">
        <v>1945</v>
      </c>
      <c r="C40" s="7" t="s">
        <v>1946</v>
      </c>
      <c r="D40" s="7" t="s">
        <v>15</v>
      </c>
      <c r="E40" s="7" t="s">
        <v>1965</v>
      </c>
      <c r="F40" s="7" t="s">
        <v>1966</v>
      </c>
      <c r="G40" s="7" t="s">
        <v>1967</v>
      </c>
      <c r="H40" s="7">
        <v>3</v>
      </c>
      <c r="I40" s="7" t="s">
        <v>82</v>
      </c>
      <c r="J40" s="7" t="s">
        <v>304</v>
      </c>
    </row>
    <row r="41" spans="1:10" x14ac:dyDescent="0.3">
      <c r="A41" s="6" t="s">
        <v>2017</v>
      </c>
      <c r="B41" s="7" t="s">
        <v>1945</v>
      </c>
      <c r="C41" s="7" t="s">
        <v>1946</v>
      </c>
      <c r="D41" s="7" t="s">
        <v>15</v>
      </c>
      <c r="E41" s="7" t="s">
        <v>56</v>
      </c>
      <c r="F41" s="7" t="s">
        <v>2018</v>
      </c>
      <c r="G41" s="7" t="s">
        <v>2019</v>
      </c>
      <c r="H41" s="7">
        <v>28</v>
      </c>
      <c r="I41" s="7" t="s">
        <v>64</v>
      </c>
      <c r="J41" s="7" t="s">
        <v>605</v>
      </c>
    </row>
    <row r="42" spans="1:10" x14ac:dyDescent="0.3">
      <c r="A42" s="6" t="s">
        <v>2069</v>
      </c>
      <c r="B42" s="7" t="s">
        <v>1945</v>
      </c>
      <c r="C42" s="7" t="s">
        <v>1946</v>
      </c>
      <c r="D42" s="7" t="s">
        <v>15</v>
      </c>
      <c r="E42" s="7" t="s">
        <v>63</v>
      </c>
      <c r="F42" s="7" t="s">
        <v>2070</v>
      </c>
      <c r="G42" s="7" t="s">
        <v>2071</v>
      </c>
      <c r="H42" s="7">
        <v>5</v>
      </c>
      <c r="I42" s="7" t="s">
        <v>64</v>
      </c>
      <c r="J42" s="7" t="s">
        <v>1518</v>
      </c>
    </row>
    <row r="43" spans="1:10" x14ac:dyDescent="0.3">
      <c r="A43" s="6" t="s">
        <v>1981</v>
      </c>
      <c r="B43" s="7" t="s">
        <v>1945</v>
      </c>
      <c r="C43" s="7" t="s">
        <v>1946</v>
      </c>
      <c r="D43" s="7" t="s">
        <v>15</v>
      </c>
      <c r="E43" s="7" t="s">
        <v>1982</v>
      </c>
      <c r="F43" s="7" t="s">
        <v>1983</v>
      </c>
      <c r="G43" s="7" t="s">
        <v>1984</v>
      </c>
      <c r="H43" s="7">
        <v>20</v>
      </c>
      <c r="I43" s="7" t="s">
        <v>621</v>
      </c>
      <c r="J43" s="7" t="s">
        <v>166</v>
      </c>
    </row>
    <row r="44" spans="1:10" x14ac:dyDescent="0.3">
      <c r="A44" s="6" t="s">
        <v>2056</v>
      </c>
      <c r="B44" s="7" t="s">
        <v>1945</v>
      </c>
      <c r="C44" s="7" t="s">
        <v>1946</v>
      </c>
      <c r="D44" s="7" t="s">
        <v>15</v>
      </c>
      <c r="E44" s="7" t="s">
        <v>2057</v>
      </c>
      <c r="F44" s="7" t="s">
        <v>2058</v>
      </c>
      <c r="G44" s="7" t="s">
        <v>2059</v>
      </c>
      <c r="H44" s="7">
        <v>15</v>
      </c>
      <c r="I44" s="7" t="s">
        <v>2061</v>
      </c>
      <c r="J44" s="7" t="s">
        <v>404</v>
      </c>
    </row>
    <row r="45" spans="1:10" x14ac:dyDescent="0.3">
      <c r="A45" s="6" t="s">
        <v>1986</v>
      </c>
      <c r="B45" s="7" t="s">
        <v>1945</v>
      </c>
      <c r="C45" s="7" t="s">
        <v>1946</v>
      </c>
      <c r="D45" s="7" t="s">
        <v>15</v>
      </c>
      <c r="E45" s="7" t="s">
        <v>1982</v>
      </c>
      <c r="F45" s="7" t="s">
        <v>1983</v>
      </c>
      <c r="G45" s="7" t="s">
        <v>1987</v>
      </c>
      <c r="H45" s="7">
        <v>0</v>
      </c>
      <c r="I45" s="7" t="s">
        <v>131</v>
      </c>
      <c r="J45" s="7" t="s">
        <v>696</v>
      </c>
    </row>
    <row r="46" spans="1:10" x14ac:dyDescent="0.3">
      <c r="A46" s="6" t="s">
        <v>1989</v>
      </c>
      <c r="B46" s="7" t="s">
        <v>1945</v>
      </c>
      <c r="C46" s="7" t="s">
        <v>1946</v>
      </c>
      <c r="D46" s="7" t="s">
        <v>15</v>
      </c>
      <c r="E46" s="7" t="s">
        <v>1982</v>
      </c>
      <c r="F46" s="7" t="s">
        <v>1983</v>
      </c>
      <c r="G46" s="7" t="s">
        <v>1990</v>
      </c>
      <c r="H46" s="7">
        <v>13</v>
      </c>
      <c r="I46" s="7" t="s">
        <v>339</v>
      </c>
      <c r="J46" s="7" t="s">
        <v>155</v>
      </c>
    </row>
    <row r="47" spans="1:10" x14ac:dyDescent="0.3">
      <c r="A47" s="6" t="s">
        <v>1944</v>
      </c>
      <c r="B47" s="7" t="s">
        <v>1945</v>
      </c>
      <c r="C47" s="7" t="s">
        <v>1946</v>
      </c>
      <c r="D47" s="7" t="s">
        <v>15</v>
      </c>
      <c r="E47" s="7" t="s">
        <v>1947</v>
      </c>
      <c r="F47" s="7" t="s">
        <v>1948</v>
      </c>
      <c r="G47" s="7" t="s">
        <v>1949</v>
      </c>
      <c r="H47" s="7">
        <v>7</v>
      </c>
      <c r="I47" s="7" t="s">
        <v>303</v>
      </c>
      <c r="J47" s="7" t="s">
        <v>166</v>
      </c>
    </row>
    <row r="48" spans="1:10" x14ac:dyDescent="0.3">
      <c r="A48" s="6" t="s">
        <v>2106</v>
      </c>
      <c r="B48" s="7" t="s">
        <v>1945</v>
      </c>
      <c r="C48" s="7" t="s">
        <v>1946</v>
      </c>
      <c r="D48" s="7" t="s">
        <v>15</v>
      </c>
      <c r="E48" s="7" t="s">
        <v>51</v>
      </c>
      <c r="F48" s="7" t="s">
        <v>2083</v>
      </c>
      <c r="G48" s="7" t="s">
        <v>50</v>
      </c>
      <c r="H48" s="7">
        <v>8</v>
      </c>
      <c r="I48" s="7" t="s">
        <v>52</v>
      </c>
      <c r="J48" s="7" t="s">
        <v>901</v>
      </c>
    </row>
    <row r="49" spans="1:10" x14ac:dyDescent="0.3">
      <c r="A49" s="6" t="s">
        <v>2109</v>
      </c>
      <c r="B49" s="7" t="s">
        <v>1945</v>
      </c>
      <c r="C49" s="7" t="s">
        <v>1946</v>
      </c>
      <c r="D49" s="7" t="s">
        <v>15</v>
      </c>
      <c r="E49" s="7" t="s">
        <v>51</v>
      </c>
      <c r="F49" s="7"/>
      <c r="G49" s="7" t="s">
        <v>50</v>
      </c>
      <c r="H49" s="7">
        <v>2</v>
      </c>
      <c r="I49" s="7" t="s">
        <v>52</v>
      </c>
      <c r="J49" s="7" t="s">
        <v>901</v>
      </c>
    </row>
    <row r="50" spans="1:10" x14ac:dyDescent="0.3">
      <c r="A50" s="6" t="s">
        <v>2103</v>
      </c>
      <c r="B50" s="7" t="s">
        <v>1945</v>
      </c>
      <c r="C50" s="7" t="s">
        <v>1946</v>
      </c>
      <c r="D50" s="7" t="s">
        <v>15</v>
      </c>
      <c r="E50" s="7" t="s">
        <v>51</v>
      </c>
      <c r="F50" s="7" t="s">
        <v>1153</v>
      </c>
      <c r="G50" s="7" t="s">
        <v>50</v>
      </c>
      <c r="H50" s="7">
        <v>279</v>
      </c>
      <c r="I50" s="7" t="s">
        <v>52</v>
      </c>
      <c r="J50" s="7" t="s">
        <v>901</v>
      </c>
    </row>
    <row r="51" spans="1:10" x14ac:dyDescent="0.3">
      <c r="A51" s="6" t="s">
        <v>2107</v>
      </c>
      <c r="B51" s="7" t="s">
        <v>1945</v>
      </c>
      <c r="C51" s="7" t="s">
        <v>1946</v>
      </c>
      <c r="D51" s="7" t="s">
        <v>15</v>
      </c>
      <c r="E51" s="7" t="s">
        <v>51</v>
      </c>
      <c r="F51" s="7"/>
      <c r="G51" s="7" t="s">
        <v>50</v>
      </c>
      <c r="H51" s="7">
        <v>10</v>
      </c>
      <c r="I51" s="7" t="s">
        <v>52</v>
      </c>
      <c r="J51" s="7" t="s">
        <v>901</v>
      </c>
    </row>
    <row r="52" spans="1:10" x14ac:dyDescent="0.3">
      <c r="A52" s="6" t="s">
        <v>2108</v>
      </c>
      <c r="B52" s="7" t="s">
        <v>1945</v>
      </c>
      <c r="C52" s="7" t="s">
        <v>1946</v>
      </c>
      <c r="D52" s="7" t="s">
        <v>15</v>
      </c>
      <c r="E52" s="7" t="s">
        <v>51</v>
      </c>
      <c r="F52" s="7" t="s">
        <v>877</v>
      </c>
      <c r="G52" s="7" t="s">
        <v>50</v>
      </c>
      <c r="H52" s="7">
        <v>2</v>
      </c>
      <c r="I52" s="7" t="s">
        <v>52</v>
      </c>
      <c r="J52" s="7" t="s">
        <v>901</v>
      </c>
    </row>
    <row r="53" spans="1:10" x14ac:dyDescent="0.3">
      <c r="A53" s="6" t="s">
        <v>2110</v>
      </c>
      <c r="B53" s="7" t="s">
        <v>1945</v>
      </c>
      <c r="C53" s="7" t="s">
        <v>1946</v>
      </c>
      <c r="D53" s="7" t="s">
        <v>15</v>
      </c>
      <c r="E53" s="7" t="s">
        <v>51</v>
      </c>
      <c r="F53" s="7" t="s">
        <v>2111</v>
      </c>
      <c r="G53" s="7" t="s">
        <v>50</v>
      </c>
      <c r="H53" s="7">
        <v>5</v>
      </c>
      <c r="I53" s="7" t="s">
        <v>52</v>
      </c>
      <c r="J53" s="7" t="s">
        <v>901</v>
      </c>
    </row>
    <row r="54" spans="1:10" x14ac:dyDescent="0.3">
      <c r="A54" s="6" t="s">
        <v>2112</v>
      </c>
      <c r="B54" s="7" t="s">
        <v>1945</v>
      </c>
      <c r="C54" s="7" t="s">
        <v>1946</v>
      </c>
      <c r="D54" s="7" t="s">
        <v>15</v>
      </c>
      <c r="E54" s="7" t="s">
        <v>51</v>
      </c>
      <c r="F54" s="7" t="s">
        <v>2113</v>
      </c>
      <c r="G54" s="7" t="s">
        <v>50</v>
      </c>
      <c r="H54" s="7">
        <v>8</v>
      </c>
      <c r="I54" s="7" t="s">
        <v>52</v>
      </c>
      <c r="J54" s="7" t="s">
        <v>901</v>
      </c>
    </row>
    <row r="55" spans="1:10" x14ac:dyDescent="0.3">
      <c r="A55" s="6" t="s">
        <v>2130</v>
      </c>
      <c r="B55" s="7" t="s">
        <v>1945</v>
      </c>
      <c r="C55" s="7" t="s">
        <v>1946</v>
      </c>
      <c r="D55" s="7" t="s">
        <v>15</v>
      </c>
      <c r="E55" s="7" t="s">
        <v>2126</v>
      </c>
      <c r="F55" s="7" t="s">
        <v>2121</v>
      </c>
      <c r="G55" s="7" t="s">
        <v>2131</v>
      </c>
      <c r="H55" s="7">
        <v>20</v>
      </c>
      <c r="I55" s="7" t="s">
        <v>919</v>
      </c>
      <c r="J55" s="7" t="s">
        <v>404</v>
      </c>
    </row>
    <row r="56" spans="1:10" x14ac:dyDescent="0.3">
      <c r="A56" s="6" t="s">
        <v>1969</v>
      </c>
      <c r="B56" s="7" t="s">
        <v>1945</v>
      </c>
      <c r="C56" s="7" t="s">
        <v>1946</v>
      </c>
      <c r="D56" s="7" t="s">
        <v>15</v>
      </c>
      <c r="E56" s="7" t="s">
        <v>1970</v>
      </c>
      <c r="F56" s="7" t="s">
        <v>194</v>
      </c>
      <c r="G56" s="7" t="s">
        <v>1971</v>
      </c>
      <c r="H56" s="7">
        <v>10</v>
      </c>
      <c r="I56" s="7" t="s">
        <v>1973</v>
      </c>
      <c r="J56" s="7" t="s">
        <v>806</v>
      </c>
    </row>
    <row r="57" spans="1:10" x14ac:dyDescent="0.3">
      <c r="A57" s="6" t="s">
        <v>2183</v>
      </c>
      <c r="B57" s="7" t="s">
        <v>1945</v>
      </c>
      <c r="C57" s="7" t="s">
        <v>1946</v>
      </c>
      <c r="D57" s="7" t="s">
        <v>15</v>
      </c>
      <c r="E57" s="7" t="s">
        <v>2184</v>
      </c>
      <c r="F57" s="7" t="s">
        <v>566</v>
      </c>
      <c r="G57" s="7" t="s">
        <v>2185</v>
      </c>
      <c r="H57" s="7">
        <v>56</v>
      </c>
      <c r="I57" s="7" t="s">
        <v>2187</v>
      </c>
      <c r="J57" s="7" t="s">
        <v>404</v>
      </c>
    </row>
    <row r="58" spans="1:10" x14ac:dyDescent="0.3">
      <c r="A58" s="6" t="s">
        <v>2114</v>
      </c>
      <c r="B58" s="7" t="s">
        <v>1945</v>
      </c>
      <c r="C58" s="7" t="s">
        <v>1946</v>
      </c>
      <c r="D58" s="7" t="s">
        <v>15</v>
      </c>
      <c r="E58" s="7" t="s">
        <v>2115</v>
      </c>
      <c r="F58" s="7" t="s">
        <v>2116</v>
      </c>
      <c r="G58" s="7" t="s">
        <v>2117</v>
      </c>
      <c r="H58" s="7">
        <v>2</v>
      </c>
      <c r="I58" s="7" t="s">
        <v>154</v>
      </c>
      <c r="J58" s="7" t="s">
        <v>1131</v>
      </c>
    </row>
    <row r="59" spans="1:10" x14ac:dyDescent="0.3">
      <c r="A59" s="6" t="s">
        <v>2046</v>
      </c>
      <c r="B59" s="7" t="s">
        <v>1945</v>
      </c>
      <c r="C59" s="7" t="s">
        <v>1946</v>
      </c>
      <c r="D59" s="7" t="s">
        <v>15</v>
      </c>
      <c r="E59" s="7" t="s">
        <v>1203</v>
      </c>
      <c r="F59" s="7" t="s">
        <v>1204</v>
      </c>
      <c r="G59" s="7" t="s">
        <v>2047</v>
      </c>
      <c r="H59" s="7">
        <v>34</v>
      </c>
      <c r="I59" s="7" t="s">
        <v>2045</v>
      </c>
      <c r="J59" s="7" t="s">
        <v>1218</v>
      </c>
    </row>
    <row r="60" spans="1:10" x14ac:dyDescent="0.3">
      <c r="A60" s="6" t="s">
        <v>2021</v>
      </c>
      <c r="B60" s="7" t="s">
        <v>1945</v>
      </c>
      <c r="C60" s="7" t="s">
        <v>1946</v>
      </c>
      <c r="D60" s="7" t="s">
        <v>15</v>
      </c>
      <c r="E60" s="7" t="s">
        <v>56</v>
      </c>
      <c r="F60" s="7" t="s">
        <v>2018</v>
      </c>
      <c r="G60" s="7" t="s">
        <v>55</v>
      </c>
      <c r="H60" s="7">
        <v>142</v>
      </c>
      <c r="I60" s="7" t="s">
        <v>57</v>
      </c>
      <c r="J60" s="7" t="s">
        <v>155</v>
      </c>
    </row>
    <row r="61" spans="1:10" x14ac:dyDescent="0.3">
      <c r="A61" s="6" t="s">
        <v>2022</v>
      </c>
      <c r="B61" s="7" t="s">
        <v>1945</v>
      </c>
      <c r="C61" s="7" t="s">
        <v>1946</v>
      </c>
      <c r="D61" s="7" t="s">
        <v>15</v>
      </c>
      <c r="E61" s="7" t="s">
        <v>56</v>
      </c>
      <c r="F61" s="7"/>
      <c r="G61" s="7" t="s">
        <v>55</v>
      </c>
      <c r="H61" s="7">
        <v>5</v>
      </c>
      <c r="I61" s="7" t="s">
        <v>57</v>
      </c>
      <c r="J61" s="7" t="s">
        <v>155</v>
      </c>
    </row>
    <row r="62" spans="1:10" x14ac:dyDescent="0.3">
      <c r="A62" s="6" t="s">
        <v>2024</v>
      </c>
      <c r="B62" s="7" t="s">
        <v>1945</v>
      </c>
      <c r="C62" s="7" t="s">
        <v>1946</v>
      </c>
      <c r="D62" s="7" t="s">
        <v>15</v>
      </c>
      <c r="E62" s="7" t="s">
        <v>56</v>
      </c>
      <c r="F62" s="7"/>
      <c r="G62" s="7" t="s">
        <v>55</v>
      </c>
      <c r="H62" s="7">
        <v>3</v>
      </c>
      <c r="I62" s="7" t="s">
        <v>57</v>
      </c>
      <c r="J62" s="7" t="s">
        <v>155</v>
      </c>
    </row>
    <row r="63" spans="1:10" x14ac:dyDescent="0.3">
      <c r="A63" s="6" t="s">
        <v>2025</v>
      </c>
      <c r="B63" s="7" t="s">
        <v>1945</v>
      </c>
      <c r="C63" s="7" t="s">
        <v>1946</v>
      </c>
      <c r="D63" s="7" t="s">
        <v>15</v>
      </c>
      <c r="E63" s="7" t="s">
        <v>56</v>
      </c>
      <c r="F63" s="7"/>
      <c r="G63" s="7" t="s">
        <v>55</v>
      </c>
      <c r="H63" s="7">
        <v>4</v>
      </c>
      <c r="I63" s="7" t="s">
        <v>57</v>
      </c>
      <c r="J63" s="7" t="s">
        <v>155</v>
      </c>
    </row>
    <row r="64" spans="1:10" x14ac:dyDescent="0.3">
      <c r="A64" s="6" t="s">
        <v>2027</v>
      </c>
      <c r="B64" s="7" t="s">
        <v>1945</v>
      </c>
      <c r="C64" s="7" t="s">
        <v>1946</v>
      </c>
      <c r="D64" s="7" t="s">
        <v>15</v>
      </c>
      <c r="E64" s="7" t="s">
        <v>56</v>
      </c>
      <c r="F64" s="7"/>
      <c r="G64" s="7" t="s">
        <v>55</v>
      </c>
      <c r="H64" s="7">
        <v>2</v>
      </c>
      <c r="I64" s="7" t="s">
        <v>57</v>
      </c>
      <c r="J64" s="7" t="s">
        <v>155</v>
      </c>
    </row>
    <row r="65" spans="1:10" x14ac:dyDescent="0.3">
      <c r="A65" s="6" t="s">
        <v>2028</v>
      </c>
      <c r="B65" s="7" t="s">
        <v>1945</v>
      </c>
      <c r="C65" s="7" t="s">
        <v>1946</v>
      </c>
      <c r="D65" s="7" t="s">
        <v>15</v>
      </c>
      <c r="E65" s="7" t="s">
        <v>56</v>
      </c>
      <c r="F65" s="7" t="s">
        <v>2029</v>
      </c>
      <c r="G65" s="7" t="s">
        <v>55</v>
      </c>
      <c r="H65" s="7">
        <v>2</v>
      </c>
      <c r="I65" s="7" t="s">
        <v>57</v>
      </c>
      <c r="J65" s="7" t="s">
        <v>155</v>
      </c>
    </row>
    <row r="66" spans="1:10" x14ac:dyDescent="0.3">
      <c r="A66" s="6" t="s">
        <v>2026</v>
      </c>
      <c r="B66" s="7" t="s">
        <v>1945</v>
      </c>
      <c r="C66" s="7" t="s">
        <v>1946</v>
      </c>
      <c r="D66" s="7" t="s">
        <v>15</v>
      </c>
      <c r="E66" s="7" t="s">
        <v>56</v>
      </c>
      <c r="F66" s="7"/>
      <c r="G66" s="7" t="s">
        <v>55</v>
      </c>
      <c r="H66" s="7">
        <v>3</v>
      </c>
      <c r="I66" s="7" t="s">
        <v>57</v>
      </c>
      <c r="J66" s="7" t="s">
        <v>155</v>
      </c>
    </row>
    <row r="67" spans="1:10" x14ac:dyDescent="0.3">
      <c r="A67" s="6" t="s">
        <v>1953</v>
      </c>
      <c r="B67" s="7" t="s">
        <v>1945</v>
      </c>
      <c r="C67" s="7" t="s">
        <v>1946</v>
      </c>
      <c r="D67" s="7" t="s">
        <v>15</v>
      </c>
      <c r="E67" s="7" t="s">
        <v>1954</v>
      </c>
      <c r="F67" s="7" t="s">
        <v>1955</v>
      </c>
      <c r="G67" s="7" t="s">
        <v>1956</v>
      </c>
      <c r="H67" s="7">
        <v>28</v>
      </c>
      <c r="I67" s="7" t="s">
        <v>893</v>
      </c>
      <c r="J67" s="7" t="s">
        <v>155</v>
      </c>
    </row>
    <row r="68" spans="1:10" x14ac:dyDescent="0.3">
      <c r="A68" s="6" t="s">
        <v>2073</v>
      </c>
      <c r="B68" s="7" t="s">
        <v>1945</v>
      </c>
      <c r="C68" s="7" t="s">
        <v>1946</v>
      </c>
      <c r="D68" s="7" t="s">
        <v>15</v>
      </c>
      <c r="E68" s="7" t="s">
        <v>63</v>
      </c>
      <c r="F68" s="7" t="s">
        <v>2070</v>
      </c>
      <c r="G68" s="7" t="s">
        <v>2074</v>
      </c>
      <c r="H68" s="7">
        <v>55</v>
      </c>
      <c r="I68" s="7" t="s">
        <v>1684</v>
      </c>
      <c r="J68" s="7" t="s">
        <v>746</v>
      </c>
    </row>
    <row r="69" spans="1:10" x14ac:dyDescent="0.3">
      <c r="A69" s="6" t="s">
        <v>2077</v>
      </c>
      <c r="B69" s="7" t="s">
        <v>1945</v>
      </c>
      <c r="C69" s="7" t="s">
        <v>1946</v>
      </c>
      <c r="D69" s="7" t="s">
        <v>15</v>
      </c>
      <c r="E69" s="7" t="s">
        <v>63</v>
      </c>
      <c r="F69" s="7" t="s">
        <v>2070</v>
      </c>
      <c r="G69" s="7" t="s">
        <v>2078</v>
      </c>
      <c r="H69" s="7">
        <v>10</v>
      </c>
      <c r="I69" s="7" t="s">
        <v>1684</v>
      </c>
      <c r="J69" s="7" t="s">
        <v>746</v>
      </c>
    </row>
    <row r="70" spans="1:10" x14ac:dyDescent="0.3">
      <c r="A70" s="6" t="s">
        <v>2177</v>
      </c>
      <c r="B70" s="7" t="s">
        <v>1945</v>
      </c>
      <c r="C70" s="7" t="s">
        <v>1946</v>
      </c>
      <c r="D70" s="7" t="s">
        <v>15</v>
      </c>
      <c r="E70" s="7" t="s">
        <v>2178</v>
      </c>
      <c r="F70" s="7"/>
      <c r="G70" s="7" t="s">
        <v>2179</v>
      </c>
      <c r="H70" s="7">
        <v>0</v>
      </c>
      <c r="I70" s="7" t="s">
        <v>2181</v>
      </c>
      <c r="J70" s="7" t="s">
        <v>2182</v>
      </c>
    </row>
    <row r="71" spans="1:10" x14ac:dyDescent="0.3">
      <c r="A71" s="6" t="s">
        <v>2188</v>
      </c>
      <c r="B71" s="7" t="s">
        <v>1945</v>
      </c>
      <c r="C71" s="7" t="s">
        <v>1946</v>
      </c>
      <c r="D71" s="7" t="s">
        <v>15</v>
      </c>
      <c r="E71" s="7" t="s">
        <v>2184</v>
      </c>
      <c r="F71" s="7" t="s">
        <v>566</v>
      </c>
      <c r="G71" s="7" t="s">
        <v>2189</v>
      </c>
      <c r="H71" s="7">
        <v>0</v>
      </c>
      <c r="I71" s="7" t="s">
        <v>2191</v>
      </c>
      <c r="J71" s="7" t="s">
        <v>1633</v>
      </c>
    </row>
    <row r="72" spans="1:10" x14ac:dyDescent="0.3">
      <c r="A72" s="6" t="s">
        <v>2084</v>
      </c>
      <c r="B72" s="7" t="s">
        <v>1945</v>
      </c>
      <c r="C72" s="7" t="s">
        <v>1946</v>
      </c>
      <c r="D72" s="7" t="s">
        <v>15</v>
      </c>
      <c r="E72" s="7" t="s">
        <v>63</v>
      </c>
      <c r="F72" s="7"/>
      <c r="G72" s="7" t="s">
        <v>62</v>
      </c>
      <c r="H72" s="7">
        <v>2</v>
      </c>
      <c r="I72" s="7" t="s">
        <v>64</v>
      </c>
      <c r="J72" s="7" t="s">
        <v>404</v>
      </c>
    </row>
    <row r="73" spans="1:10" x14ac:dyDescent="0.3">
      <c r="A73" s="6" t="s">
        <v>2082</v>
      </c>
      <c r="B73" s="7" t="s">
        <v>1945</v>
      </c>
      <c r="C73" s="7" t="s">
        <v>1946</v>
      </c>
      <c r="D73" s="7" t="s">
        <v>15</v>
      </c>
      <c r="E73" s="7" t="s">
        <v>63</v>
      </c>
      <c r="F73" s="7" t="s">
        <v>2083</v>
      </c>
      <c r="G73" s="7" t="s">
        <v>62</v>
      </c>
      <c r="H73" s="7">
        <v>3</v>
      </c>
      <c r="I73" s="7" t="s">
        <v>64</v>
      </c>
      <c r="J73" s="7" t="s">
        <v>404</v>
      </c>
    </row>
    <row r="74" spans="1:10" x14ac:dyDescent="0.3">
      <c r="A74" s="6" t="s">
        <v>2080</v>
      </c>
      <c r="B74" s="7" t="s">
        <v>1945</v>
      </c>
      <c r="C74" s="7" t="s">
        <v>1946</v>
      </c>
      <c r="D74" s="7" t="s">
        <v>15</v>
      </c>
      <c r="E74" s="7" t="s">
        <v>63</v>
      </c>
      <c r="F74" s="7" t="s">
        <v>2070</v>
      </c>
      <c r="G74" s="7" t="s">
        <v>62</v>
      </c>
      <c r="H74" s="7">
        <v>71</v>
      </c>
      <c r="I74" s="7" t="s">
        <v>64</v>
      </c>
      <c r="J74" s="7" t="s">
        <v>404</v>
      </c>
    </row>
    <row r="75" spans="1:10" x14ac:dyDescent="0.3">
      <c r="A75" s="6" t="s">
        <v>2147</v>
      </c>
      <c r="B75" s="7" t="s">
        <v>1945</v>
      </c>
      <c r="C75" s="7" t="s">
        <v>1946</v>
      </c>
      <c r="D75" s="7" t="s">
        <v>15</v>
      </c>
      <c r="E75" s="7" t="s">
        <v>2148</v>
      </c>
      <c r="F75" s="7" t="s">
        <v>2149</v>
      </c>
      <c r="G75" s="7" t="s">
        <v>2150</v>
      </c>
      <c r="H75" s="7">
        <v>10</v>
      </c>
      <c r="I75" s="7" t="s">
        <v>2152</v>
      </c>
      <c r="J75" s="7" t="s">
        <v>788</v>
      </c>
    </row>
    <row r="76" spans="1:10" x14ac:dyDescent="0.3">
      <c r="A76" s="6" t="s">
        <v>2119</v>
      </c>
      <c r="B76" s="7" t="s">
        <v>1945</v>
      </c>
      <c r="C76" s="7" t="s">
        <v>1946</v>
      </c>
      <c r="D76" s="7" t="s">
        <v>15</v>
      </c>
      <c r="E76" s="7" t="s">
        <v>2120</v>
      </c>
      <c r="F76" s="7" t="s">
        <v>2121</v>
      </c>
      <c r="G76" s="7" t="s">
        <v>2122</v>
      </c>
      <c r="H76" s="7">
        <v>8</v>
      </c>
      <c r="I76" s="7" t="s">
        <v>2124</v>
      </c>
      <c r="J76" s="7" t="s">
        <v>746</v>
      </c>
    </row>
    <row r="77" spans="1:10" x14ac:dyDescent="0.3">
      <c r="A77" s="6" t="s">
        <v>2141</v>
      </c>
      <c r="B77" s="7" t="s">
        <v>1945</v>
      </c>
      <c r="C77" s="7" t="s">
        <v>1946</v>
      </c>
      <c r="D77" s="7" t="s">
        <v>15</v>
      </c>
      <c r="E77" s="7" t="s">
        <v>60</v>
      </c>
      <c r="F77" s="7"/>
      <c r="G77" s="7" t="s">
        <v>59</v>
      </c>
      <c r="H77" s="7">
        <v>2</v>
      </c>
      <c r="I77" s="7" t="s">
        <v>57</v>
      </c>
      <c r="J77" s="7" t="s">
        <v>2136</v>
      </c>
    </row>
    <row r="78" spans="1:10" x14ac:dyDescent="0.3">
      <c r="A78" s="6" t="s">
        <v>2133</v>
      </c>
      <c r="B78" s="7" t="s">
        <v>1945</v>
      </c>
      <c r="C78" s="7" t="s">
        <v>1946</v>
      </c>
      <c r="D78" s="7" t="s">
        <v>15</v>
      </c>
      <c r="E78" s="7" t="s">
        <v>60</v>
      </c>
      <c r="F78" s="7" t="s">
        <v>2134</v>
      </c>
      <c r="G78" s="7" t="s">
        <v>59</v>
      </c>
      <c r="H78" s="7">
        <v>96</v>
      </c>
      <c r="I78" s="7" t="s">
        <v>57</v>
      </c>
      <c r="J78" s="7" t="s">
        <v>2136</v>
      </c>
    </row>
    <row r="79" spans="1:10" x14ac:dyDescent="0.3">
      <c r="A79" s="6" t="s">
        <v>2143</v>
      </c>
      <c r="B79" s="7" t="s">
        <v>1945</v>
      </c>
      <c r="C79" s="7" t="s">
        <v>1946</v>
      </c>
      <c r="D79" s="7" t="s">
        <v>15</v>
      </c>
      <c r="E79" s="7" t="s">
        <v>60</v>
      </c>
      <c r="F79" s="7"/>
      <c r="G79" s="7" t="s">
        <v>59</v>
      </c>
      <c r="H79" s="7">
        <v>6</v>
      </c>
      <c r="I79" s="7" t="s">
        <v>57</v>
      </c>
      <c r="J79" s="7" t="s">
        <v>2136</v>
      </c>
    </row>
    <row r="80" spans="1:10" x14ac:dyDescent="0.3">
      <c r="A80" s="6" t="s">
        <v>2145</v>
      </c>
      <c r="B80" s="7" t="s">
        <v>1945</v>
      </c>
      <c r="C80" s="7" t="s">
        <v>1946</v>
      </c>
      <c r="D80" s="7" t="s">
        <v>15</v>
      </c>
      <c r="E80" s="7" t="s">
        <v>60</v>
      </c>
      <c r="F80" s="7"/>
      <c r="G80" s="7" t="s">
        <v>59</v>
      </c>
      <c r="H80" s="7">
        <v>8</v>
      </c>
      <c r="I80" s="7" t="s">
        <v>57</v>
      </c>
      <c r="J80" s="7" t="s">
        <v>2136</v>
      </c>
    </row>
    <row r="81" spans="1:10" x14ac:dyDescent="0.3">
      <c r="A81" s="6" t="s">
        <v>2137</v>
      </c>
      <c r="B81" s="7" t="s">
        <v>1945</v>
      </c>
      <c r="C81" s="7" t="s">
        <v>1946</v>
      </c>
      <c r="D81" s="7" t="s">
        <v>15</v>
      </c>
      <c r="E81" s="7" t="s">
        <v>60</v>
      </c>
      <c r="F81" s="7" t="s">
        <v>2138</v>
      </c>
      <c r="G81" s="7" t="s">
        <v>59</v>
      </c>
      <c r="H81" s="7">
        <v>3</v>
      </c>
      <c r="I81" s="7" t="s">
        <v>57</v>
      </c>
      <c r="J81" s="7" t="s">
        <v>2136</v>
      </c>
    </row>
    <row r="82" spans="1:10" x14ac:dyDescent="0.3">
      <c r="A82" s="6" t="s">
        <v>1959</v>
      </c>
      <c r="B82" s="7" t="s">
        <v>1945</v>
      </c>
      <c r="C82" s="7" t="s">
        <v>1946</v>
      </c>
      <c r="D82" s="7" t="s">
        <v>15</v>
      </c>
      <c r="E82" s="7" t="s">
        <v>1954</v>
      </c>
      <c r="F82" s="7" t="s">
        <v>1955</v>
      </c>
      <c r="G82" s="7" t="s">
        <v>1960</v>
      </c>
      <c r="H82" s="7">
        <v>28</v>
      </c>
      <c r="I82" s="7" t="s">
        <v>604</v>
      </c>
      <c r="J82" s="7" t="s">
        <v>1963</v>
      </c>
    </row>
    <row r="83" spans="1:10" x14ac:dyDescent="0.3">
      <c r="A83" s="6" t="s">
        <v>2048</v>
      </c>
      <c r="B83" s="7" t="s">
        <v>1945</v>
      </c>
      <c r="C83" s="7" t="s">
        <v>1946</v>
      </c>
      <c r="D83" s="7" t="s">
        <v>15</v>
      </c>
      <c r="E83" s="7" t="s">
        <v>1203</v>
      </c>
      <c r="F83" s="7" t="s">
        <v>1204</v>
      </c>
      <c r="G83" s="7" t="s">
        <v>2049</v>
      </c>
      <c r="H83" s="7">
        <v>4</v>
      </c>
      <c r="I83" s="7" t="s">
        <v>2045</v>
      </c>
      <c r="J83" s="7" t="s">
        <v>1218</v>
      </c>
    </row>
    <row r="84" spans="1:10" x14ac:dyDescent="0.3">
      <c r="A84" s="6" t="s">
        <v>2036</v>
      </c>
      <c r="B84" s="7" t="s">
        <v>1945</v>
      </c>
      <c r="C84" s="7" t="s">
        <v>1946</v>
      </c>
      <c r="D84" s="7" t="s">
        <v>15</v>
      </c>
      <c r="E84" s="7" t="s">
        <v>2031</v>
      </c>
      <c r="F84" s="7" t="s">
        <v>283</v>
      </c>
      <c r="G84" s="7" t="s">
        <v>2037</v>
      </c>
      <c r="H84" s="7">
        <v>12</v>
      </c>
      <c r="I84" s="7" t="s">
        <v>82</v>
      </c>
      <c r="J84" s="7" t="s">
        <v>2039</v>
      </c>
    </row>
    <row r="85" spans="1:10" x14ac:dyDescent="0.3">
      <c r="A85" s="6" t="s">
        <v>1346</v>
      </c>
      <c r="B85" s="7" t="s">
        <v>127</v>
      </c>
      <c r="C85" s="7" t="s">
        <v>589</v>
      </c>
      <c r="D85" s="7" t="s">
        <v>22</v>
      </c>
      <c r="E85" s="7" t="s">
        <v>1347</v>
      </c>
      <c r="F85" s="7" t="s">
        <v>1204</v>
      </c>
      <c r="G85" s="7" t="s">
        <v>96</v>
      </c>
      <c r="H85" s="7"/>
      <c r="I85" s="7" t="s">
        <v>99</v>
      </c>
      <c r="J85" s="7" t="s">
        <v>593</v>
      </c>
    </row>
    <row r="86" spans="1:10" x14ac:dyDescent="0.3">
      <c r="A86" s="6" t="s">
        <v>1202</v>
      </c>
      <c r="B86" s="7" t="s">
        <v>127</v>
      </c>
      <c r="C86" s="7" t="s">
        <v>589</v>
      </c>
      <c r="D86" s="7" t="s">
        <v>14</v>
      </c>
      <c r="E86" s="7" t="s">
        <v>1203</v>
      </c>
      <c r="F86" s="7" t="s">
        <v>1204</v>
      </c>
      <c r="G86" s="7" t="s">
        <v>1205</v>
      </c>
      <c r="H86" s="7">
        <v>2</v>
      </c>
      <c r="I86" s="7" t="s">
        <v>99</v>
      </c>
      <c r="J86" s="7" t="s">
        <v>593</v>
      </c>
    </row>
    <row r="87" spans="1:10" x14ac:dyDescent="0.3">
      <c r="A87" s="6" t="s">
        <v>1993</v>
      </c>
      <c r="B87" s="7" t="s">
        <v>1945</v>
      </c>
      <c r="C87" s="7" t="s">
        <v>1946</v>
      </c>
      <c r="D87" s="7" t="s">
        <v>15</v>
      </c>
      <c r="E87" s="7" t="s">
        <v>1994</v>
      </c>
      <c r="F87" s="7" t="s">
        <v>1098</v>
      </c>
      <c r="G87" s="7" t="s">
        <v>1995</v>
      </c>
      <c r="H87" s="7">
        <v>6</v>
      </c>
      <c r="I87" s="7" t="s">
        <v>1998</v>
      </c>
      <c r="J87" s="7" t="s">
        <v>1999</v>
      </c>
    </row>
    <row r="88" spans="1:10" x14ac:dyDescent="0.3">
      <c r="A88" s="6" t="s">
        <v>2000</v>
      </c>
      <c r="B88" s="7" t="s">
        <v>1945</v>
      </c>
      <c r="C88" s="7" t="s">
        <v>1946</v>
      </c>
      <c r="D88" s="7" t="s">
        <v>15</v>
      </c>
      <c r="E88" s="7" t="s">
        <v>1994</v>
      </c>
      <c r="F88" s="7" t="s">
        <v>1098</v>
      </c>
      <c r="G88" s="7" t="s">
        <v>2001</v>
      </c>
      <c r="H88" s="7">
        <v>1</v>
      </c>
      <c r="I88" s="7" t="s">
        <v>196</v>
      </c>
      <c r="J88" s="7" t="s">
        <v>155</v>
      </c>
    </row>
    <row r="89" spans="1:10" x14ac:dyDescent="0.3">
      <c r="A89" s="6" t="s">
        <v>2004</v>
      </c>
      <c r="B89" s="7" t="s">
        <v>1945</v>
      </c>
      <c r="C89" s="7" t="s">
        <v>1946</v>
      </c>
      <c r="D89" s="7" t="s">
        <v>15</v>
      </c>
      <c r="E89" s="7" t="s">
        <v>1994</v>
      </c>
      <c r="F89" s="7" t="s">
        <v>1098</v>
      </c>
      <c r="G89" s="7" t="s">
        <v>2005</v>
      </c>
      <c r="H89" s="7">
        <v>11</v>
      </c>
      <c r="I89" s="7" t="s">
        <v>660</v>
      </c>
      <c r="J89" s="7" t="s">
        <v>2007</v>
      </c>
    </row>
    <row r="90" spans="1:10" x14ac:dyDescent="0.3">
      <c r="A90" s="6" t="s">
        <v>2008</v>
      </c>
      <c r="B90" s="7" t="s">
        <v>1945</v>
      </c>
      <c r="C90" s="7" t="s">
        <v>1946</v>
      </c>
      <c r="D90" s="7" t="s">
        <v>15</v>
      </c>
      <c r="E90" s="7" t="s">
        <v>1994</v>
      </c>
      <c r="F90" s="7" t="s">
        <v>1098</v>
      </c>
      <c r="G90" s="7" t="s">
        <v>2009</v>
      </c>
      <c r="H90" s="7">
        <v>2</v>
      </c>
      <c r="I90" s="7" t="s">
        <v>2012</v>
      </c>
      <c r="J90" s="7" t="s">
        <v>2007</v>
      </c>
    </row>
    <row r="91" spans="1:10" x14ac:dyDescent="0.3">
      <c r="A91" s="6" t="s">
        <v>2013</v>
      </c>
      <c r="B91" s="7" t="s">
        <v>1945</v>
      </c>
      <c r="C91" s="7" t="s">
        <v>1946</v>
      </c>
      <c r="D91" s="7" t="s">
        <v>15</v>
      </c>
      <c r="E91" s="7" t="s">
        <v>1994</v>
      </c>
      <c r="F91" s="7" t="s">
        <v>1098</v>
      </c>
      <c r="G91" s="7" t="s">
        <v>2014</v>
      </c>
      <c r="H91" s="7">
        <v>1</v>
      </c>
      <c r="I91" s="7" t="s">
        <v>2012</v>
      </c>
      <c r="J91" s="7" t="s">
        <v>2007</v>
      </c>
    </row>
    <row r="92" spans="1:10" x14ac:dyDescent="0.3">
      <c r="A92" s="6" t="s">
        <v>325</v>
      </c>
      <c r="B92" s="7" t="s">
        <v>127</v>
      </c>
      <c r="C92" s="7" t="s">
        <v>128</v>
      </c>
      <c r="D92" s="7" t="s">
        <v>9</v>
      </c>
      <c r="E92" s="7" t="s">
        <v>326</v>
      </c>
      <c r="F92" s="7"/>
      <c r="G92" s="7" t="s">
        <v>327</v>
      </c>
      <c r="H92" s="7">
        <v>5</v>
      </c>
      <c r="I92" s="7" t="s">
        <v>328</v>
      </c>
      <c r="J92" s="7" t="s">
        <v>143</v>
      </c>
    </row>
    <row r="93" spans="1:10" x14ac:dyDescent="0.3">
      <c r="A93" s="6" t="s">
        <v>1007</v>
      </c>
      <c r="B93" s="7" t="s">
        <v>127</v>
      </c>
      <c r="C93" s="7" t="s">
        <v>727</v>
      </c>
      <c r="D93" s="7" t="s">
        <v>12</v>
      </c>
      <c r="E93" s="7" t="s">
        <v>1008</v>
      </c>
      <c r="F93" s="7" t="s">
        <v>1009</v>
      </c>
      <c r="G93" s="7" t="s">
        <v>949</v>
      </c>
      <c r="H93" s="7">
        <v>8</v>
      </c>
      <c r="I93" s="7" t="s">
        <v>1010</v>
      </c>
      <c r="J93" s="7"/>
    </row>
    <row r="94" spans="1:10" x14ac:dyDescent="0.3">
      <c r="A94" s="6" t="s">
        <v>946</v>
      </c>
      <c r="B94" s="7" t="s">
        <v>127</v>
      </c>
      <c r="C94" s="7" t="s">
        <v>727</v>
      </c>
      <c r="D94" s="7" t="s">
        <v>12</v>
      </c>
      <c r="E94" s="7" t="s">
        <v>947</v>
      </c>
      <c r="F94" s="7" t="s">
        <v>948</v>
      </c>
      <c r="G94" s="7" t="s">
        <v>949</v>
      </c>
      <c r="H94" s="7">
        <v>6</v>
      </c>
      <c r="I94" s="7" t="s">
        <v>950</v>
      </c>
      <c r="J94" s="7" t="s">
        <v>483</v>
      </c>
    </row>
    <row r="95" spans="1:10" x14ac:dyDescent="0.3">
      <c r="A95" s="6" t="s">
        <v>820</v>
      </c>
      <c r="B95" s="7" t="s">
        <v>127</v>
      </c>
      <c r="C95" s="7" t="s">
        <v>727</v>
      </c>
      <c r="D95" s="7" t="s">
        <v>12</v>
      </c>
      <c r="E95" s="7" t="s">
        <v>821</v>
      </c>
      <c r="F95" s="7" t="s">
        <v>822</v>
      </c>
      <c r="G95" s="7" t="s">
        <v>823</v>
      </c>
      <c r="H95" s="7">
        <v>14</v>
      </c>
      <c r="I95" s="7" t="s">
        <v>735</v>
      </c>
      <c r="J95" s="7" t="s">
        <v>824</v>
      </c>
    </row>
    <row r="96" spans="1:10" x14ac:dyDescent="0.3">
      <c r="A96" s="6" t="s">
        <v>1920</v>
      </c>
      <c r="B96" s="7" t="s">
        <v>127</v>
      </c>
      <c r="C96" s="7" t="s">
        <v>1045</v>
      </c>
      <c r="D96" s="7" t="s">
        <v>13</v>
      </c>
      <c r="E96" s="7" t="s">
        <v>1921</v>
      </c>
      <c r="F96" s="7" t="s">
        <v>1922</v>
      </c>
      <c r="G96" s="7" t="s">
        <v>1923</v>
      </c>
      <c r="H96" s="7">
        <v>1</v>
      </c>
      <c r="I96" s="7" t="s">
        <v>1919</v>
      </c>
      <c r="J96" s="7" t="s">
        <v>304</v>
      </c>
    </row>
    <row r="97" spans="1:10" x14ac:dyDescent="0.3">
      <c r="A97" s="6" t="s">
        <v>2085</v>
      </c>
      <c r="B97" s="7" t="s">
        <v>1945</v>
      </c>
      <c r="C97" s="7" t="s">
        <v>1946</v>
      </c>
      <c r="D97" s="7" t="s">
        <v>15</v>
      </c>
      <c r="E97" s="7" t="s">
        <v>2086</v>
      </c>
      <c r="F97" s="7" t="s">
        <v>2087</v>
      </c>
      <c r="G97" s="7" t="s">
        <v>2088</v>
      </c>
      <c r="H97" s="7">
        <v>1</v>
      </c>
      <c r="I97" s="7"/>
      <c r="J97" s="7"/>
    </row>
    <row r="98" spans="1:10" x14ac:dyDescent="0.3">
      <c r="A98" s="6" t="s">
        <v>830</v>
      </c>
      <c r="B98" s="7" t="s">
        <v>127</v>
      </c>
      <c r="C98" s="7" t="s">
        <v>727</v>
      </c>
      <c r="D98" s="7" t="s">
        <v>12</v>
      </c>
      <c r="E98" s="7" t="s">
        <v>831</v>
      </c>
      <c r="F98" s="7" t="s">
        <v>832</v>
      </c>
      <c r="G98" s="7" t="s">
        <v>833</v>
      </c>
      <c r="H98" s="7">
        <v>1</v>
      </c>
      <c r="I98" s="7" t="s">
        <v>834</v>
      </c>
      <c r="J98" s="7" t="s">
        <v>199</v>
      </c>
    </row>
    <row r="99" spans="1:10" x14ac:dyDescent="0.3">
      <c r="A99" s="6" t="s">
        <v>1224</v>
      </c>
      <c r="B99" s="7" t="s">
        <v>127</v>
      </c>
      <c r="C99" s="7" t="s">
        <v>589</v>
      </c>
      <c r="D99" s="7" t="s">
        <v>20</v>
      </c>
      <c r="E99" s="7" t="s">
        <v>1225</v>
      </c>
      <c r="F99" s="7" t="s">
        <v>1226</v>
      </c>
      <c r="G99" s="7" t="s">
        <v>1227</v>
      </c>
      <c r="H99" s="7"/>
      <c r="I99" s="7" t="s">
        <v>308</v>
      </c>
      <c r="J99" s="7" t="s">
        <v>199</v>
      </c>
    </row>
    <row r="100" spans="1:10" x14ac:dyDescent="0.3">
      <c r="A100" s="6" t="s">
        <v>569</v>
      </c>
      <c r="B100" s="7" t="s">
        <v>127</v>
      </c>
      <c r="C100" s="7" t="s">
        <v>128</v>
      </c>
      <c r="D100" s="7" t="s">
        <v>9</v>
      </c>
      <c r="E100" s="7" t="s">
        <v>570</v>
      </c>
      <c r="F100" s="7" t="s">
        <v>571</v>
      </c>
      <c r="G100" s="7" t="s">
        <v>572</v>
      </c>
      <c r="H100" s="7">
        <v>2</v>
      </c>
      <c r="I100" s="7" t="s">
        <v>573</v>
      </c>
      <c r="J100" s="7" t="s">
        <v>294</v>
      </c>
    </row>
    <row r="101" spans="1:10" x14ac:dyDescent="0.3">
      <c r="A101" s="6" t="s">
        <v>2419</v>
      </c>
      <c r="B101" s="7" t="s">
        <v>127</v>
      </c>
      <c r="C101" s="7"/>
      <c r="D101" s="7" t="s">
        <v>28</v>
      </c>
      <c r="E101" s="7" t="s">
        <v>2420</v>
      </c>
      <c r="F101" s="7" t="s">
        <v>2421</v>
      </c>
      <c r="G101" s="7" t="s">
        <v>2422</v>
      </c>
      <c r="H101" s="7">
        <v>2</v>
      </c>
      <c r="I101" s="7" t="s">
        <v>366</v>
      </c>
      <c r="J101" s="7" t="s">
        <v>2424</v>
      </c>
    </row>
    <row r="102" spans="1:10" x14ac:dyDescent="0.3">
      <c r="A102" s="6" t="s">
        <v>794</v>
      </c>
      <c r="B102" s="7" t="s">
        <v>127</v>
      </c>
      <c r="C102" s="7" t="s">
        <v>727</v>
      </c>
      <c r="D102" s="7" t="s">
        <v>12</v>
      </c>
      <c r="E102" s="7" t="s">
        <v>795</v>
      </c>
      <c r="F102" s="7" t="s">
        <v>796</v>
      </c>
      <c r="G102" s="7" t="s">
        <v>797</v>
      </c>
      <c r="H102" s="7">
        <v>24</v>
      </c>
      <c r="I102" s="7" t="s">
        <v>250</v>
      </c>
      <c r="J102" s="7" t="s">
        <v>189</v>
      </c>
    </row>
    <row r="103" spans="1:10" x14ac:dyDescent="0.3">
      <c r="A103" s="6" t="s">
        <v>1011</v>
      </c>
      <c r="B103" s="7" t="s">
        <v>127</v>
      </c>
      <c r="C103" s="7" t="s">
        <v>727</v>
      </c>
      <c r="D103" s="7" t="s">
        <v>12</v>
      </c>
      <c r="E103" s="7" t="s">
        <v>1012</v>
      </c>
      <c r="F103" s="7" t="s">
        <v>1013</v>
      </c>
      <c r="G103" s="7" t="s">
        <v>1014</v>
      </c>
      <c r="H103" s="7">
        <v>5</v>
      </c>
      <c r="I103" s="7" t="s">
        <v>417</v>
      </c>
      <c r="J103" s="7" t="s">
        <v>380</v>
      </c>
    </row>
    <row r="104" spans="1:10" x14ac:dyDescent="0.3">
      <c r="A104" s="6" t="s">
        <v>1913</v>
      </c>
      <c r="B104" s="7" t="s">
        <v>127</v>
      </c>
      <c r="C104" s="7" t="s">
        <v>1045</v>
      </c>
      <c r="D104" s="7" t="s">
        <v>13</v>
      </c>
      <c r="E104" s="7" t="s">
        <v>1914</v>
      </c>
      <c r="F104" s="7" t="s">
        <v>433</v>
      </c>
      <c r="G104" s="7" t="s">
        <v>88</v>
      </c>
      <c r="H104" s="7">
        <v>22</v>
      </c>
      <c r="I104" s="7" t="s">
        <v>90</v>
      </c>
      <c r="J104" s="7"/>
    </row>
    <row r="105" spans="1:10" x14ac:dyDescent="0.3">
      <c r="A105" s="6" t="s">
        <v>1910</v>
      </c>
      <c r="B105" s="7" t="s">
        <v>127</v>
      </c>
      <c r="C105" s="7" t="s">
        <v>1045</v>
      </c>
      <c r="D105" s="7" t="s">
        <v>13</v>
      </c>
      <c r="E105" s="7" t="s">
        <v>1911</v>
      </c>
      <c r="F105" s="7" t="s">
        <v>430</v>
      </c>
      <c r="G105" s="7" t="s">
        <v>88</v>
      </c>
      <c r="H105" s="7">
        <v>61</v>
      </c>
      <c r="I105" s="7" t="s">
        <v>90</v>
      </c>
      <c r="J105" s="7"/>
    </row>
    <row r="106" spans="1:10" x14ac:dyDescent="0.3">
      <c r="A106" s="6" t="s">
        <v>1117</v>
      </c>
      <c r="B106" s="7" t="s">
        <v>127</v>
      </c>
      <c r="C106" s="7" t="s">
        <v>1045</v>
      </c>
      <c r="D106" s="7" t="s">
        <v>13</v>
      </c>
      <c r="E106" s="7" t="s">
        <v>1118</v>
      </c>
      <c r="F106" s="7" t="s">
        <v>1119</v>
      </c>
      <c r="G106" s="7" t="s">
        <v>1120</v>
      </c>
      <c r="H106" s="7">
        <v>59</v>
      </c>
      <c r="I106" s="7" t="s">
        <v>188</v>
      </c>
      <c r="J106" s="7" t="s">
        <v>1121</v>
      </c>
    </row>
    <row r="107" spans="1:10" x14ac:dyDescent="0.3">
      <c r="A107" s="6" t="s">
        <v>825</v>
      </c>
      <c r="B107" s="7" t="s">
        <v>127</v>
      </c>
      <c r="C107" s="7" t="s">
        <v>727</v>
      </c>
      <c r="D107" s="7" t="s">
        <v>12</v>
      </c>
      <c r="E107" s="7" t="s">
        <v>826</v>
      </c>
      <c r="F107" s="7" t="s">
        <v>827</v>
      </c>
      <c r="G107" s="7" t="s">
        <v>828</v>
      </c>
      <c r="H107" s="7">
        <v>6</v>
      </c>
      <c r="I107" s="7" t="s">
        <v>829</v>
      </c>
      <c r="J107" s="7" t="s">
        <v>189</v>
      </c>
    </row>
    <row r="108" spans="1:10" x14ac:dyDescent="0.3">
      <c r="A108" s="6" t="s">
        <v>1832</v>
      </c>
      <c r="B108" s="7" t="s">
        <v>127</v>
      </c>
      <c r="C108" s="7" t="s">
        <v>727</v>
      </c>
      <c r="D108" s="7" t="s">
        <v>12</v>
      </c>
      <c r="E108" s="7" t="s">
        <v>1833</v>
      </c>
      <c r="F108" s="7" t="s">
        <v>1834</v>
      </c>
      <c r="G108" s="7" t="s">
        <v>1835</v>
      </c>
      <c r="H108" s="7">
        <v>5</v>
      </c>
      <c r="I108" s="7" t="s">
        <v>682</v>
      </c>
      <c r="J108" s="7" t="s">
        <v>1839</v>
      </c>
    </row>
    <row r="109" spans="1:10" x14ac:dyDescent="0.3">
      <c r="A109" s="6" t="s">
        <v>865</v>
      </c>
      <c r="B109" s="7" t="s">
        <v>127</v>
      </c>
      <c r="C109" s="7" t="s">
        <v>727</v>
      </c>
      <c r="D109" s="7" t="s">
        <v>12</v>
      </c>
      <c r="E109" s="7" t="s">
        <v>866</v>
      </c>
      <c r="F109" s="7" t="s">
        <v>867</v>
      </c>
      <c r="G109" s="7" t="s">
        <v>868</v>
      </c>
      <c r="H109" s="7">
        <v>7</v>
      </c>
      <c r="I109" s="7" t="s">
        <v>621</v>
      </c>
      <c r="J109" s="7" t="s">
        <v>869</v>
      </c>
    </row>
    <row r="110" spans="1:10" x14ac:dyDescent="0.3">
      <c r="A110" s="6" t="s">
        <v>1873</v>
      </c>
      <c r="B110" s="7" t="s">
        <v>127</v>
      </c>
      <c r="C110" s="7" t="s">
        <v>727</v>
      </c>
      <c r="D110" s="7" t="s">
        <v>12</v>
      </c>
      <c r="E110" s="7" t="s">
        <v>582</v>
      </c>
      <c r="F110" s="7" t="s">
        <v>718</v>
      </c>
      <c r="G110" s="7" t="s">
        <v>1874</v>
      </c>
      <c r="H110" s="7">
        <v>52</v>
      </c>
      <c r="I110" s="7" t="s">
        <v>1878</v>
      </c>
      <c r="J110" s="7" t="s">
        <v>1218</v>
      </c>
    </row>
    <row r="111" spans="1:10" x14ac:dyDescent="0.3">
      <c r="A111" s="6" t="s">
        <v>927</v>
      </c>
      <c r="B111" s="7" t="s">
        <v>127</v>
      </c>
      <c r="C111" s="7" t="s">
        <v>727</v>
      </c>
      <c r="D111" s="7" t="s">
        <v>12</v>
      </c>
      <c r="E111" s="7" t="s">
        <v>928</v>
      </c>
      <c r="F111" s="7" t="s">
        <v>929</v>
      </c>
      <c r="G111" s="7" t="s">
        <v>930</v>
      </c>
      <c r="H111" s="7">
        <v>2</v>
      </c>
      <c r="I111" s="7" t="s">
        <v>513</v>
      </c>
      <c r="J111" s="7" t="s">
        <v>931</v>
      </c>
    </row>
    <row r="112" spans="1:10" x14ac:dyDescent="0.3">
      <c r="A112" s="6" t="s">
        <v>951</v>
      </c>
      <c r="B112" s="7" t="s">
        <v>127</v>
      </c>
      <c r="C112" s="7" t="s">
        <v>727</v>
      </c>
      <c r="D112" s="7" t="s">
        <v>12</v>
      </c>
      <c r="E112" s="7" t="s">
        <v>952</v>
      </c>
      <c r="F112" s="7" t="s">
        <v>953</v>
      </c>
      <c r="G112" s="7" t="s">
        <v>954</v>
      </c>
      <c r="H112" s="7"/>
      <c r="I112" s="7" t="s">
        <v>196</v>
      </c>
      <c r="J112" s="7" t="s">
        <v>955</v>
      </c>
    </row>
    <row r="113" spans="1:10" x14ac:dyDescent="0.3">
      <c r="A113" s="6" t="s">
        <v>935</v>
      </c>
      <c r="B113" s="7" t="s">
        <v>127</v>
      </c>
      <c r="C113" s="7" t="s">
        <v>727</v>
      </c>
      <c r="D113" s="7" t="s">
        <v>12</v>
      </c>
      <c r="E113" s="7" t="s">
        <v>936</v>
      </c>
      <c r="F113" s="7" t="s">
        <v>937</v>
      </c>
      <c r="G113" s="7" t="s">
        <v>938</v>
      </c>
      <c r="H113" s="7">
        <v>2</v>
      </c>
      <c r="I113" s="7" t="s">
        <v>939</v>
      </c>
      <c r="J113" s="7" t="s">
        <v>940</v>
      </c>
    </row>
    <row r="114" spans="1:10" x14ac:dyDescent="0.3">
      <c r="A114" s="6" t="s">
        <v>2396</v>
      </c>
      <c r="B114" s="7" t="s">
        <v>127</v>
      </c>
      <c r="C114" s="7"/>
      <c r="D114" s="7" t="s">
        <v>28</v>
      </c>
      <c r="E114" s="7" t="s">
        <v>2397</v>
      </c>
      <c r="F114" s="7" t="s">
        <v>2398</v>
      </c>
      <c r="G114" s="7" t="s">
        <v>2399</v>
      </c>
      <c r="H114" s="7">
        <v>1</v>
      </c>
      <c r="I114" s="7" t="s">
        <v>562</v>
      </c>
      <c r="J114" s="7" t="s">
        <v>1218</v>
      </c>
    </row>
    <row r="115" spans="1:10" x14ac:dyDescent="0.3">
      <c r="A115" s="6" t="s">
        <v>2441</v>
      </c>
      <c r="B115" s="7" t="s">
        <v>127</v>
      </c>
      <c r="C115" s="7"/>
      <c r="D115" s="7" t="s">
        <v>28</v>
      </c>
      <c r="E115" s="7" t="s">
        <v>2442</v>
      </c>
      <c r="F115" s="7" t="s">
        <v>2443</v>
      </c>
      <c r="G115" s="7" t="s">
        <v>2444</v>
      </c>
      <c r="H115" s="7">
        <v>1</v>
      </c>
      <c r="I115" s="7" t="s">
        <v>1066</v>
      </c>
      <c r="J115" s="7" t="s">
        <v>2446</v>
      </c>
    </row>
    <row r="116" spans="1:10" x14ac:dyDescent="0.3">
      <c r="A116" s="6" t="s">
        <v>986</v>
      </c>
      <c r="B116" s="7" t="s">
        <v>127</v>
      </c>
      <c r="C116" s="7" t="s">
        <v>727</v>
      </c>
      <c r="D116" s="7" t="s">
        <v>12</v>
      </c>
      <c r="E116" s="7" t="s">
        <v>987</v>
      </c>
      <c r="F116" s="7" t="s">
        <v>988</v>
      </c>
      <c r="G116" s="7" t="s">
        <v>989</v>
      </c>
      <c r="H116" s="7"/>
      <c r="I116" s="7" t="s">
        <v>324</v>
      </c>
      <c r="J116" s="7" t="s">
        <v>497</v>
      </c>
    </row>
    <row r="117" spans="1:10" x14ac:dyDescent="0.3">
      <c r="A117" s="6" t="s">
        <v>1078</v>
      </c>
      <c r="B117" s="7" t="s">
        <v>127</v>
      </c>
      <c r="C117" s="7" t="s">
        <v>1045</v>
      </c>
      <c r="D117" s="7" t="s">
        <v>13</v>
      </c>
      <c r="E117" s="7" t="s">
        <v>77</v>
      </c>
      <c r="F117" s="7" t="s">
        <v>226</v>
      </c>
      <c r="G117" s="7" t="s">
        <v>1079</v>
      </c>
      <c r="H117" s="7">
        <v>36</v>
      </c>
      <c r="I117" s="7" t="s">
        <v>1080</v>
      </c>
      <c r="J117" s="7" t="s">
        <v>1081</v>
      </c>
    </row>
    <row r="118" spans="1:10" x14ac:dyDescent="0.3">
      <c r="A118" s="6" t="s">
        <v>1053</v>
      </c>
      <c r="B118" s="7" t="s">
        <v>127</v>
      </c>
      <c r="C118" s="7" t="s">
        <v>1045</v>
      </c>
      <c r="D118" s="7" t="s">
        <v>13</v>
      </c>
      <c r="E118" s="7" t="s">
        <v>752</v>
      </c>
      <c r="F118" s="7" t="s">
        <v>753</v>
      </c>
      <c r="G118" s="7" t="s">
        <v>1054</v>
      </c>
      <c r="H118" s="7">
        <v>5</v>
      </c>
      <c r="I118" s="7" t="s">
        <v>318</v>
      </c>
      <c r="J118" s="7" t="s">
        <v>132</v>
      </c>
    </row>
    <row r="119" spans="1:10" x14ac:dyDescent="0.3">
      <c r="A119" s="6" t="s">
        <v>1049</v>
      </c>
      <c r="B119" s="7" t="s">
        <v>127</v>
      </c>
      <c r="C119" s="7" t="s">
        <v>1045</v>
      </c>
      <c r="D119" s="7" t="s">
        <v>13</v>
      </c>
      <c r="E119" s="7" t="s">
        <v>1050</v>
      </c>
      <c r="F119" s="7" t="s">
        <v>194</v>
      </c>
      <c r="G119" s="7" t="s">
        <v>1051</v>
      </c>
      <c r="H119" s="7">
        <v>38</v>
      </c>
      <c r="I119" s="7" t="s">
        <v>1052</v>
      </c>
      <c r="J119" s="7" t="s">
        <v>199</v>
      </c>
    </row>
    <row r="120" spans="1:10" x14ac:dyDescent="0.3">
      <c r="A120" s="6" t="s">
        <v>1055</v>
      </c>
      <c r="B120" s="7" t="s">
        <v>127</v>
      </c>
      <c r="C120" s="7" t="s">
        <v>1045</v>
      </c>
      <c r="D120" s="7" t="s">
        <v>13</v>
      </c>
      <c r="E120" s="7" t="s">
        <v>752</v>
      </c>
      <c r="F120" s="7" t="s">
        <v>753</v>
      </c>
      <c r="G120" s="7" t="s">
        <v>1056</v>
      </c>
      <c r="H120" s="7">
        <v>8</v>
      </c>
      <c r="I120" s="7" t="s">
        <v>1057</v>
      </c>
      <c r="J120" s="7" t="s">
        <v>304</v>
      </c>
    </row>
    <row r="121" spans="1:10" x14ac:dyDescent="0.3">
      <c r="A121" s="6" t="s">
        <v>1197</v>
      </c>
      <c r="B121" s="7" t="s">
        <v>127</v>
      </c>
      <c r="C121" s="7" t="s">
        <v>1045</v>
      </c>
      <c r="D121" s="7" t="s">
        <v>13</v>
      </c>
      <c r="E121" s="7" t="s">
        <v>1198</v>
      </c>
      <c r="F121" s="7" t="s">
        <v>1035</v>
      </c>
      <c r="G121" s="7" t="s">
        <v>1199</v>
      </c>
      <c r="H121" s="7">
        <v>27</v>
      </c>
      <c r="I121" s="7" t="s">
        <v>1200</v>
      </c>
      <c r="J121" s="7" t="s">
        <v>1201</v>
      </c>
    </row>
    <row r="122" spans="1:10" x14ac:dyDescent="0.3">
      <c r="A122" s="6" t="s">
        <v>1219</v>
      </c>
      <c r="B122" s="7" t="s">
        <v>1215</v>
      </c>
      <c r="C122" s="7" t="s">
        <v>1045</v>
      </c>
      <c r="D122" s="7" t="s">
        <v>19</v>
      </c>
      <c r="E122" s="7" t="s">
        <v>1220</v>
      </c>
      <c r="F122" s="7" t="s">
        <v>1221</v>
      </c>
      <c r="G122" s="7" t="s">
        <v>1222</v>
      </c>
      <c r="H122" s="7">
        <v>4</v>
      </c>
      <c r="I122" s="7" t="s">
        <v>324</v>
      </c>
      <c r="J122" s="7" t="s">
        <v>1223</v>
      </c>
    </row>
    <row r="123" spans="1:10" x14ac:dyDescent="0.3">
      <c r="A123" s="6" t="s">
        <v>1102</v>
      </c>
      <c r="B123" s="7" t="s">
        <v>127</v>
      </c>
      <c r="C123" s="7" t="s">
        <v>1045</v>
      </c>
      <c r="D123" s="7" t="s">
        <v>13</v>
      </c>
      <c r="E123" s="7" t="s">
        <v>1103</v>
      </c>
      <c r="F123" s="7" t="s">
        <v>1104</v>
      </c>
      <c r="G123" s="7" t="s">
        <v>1105</v>
      </c>
      <c r="H123" s="7">
        <v>21</v>
      </c>
      <c r="I123" s="7" t="s">
        <v>308</v>
      </c>
      <c r="J123" s="7" t="s">
        <v>1106</v>
      </c>
    </row>
    <row r="124" spans="1:10" x14ac:dyDescent="0.3">
      <c r="A124" s="6" t="s">
        <v>977</v>
      </c>
      <c r="B124" s="7" t="s">
        <v>127</v>
      </c>
      <c r="C124" s="7" t="s">
        <v>727</v>
      </c>
      <c r="D124" s="7" t="s">
        <v>12</v>
      </c>
      <c r="E124" s="7" t="s">
        <v>978</v>
      </c>
      <c r="F124" s="7" t="s">
        <v>979</v>
      </c>
      <c r="G124" s="7" t="s">
        <v>980</v>
      </c>
      <c r="H124" s="7">
        <v>10</v>
      </c>
      <c r="I124" s="7" t="s">
        <v>660</v>
      </c>
      <c r="J124" s="7" t="s">
        <v>505</v>
      </c>
    </row>
    <row r="125" spans="1:10" x14ac:dyDescent="0.3">
      <c r="A125" s="6" t="s">
        <v>990</v>
      </c>
      <c r="B125" s="7" t="s">
        <v>127</v>
      </c>
      <c r="C125" s="7" t="s">
        <v>727</v>
      </c>
      <c r="D125" s="7" t="s">
        <v>12</v>
      </c>
      <c r="E125" s="7" t="s">
        <v>987</v>
      </c>
      <c r="F125" s="7" t="s">
        <v>988</v>
      </c>
      <c r="G125" s="7" t="s">
        <v>991</v>
      </c>
      <c r="H125" s="7">
        <v>0</v>
      </c>
      <c r="I125" s="7" t="s">
        <v>992</v>
      </c>
      <c r="J125" s="7" t="s">
        <v>294</v>
      </c>
    </row>
    <row r="126" spans="1:10" x14ac:dyDescent="0.3">
      <c r="A126" s="6" t="s">
        <v>1892</v>
      </c>
      <c r="B126" s="7" t="s">
        <v>127</v>
      </c>
      <c r="C126" s="7" t="s">
        <v>1045</v>
      </c>
      <c r="D126" s="7" t="s">
        <v>13</v>
      </c>
      <c r="E126" s="7" t="s">
        <v>1893</v>
      </c>
      <c r="F126" s="7" t="s">
        <v>1721</v>
      </c>
      <c r="G126" s="7" t="s">
        <v>1894</v>
      </c>
      <c r="H126" s="7">
        <v>6</v>
      </c>
      <c r="I126" s="7" t="s">
        <v>562</v>
      </c>
      <c r="J126" s="7" t="s">
        <v>143</v>
      </c>
    </row>
    <row r="127" spans="1:10" x14ac:dyDescent="0.3">
      <c r="A127" s="6" t="s">
        <v>1214</v>
      </c>
      <c r="B127" s="7" t="s">
        <v>1215</v>
      </c>
      <c r="C127" s="7" t="s">
        <v>1045</v>
      </c>
      <c r="D127" s="7" t="s">
        <v>19</v>
      </c>
      <c r="E127" s="7" t="s">
        <v>1216</v>
      </c>
      <c r="F127" s="7" t="s">
        <v>236</v>
      </c>
      <c r="G127" s="7" t="s">
        <v>1217</v>
      </c>
      <c r="H127" s="7">
        <v>9</v>
      </c>
      <c r="I127" s="7" t="s">
        <v>165</v>
      </c>
      <c r="J127" s="7" t="s">
        <v>1218</v>
      </c>
    </row>
    <row r="128" spans="1:10" x14ac:dyDescent="0.3">
      <c r="A128" s="6" t="s">
        <v>968</v>
      </c>
      <c r="B128" s="7" t="s">
        <v>127</v>
      </c>
      <c r="C128" s="7" t="s">
        <v>727</v>
      </c>
      <c r="D128" s="7" t="s">
        <v>12</v>
      </c>
      <c r="E128" s="7" t="s">
        <v>969</v>
      </c>
      <c r="F128" s="7" t="s">
        <v>970</v>
      </c>
      <c r="G128" s="7" t="s">
        <v>971</v>
      </c>
      <c r="H128" s="7">
        <v>4</v>
      </c>
      <c r="I128" s="7" t="s">
        <v>324</v>
      </c>
      <c r="J128" s="7" t="s">
        <v>505</v>
      </c>
    </row>
    <row r="129" spans="1:10" x14ac:dyDescent="0.3">
      <c r="A129" s="6" t="s">
        <v>760</v>
      </c>
      <c r="B129" s="7" t="s">
        <v>127</v>
      </c>
      <c r="C129" s="7" t="s">
        <v>727</v>
      </c>
      <c r="D129" s="7" t="s">
        <v>12</v>
      </c>
      <c r="E129" s="7" t="s">
        <v>761</v>
      </c>
      <c r="F129" s="7" t="s">
        <v>762</v>
      </c>
      <c r="G129" s="7" t="s">
        <v>763</v>
      </c>
      <c r="H129" s="7">
        <v>15</v>
      </c>
      <c r="I129" s="7" t="s">
        <v>764</v>
      </c>
      <c r="J129" s="7" t="s">
        <v>189</v>
      </c>
    </row>
    <row r="130" spans="1:10" x14ac:dyDescent="0.3">
      <c r="A130" s="6" t="s">
        <v>765</v>
      </c>
      <c r="B130" s="7" t="s">
        <v>127</v>
      </c>
      <c r="C130" s="7" t="s">
        <v>727</v>
      </c>
      <c r="D130" s="7" t="s">
        <v>12</v>
      </c>
      <c r="E130" s="7" t="s">
        <v>761</v>
      </c>
      <c r="F130" s="7" t="s">
        <v>762</v>
      </c>
      <c r="G130" s="7" t="s">
        <v>766</v>
      </c>
      <c r="H130" s="7">
        <v>10</v>
      </c>
      <c r="I130" s="7" t="s">
        <v>645</v>
      </c>
      <c r="J130" s="7" t="s">
        <v>767</v>
      </c>
    </row>
    <row r="131" spans="1:10" x14ac:dyDescent="0.3">
      <c r="A131" s="6" t="s">
        <v>1058</v>
      </c>
      <c r="B131" s="7" t="s">
        <v>127</v>
      </c>
      <c r="C131" s="7" t="s">
        <v>1045</v>
      </c>
      <c r="D131" s="7" t="s">
        <v>13</v>
      </c>
      <c r="E131" s="7" t="s">
        <v>752</v>
      </c>
      <c r="F131" s="7" t="s">
        <v>753</v>
      </c>
      <c r="G131" s="7" t="s">
        <v>1059</v>
      </c>
      <c r="H131" s="7">
        <v>45</v>
      </c>
      <c r="I131" s="7" t="s">
        <v>660</v>
      </c>
      <c r="J131" s="7" t="s">
        <v>661</v>
      </c>
    </row>
    <row r="132" spans="1:10" x14ac:dyDescent="0.3">
      <c r="A132" s="6" t="s">
        <v>993</v>
      </c>
      <c r="B132" s="7" t="s">
        <v>127</v>
      </c>
      <c r="C132" s="7" t="s">
        <v>727</v>
      </c>
      <c r="D132" s="7" t="s">
        <v>12</v>
      </c>
      <c r="E132" s="7" t="s">
        <v>987</v>
      </c>
      <c r="F132" s="7" t="s">
        <v>988</v>
      </c>
      <c r="G132" s="7" t="s">
        <v>994</v>
      </c>
      <c r="H132" s="7">
        <v>4</v>
      </c>
      <c r="I132" s="7" t="s">
        <v>995</v>
      </c>
      <c r="J132" s="7" t="s">
        <v>294</v>
      </c>
    </row>
    <row r="133" spans="1:10" x14ac:dyDescent="0.3">
      <c r="A133" s="6" t="s">
        <v>1151</v>
      </c>
      <c r="B133" s="7" t="s">
        <v>127</v>
      </c>
      <c r="C133" s="7" t="s">
        <v>1045</v>
      </c>
      <c r="D133" s="7" t="s">
        <v>13</v>
      </c>
      <c r="E133" s="7" t="s">
        <v>1152</v>
      </c>
      <c r="F133" s="7" t="s">
        <v>1153</v>
      </c>
      <c r="G133" s="7" t="s">
        <v>1154</v>
      </c>
      <c r="H133" s="7">
        <v>46</v>
      </c>
      <c r="I133" s="7" t="s">
        <v>660</v>
      </c>
      <c r="J133" s="7" t="s">
        <v>661</v>
      </c>
    </row>
    <row r="134" spans="1:10" x14ac:dyDescent="0.3">
      <c r="A134" s="6" t="s">
        <v>768</v>
      </c>
      <c r="B134" s="7" t="s">
        <v>127</v>
      </c>
      <c r="C134" s="7" t="s">
        <v>727</v>
      </c>
      <c r="D134" s="7" t="s">
        <v>12</v>
      </c>
      <c r="E134" s="7" t="s">
        <v>761</v>
      </c>
      <c r="F134" s="7" t="s">
        <v>762</v>
      </c>
      <c r="G134" s="7" t="s">
        <v>769</v>
      </c>
      <c r="H134" s="7">
        <v>0</v>
      </c>
      <c r="I134" s="7" t="s">
        <v>770</v>
      </c>
      <c r="J134" s="7"/>
    </row>
    <row r="135" spans="1:10" x14ac:dyDescent="0.3">
      <c r="A135" s="6" t="s">
        <v>737</v>
      </c>
      <c r="B135" s="7" t="s">
        <v>127</v>
      </c>
      <c r="C135" s="7" t="s">
        <v>727</v>
      </c>
      <c r="D135" s="7" t="s">
        <v>12</v>
      </c>
      <c r="E135" s="7" t="s">
        <v>738</v>
      </c>
      <c r="F135" s="7" t="s">
        <v>739</v>
      </c>
      <c r="G135" s="7" t="s">
        <v>740</v>
      </c>
      <c r="H135" s="7"/>
      <c r="I135" s="7" t="s">
        <v>196</v>
      </c>
      <c r="J135" s="7" t="s">
        <v>612</v>
      </c>
    </row>
    <row r="136" spans="1:10" x14ac:dyDescent="0.3">
      <c r="A136" s="6" t="s">
        <v>751</v>
      </c>
      <c r="B136" s="7" t="s">
        <v>127</v>
      </c>
      <c r="C136" s="7" t="s">
        <v>727</v>
      </c>
      <c r="D136" s="7" t="s">
        <v>12</v>
      </c>
      <c r="E136" s="7" t="s">
        <v>752</v>
      </c>
      <c r="F136" s="7" t="s">
        <v>753</v>
      </c>
      <c r="G136" s="7" t="s">
        <v>754</v>
      </c>
      <c r="H136" s="7">
        <v>20</v>
      </c>
      <c r="I136" s="7" t="s">
        <v>513</v>
      </c>
      <c r="J136" s="7" t="s">
        <v>755</v>
      </c>
    </row>
    <row r="137" spans="1:10" x14ac:dyDescent="0.3">
      <c r="A137" s="6" t="s">
        <v>771</v>
      </c>
      <c r="B137" s="7" t="s">
        <v>127</v>
      </c>
      <c r="C137" s="7" t="s">
        <v>727</v>
      </c>
      <c r="D137" s="7" t="s">
        <v>12</v>
      </c>
      <c r="E137" s="7" t="s">
        <v>761</v>
      </c>
      <c r="F137" s="7" t="s">
        <v>762</v>
      </c>
      <c r="G137" s="7" t="s">
        <v>772</v>
      </c>
      <c r="H137" s="7">
        <v>11</v>
      </c>
      <c r="I137" s="7" t="s">
        <v>773</v>
      </c>
      <c r="J137" s="7" t="s">
        <v>774</v>
      </c>
    </row>
    <row r="138" spans="1:10" x14ac:dyDescent="0.3">
      <c r="A138" s="6" t="s">
        <v>895</v>
      </c>
      <c r="B138" s="7" t="s">
        <v>127</v>
      </c>
      <c r="C138" s="7" t="s">
        <v>727</v>
      </c>
      <c r="D138" s="7" t="s">
        <v>12</v>
      </c>
      <c r="E138" s="7" t="s">
        <v>896</v>
      </c>
      <c r="F138" s="7" t="s">
        <v>897</v>
      </c>
      <c r="G138" s="7" t="s">
        <v>898</v>
      </c>
      <c r="H138" s="7">
        <v>5</v>
      </c>
      <c r="I138" s="7" t="s">
        <v>770</v>
      </c>
      <c r="J138" s="7" t="s">
        <v>612</v>
      </c>
    </row>
    <row r="139" spans="1:10" x14ac:dyDescent="0.3">
      <c r="A139" s="6" t="s">
        <v>899</v>
      </c>
      <c r="B139" s="7" t="s">
        <v>127</v>
      </c>
      <c r="C139" s="7" t="s">
        <v>727</v>
      </c>
      <c r="D139" s="7" t="s">
        <v>12</v>
      </c>
      <c r="E139" s="7" t="s">
        <v>896</v>
      </c>
      <c r="F139" s="7" t="s">
        <v>897</v>
      </c>
      <c r="G139" s="7" t="s">
        <v>900</v>
      </c>
      <c r="H139" s="7">
        <v>1</v>
      </c>
      <c r="I139" s="7" t="s">
        <v>308</v>
      </c>
      <c r="J139" s="7" t="s">
        <v>901</v>
      </c>
    </row>
    <row r="140" spans="1:10" x14ac:dyDescent="0.3">
      <c r="A140" s="6" t="s">
        <v>775</v>
      </c>
      <c r="B140" s="7" t="s">
        <v>127</v>
      </c>
      <c r="C140" s="7" t="s">
        <v>727</v>
      </c>
      <c r="D140" s="7" t="s">
        <v>12</v>
      </c>
      <c r="E140" s="7" t="s">
        <v>761</v>
      </c>
      <c r="F140" s="7" t="s">
        <v>762</v>
      </c>
      <c r="G140" s="7" t="s">
        <v>776</v>
      </c>
      <c r="H140" s="7">
        <v>6</v>
      </c>
      <c r="I140" s="7" t="s">
        <v>770</v>
      </c>
      <c r="J140" s="7" t="s">
        <v>777</v>
      </c>
    </row>
    <row r="141" spans="1:10" x14ac:dyDescent="0.3">
      <c r="A141" s="6" t="s">
        <v>798</v>
      </c>
      <c r="B141" s="7" t="s">
        <v>127</v>
      </c>
      <c r="C141" s="7" t="s">
        <v>727</v>
      </c>
      <c r="D141" s="7" t="s">
        <v>12</v>
      </c>
      <c r="E141" s="7" t="s">
        <v>799</v>
      </c>
      <c r="F141" s="7" t="s">
        <v>212</v>
      </c>
      <c r="G141" s="7" t="s">
        <v>800</v>
      </c>
      <c r="H141" s="7">
        <v>8</v>
      </c>
      <c r="I141" s="7" t="s">
        <v>355</v>
      </c>
      <c r="J141" s="7" t="s">
        <v>404</v>
      </c>
    </row>
    <row r="142" spans="1:10" x14ac:dyDescent="0.3">
      <c r="A142" s="6" t="s">
        <v>846</v>
      </c>
      <c r="B142" s="7" t="s">
        <v>127</v>
      </c>
      <c r="C142" s="7" t="s">
        <v>727</v>
      </c>
      <c r="D142" s="7" t="s">
        <v>12</v>
      </c>
      <c r="E142" s="7" t="s">
        <v>847</v>
      </c>
      <c r="F142" s="7" t="s">
        <v>848</v>
      </c>
      <c r="G142" s="7" t="s">
        <v>849</v>
      </c>
      <c r="H142" s="7">
        <v>6</v>
      </c>
      <c r="I142" s="7" t="s">
        <v>407</v>
      </c>
      <c r="J142" s="7" t="s">
        <v>806</v>
      </c>
    </row>
    <row r="143" spans="1:10" x14ac:dyDescent="0.3">
      <c r="A143" s="6" t="s">
        <v>778</v>
      </c>
      <c r="B143" s="7" t="s">
        <v>127</v>
      </c>
      <c r="C143" s="7" t="s">
        <v>727</v>
      </c>
      <c r="D143" s="7" t="s">
        <v>12</v>
      </c>
      <c r="E143" s="7" t="s">
        <v>761</v>
      </c>
      <c r="F143" s="7" t="s">
        <v>762</v>
      </c>
      <c r="G143" s="7" t="s">
        <v>779</v>
      </c>
      <c r="H143" s="7">
        <v>1</v>
      </c>
      <c r="I143" s="7" t="s">
        <v>780</v>
      </c>
      <c r="J143" s="7" t="s">
        <v>781</v>
      </c>
    </row>
    <row r="144" spans="1:10" x14ac:dyDescent="0.3">
      <c r="A144" s="6" t="s">
        <v>996</v>
      </c>
      <c r="B144" s="7" t="s">
        <v>127</v>
      </c>
      <c r="C144" s="7" t="s">
        <v>727</v>
      </c>
      <c r="D144" s="7" t="s">
        <v>12</v>
      </c>
      <c r="E144" s="7" t="s">
        <v>987</v>
      </c>
      <c r="F144" s="7" t="s">
        <v>988</v>
      </c>
      <c r="G144" s="7" t="s">
        <v>997</v>
      </c>
      <c r="H144" s="7">
        <v>6</v>
      </c>
      <c r="I144" s="7" t="s">
        <v>160</v>
      </c>
      <c r="J144" s="7" t="s">
        <v>998</v>
      </c>
    </row>
    <row r="145" spans="1:10" x14ac:dyDescent="0.3">
      <c r="A145" s="6" t="s">
        <v>852</v>
      </c>
      <c r="B145" s="7" t="s">
        <v>127</v>
      </c>
      <c r="C145" s="7" t="s">
        <v>727</v>
      </c>
      <c r="D145" s="7" t="s">
        <v>12</v>
      </c>
      <c r="E145" s="7" t="s">
        <v>853</v>
      </c>
      <c r="F145" s="7" t="s">
        <v>854</v>
      </c>
      <c r="G145" s="7" t="s">
        <v>855</v>
      </c>
      <c r="H145" s="7">
        <v>7</v>
      </c>
      <c r="I145" s="7" t="s">
        <v>343</v>
      </c>
      <c r="J145" s="7" t="s">
        <v>856</v>
      </c>
    </row>
    <row r="146" spans="1:10" x14ac:dyDescent="0.3">
      <c r="A146" s="6" t="s">
        <v>1175</v>
      </c>
      <c r="B146" s="7" t="s">
        <v>127</v>
      </c>
      <c r="C146" s="7" t="s">
        <v>1045</v>
      </c>
      <c r="D146" s="7" t="s">
        <v>13</v>
      </c>
      <c r="E146" s="7" t="s">
        <v>1176</v>
      </c>
      <c r="F146" s="7" t="s">
        <v>962</v>
      </c>
      <c r="G146" s="7" t="s">
        <v>1177</v>
      </c>
      <c r="H146" s="7">
        <v>7</v>
      </c>
      <c r="I146" s="7" t="s">
        <v>1178</v>
      </c>
      <c r="J146" s="7" t="s">
        <v>1179</v>
      </c>
    </row>
    <row r="147" spans="1:10" x14ac:dyDescent="0.3">
      <c r="A147" s="6" t="s">
        <v>1096</v>
      </c>
      <c r="B147" s="7" t="s">
        <v>127</v>
      </c>
      <c r="C147" s="7" t="s">
        <v>1045</v>
      </c>
      <c r="D147" s="7" t="s">
        <v>13</v>
      </c>
      <c r="E147" s="7" t="s">
        <v>1097</v>
      </c>
      <c r="F147" s="7" t="s">
        <v>1098</v>
      </c>
      <c r="G147" s="7" t="s">
        <v>1099</v>
      </c>
      <c r="H147" s="7">
        <v>20</v>
      </c>
      <c r="I147" s="7" t="s">
        <v>1100</v>
      </c>
      <c r="J147" s="7" t="s">
        <v>1101</v>
      </c>
    </row>
    <row r="148" spans="1:10" x14ac:dyDescent="0.3">
      <c r="A148" s="6" t="s">
        <v>1127</v>
      </c>
      <c r="B148" s="7" t="s">
        <v>127</v>
      </c>
      <c r="C148" s="7" t="s">
        <v>1045</v>
      </c>
      <c r="D148" s="7" t="s">
        <v>13</v>
      </c>
      <c r="E148" s="7" t="s">
        <v>1128</v>
      </c>
      <c r="F148" s="7" t="s">
        <v>664</v>
      </c>
      <c r="G148" s="7" t="s">
        <v>1129</v>
      </c>
      <c r="H148" s="7">
        <v>26</v>
      </c>
      <c r="I148" s="7" t="s">
        <v>1130</v>
      </c>
      <c r="J148" s="7" t="s">
        <v>1131</v>
      </c>
    </row>
    <row r="149" spans="1:10" x14ac:dyDescent="0.3">
      <c r="A149" s="6" t="s">
        <v>1180</v>
      </c>
      <c r="B149" s="7" t="s">
        <v>127</v>
      </c>
      <c r="C149" s="7" t="s">
        <v>1045</v>
      </c>
      <c r="D149" s="7" t="s">
        <v>13</v>
      </c>
      <c r="E149" s="7" t="s">
        <v>1181</v>
      </c>
      <c r="F149" s="7" t="s">
        <v>1182</v>
      </c>
      <c r="G149" s="7" t="s">
        <v>1183</v>
      </c>
      <c r="H149" s="7">
        <v>7</v>
      </c>
      <c r="I149" s="7" t="s">
        <v>1184</v>
      </c>
      <c r="J149" s="7" t="s">
        <v>1185</v>
      </c>
    </row>
    <row r="150" spans="1:10" x14ac:dyDescent="0.3">
      <c r="A150" s="6" t="s">
        <v>911</v>
      </c>
      <c r="B150" s="7" t="s">
        <v>127</v>
      </c>
      <c r="C150" s="7" t="s">
        <v>727</v>
      </c>
      <c r="D150" s="7" t="s">
        <v>12</v>
      </c>
      <c r="E150" s="7" t="s">
        <v>912</v>
      </c>
      <c r="F150" s="7" t="s">
        <v>430</v>
      </c>
      <c r="G150" s="7" t="s">
        <v>101</v>
      </c>
      <c r="H150" s="7">
        <v>95</v>
      </c>
      <c r="I150" s="7" t="s">
        <v>74</v>
      </c>
      <c r="J150" s="7" t="s">
        <v>348</v>
      </c>
    </row>
    <row r="151" spans="1:10" x14ac:dyDescent="0.3">
      <c r="A151" s="6" t="s">
        <v>913</v>
      </c>
      <c r="B151" s="7" t="s">
        <v>127</v>
      </c>
      <c r="C151" s="7" t="s">
        <v>727</v>
      </c>
      <c r="D151" s="7" t="s">
        <v>12</v>
      </c>
      <c r="E151" s="7" t="s">
        <v>914</v>
      </c>
      <c r="F151" s="7" t="s">
        <v>433</v>
      </c>
      <c r="G151" s="7" t="s">
        <v>101</v>
      </c>
      <c r="H151" s="7">
        <v>18</v>
      </c>
      <c r="I151" s="7" t="s">
        <v>74</v>
      </c>
      <c r="J151" s="7" t="s">
        <v>348</v>
      </c>
    </row>
    <row r="152" spans="1:10" x14ac:dyDescent="0.3">
      <c r="A152" s="6" t="s">
        <v>1107</v>
      </c>
      <c r="B152" s="7" t="s">
        <v>127</v>
      </c>
      <c r="C152" s="7" t="s">
        <v>1045</v>
      </c>
      <c r="D152" s="7" t="s">
        <v>13</v>
      </c>
      <c r="E152" s="7" t="s">
        <v>1103</v>
      </c>
      <c r="F152" s="7" t="s">
        <v>1104</v>
      </c>
      <c r="G152" s="7" t="s">
        <v>1108</v>
      </c>
      <c r="H152" s="7">
        <v>5</v>
      </c>
      <c r="I152" s="7" t="s">
        <v>1109</v>
      </c>
      <c r="J152" s="7" t="s">
        <v>189</v>
      </c>
    </row>
    <row r="153" spans="1:10" x14ac:dyDescent="0.3">
      <c r="A153" s="6" t="s">
        <v>1132</v>
      </c>
      <c r="B153" s="7" t="s">
        <v>127</v>
      </c>
      <c r="C153" s="7" t="s">
        <v>1045</v>
      </c>
      <c r="D153" s="7" t="s">
        <v>13</v>
      </c>
      <c r="E153" s="7" t="s">
        <v>1128</v>
      </c>
      <c r="F153" s="7" t="s">
        <v>664</v>
      </c>
      <c r="G153" s="7" t="s">
        <v>1133</v>
      </c>
      <c r="H153" s="7">
        <v>5</v>
      </c>
      <c r="I153" s="7" t="s">
        <v>1134</v>
      </c>
      <c r="J153" s="7" t="s">
        <v>1135</v>
      </c>
    </row>
    <row r="154" spans="1:10" x14ac:dyDescent="0.3">
      <c r="A154" s="6" t="s">
        <v>1160</v>
      </c>
      <c r="B154" s="7" t="s">
        <v>127</v>
      </c>
      <c r="C154" s="7" t="s">
        <v>1045</v>
      </c>
      <c r="D154" s="7" t="s">
        <v>13</v>
      </c>
      <c r="E154" s="7" t="s">
        <v>1161</v>
      </c>
      <c r="F154" s="7" t="s">
        <v>943</v>
      </c>
      <c r="G154" s="7" t="s">
        <v>1162</v>
      </c>
      <c r="H154" s="7">
        <v>6</v>
      </c>
      <c r="I154" s="7" t="s">
        <v>1077</v>
      </c>
      <c r="J154" s="7" t="s">
        <v>143</v>
      </c>
    </row>
    <row r="155" spans="1:10" x14ac:dyDescent="0.3">
      <c r="A155" s="6" t="s">
        <v>1163</v>
      </c>
      <c r="B155" s="7" t="s">
        <v>127</v>
      </c>
      <c r="C155" s="7" t="s">
        <v>1045</v>
      </c>
      <c r="D155" s="7" t="s">
        <v>13</v>
      </c>
      <c r="E155" s="7" t="s">
        <v>1164</v>
      </c>
      <c r="F155" s="7" t="s">
        <v>1165</v>
      </c>
      <c r="G155" s="7" t="s">
        <v>1166</v>
      </c>
      <c r="H155" s="7">
        <v>4</v>
      </c>
      <c r="I155" s="7" t="s">
        <v>1077</v>
      </c>
      <c r="J155" s="7" t="s">
        <v>612</v>
      </c>
    </row>
    <row r="156" spans="1:10" x14ac:dyDescent="0.3">
      <c r="A156" s="6" t="s">
        <v>1073</v>
      </c>
      <c r="B156" s="7" t="s">
        <v>127</v>
      </c>
      <c r="C156" s="7" t="s">
        <v>1045</v>
      </c>
      <c r="D156" s="7" t="s">
        <v>13</v>
      </c>
      <c r="E156" s="7" t="s">
        <v>1074</v>
      </c>
      <c r="F156" s="7" t="s">
        <v>1075</v>
      </c>
      <c r="G156" s="7" t="s">
        <v>1076</v>
      </c>
      <c r="H156" s="7">
        <v>6</v>
      </c>
      <c r="I156" s="7" t="s">
        <v>1077</v>
      </c>
      <c r="J156" s="7" t="s">
        <v>319</v>
      </c>
    </row>
    <row r="157" spans="1:10" x14ac:dyDescent="0.3">
      <c r="A157" s="6" t="s">
        <v>1067</v>
      </c>
      <c r="B157" s="7" t="s">
        <v>127</v>
      </c>
      <c r="C157" s="7" t="s">
        <v>1045</v>
      </c>
      <c r="D157" s="7" t="s">
        <v>13</v>
      </c>
      <c r="E157" s="7" t="s">
        <v>1068</v>
      </c>
      <c r="F157" s="7" t="s">
        <v>1069</v>
      </c>
      <c r="G157" s="7" t="s">
        <v>1070</v>
      </c>
      <c r="H157" s="7">
        <v>2</v>
      </c>
      <c r="I157" s="7" t="s">
        <v>1071</v>
      </c>
      <c r="J157" s="7" t="s">
        <v>1072</v>
      </c>
    </row>
    <row r="158" spans="1:10" x14ac:dyDescent="0.3">
      <c r="A158" s="6" t="s">
        <v>1903</v>
      </c>
      <c r="B158" s="7" t="s">
        <v>127</v>
      </c>
      <c r="C158" s="7" t="s">
        <v>1045</v>
      </c>
      <c r="D158" s="7" t="s">
        <v>13</v>
      </c>
      <c r="E158" s="7" t="s">
        <v>1904</v>
      </c>
      <c r="F158" s="7" t="s">
        <v>1905</v>
      </c>
      <c r="G158" s="7" t="s">
        <v>1906</v>
      </c>
      <c r="H158" s="7">
        <v>14</v>
      </c>
      <c r="I158" s="7" t="s">
        <v>1071</v>
      </c>
      <c r="J158" s="7" t="s">
        <v>750</v>
      </c>
    </row>
    <row r="159" spans="1:10" x14ac:dyDescent="0.3">
      <c r="A159" s="6" t="s">
        <v>1082</v>
      </c>
      <c r="B159" s="7" t="s">
        <v>127</v>
      </c>
      <c r="C159" s="7" t="s">
        <v>1045</v>
      </c>
      <c r="D159" s="7" t="s">
        <v>13</v>
      </c>
      <c r="E159" s="7" t="s">
        <v>1083</v>
      </c>
      <c r="F159" s="7" t="s">
        <v>897</v>
      </c>
      <c r="G159" s="7" t="s">
        <v>1084</v>
      </c>
      <c r="H159" s="7">
        <v>20</v>
      </c>
      <c r="I159" s="7" t="s">
        <v>1085</v>
      </c>
      <c r="J159" s="7" t="s">
        <v>1086</v>
      </c>
    </row>
    <row r="160" spans="1:10" x14ac:dyDescent="0.3">
      <c r="A160" s="6" t="s">
        <v>1186</v>
      </c>
      <c r="B160" s="7" t="s">
        <v>127</v>
      </c>
      <c r="C160" s="7" t="s">
        <v>1045</v>
      </c>
      <c r="D160" s="7" t="s">
        <v>13</v>
      </c>
      <c r="E160" s="7" t="s">
        <v>1187</v>
      </c>
      <c r="F160" s="7" t="s">
        <v>1188</v>
      </c>
      <c r="G160" s="7" t="s">
        <v>1189</v>
      </c>
      <c r="H160" s="7">
        <v>64</v>
      </c>
      <c r="I160" s="7" t="s">
        <v>1190</v>
      </c>
      <c r="J160" s="7" t="s">
        <v>1191</v>
      </c>
    </row>
    <row r="161" spans="1:10" x14ac:dyDescent="0.3">
      <c r="A161" s="6" t="s">
        <v>1060</v>
      </c>
      <c r="B161" s="7" t="s">
        <v>127</v>
      </c>
      <c r="C161" s="7" t="s">
        <v>1045</v>
      </c>
      <c r="D161" s="7" t="s">
        <v>13</v>
      </c>
      <c r="E161" s="7" t="s">
        <v>752</v>
      </c>
      <c r="F161" s="7" t="s">
        <v>753</v>
      </c>
      <c r="G161" s="7" t="s">
        <v>1061</v>
      </c>
      <c r="H161" s="7">
        <v>8</v>
      </c>
      <c r="I161" s="7" t="s">
        <v>1062</v>
      </c>
      <c r="J161" s="7" t="s">
        <v>1063</v>
      </c>
    </row>
    <row r="162" spans="1:10" x14ac:dyDescent="0.3">
      <c r="A162" s="6" t="s">
        <v>1192</v>
      </c>
      <c r="B162" s="7" t="s">
        <v>127</v>
      </c>
      <c r="C162" s="7" t="s">
        <v>1045</v>
      </c>
      <c r="D162" s="7" t="s">
        <v>13</v>
      </c>
      <c r="E162" s="7" t="s">
        <v>1193</v>
      </c>
      <c r="F162" s="7" t="s">
        <v>1194</v>
      </c>
      <c r="G162" s="7" t="s">
        <v>1195</v>
      </c>
      <c r="H162" s="7">
        <v>20</v>
      </c>
      <c r="I162" s="7" t="s">
        <v>1196</v>
      </c>
      <c r="J162" s="7" t="s">
        <v>955</v>
      </c>
    </row>
    <row r="163" spans="1:10" x14ac:dyDescent="0.3">
      <c r="A163" s="6" t="s">
        <v>915</v>
      </c>
      <c r="B163" s="7" t="s">
        <v>127</v>
      </c>
      <c r="C163" s="7" t="s">
        <v>727</v>
      </c>
      <c r="D163" s="7" t="s">
        <v>12</v>
      </c>
      <c r="E163" s="7" t="s">
        <v>916</v>
      </c>
      <c r="F163" s="7" t="s">
        <v>917</v>
      </c>
      <c r="G163" s="7" t="s">
        <v>918</v>
      </c>
      <c r="H163" s="7">
        <v>5</v>
      </c>
      <c r="I163" s="7" t="s">
        <v>919</v>
      </c>
      <c r="J163" s="7" t="s">
        <v>294</v>
      </c>
    </row>
    <row r="164" spans="1:10" x14ac:dyDescent="0.3">
      <c r="A164" s="6" t="s">
        <v>756</v>
      </c>
      <c r="B164" s="7" t="s">
        <v>127</v>
      </c>
      <c r="C164" s="7" t="s">
        <v>727</v>
      </c>
      <c r="D164" s="7" t="s">
        <v>12</v>
      </c>
      <c r="E164" s="7" t="s">
        <v>752</v>
      </c>
      <c r="F164" s="7" t="s">
        <v>753</v>
      </c>
      <c r="G164" s="7" t="s">
        <v>757</v>
      </c>
      <c r="H164" s="7">
        <v>16</v>
      </c>
      <c r="I164" s="7" t="s">
        <v>758</v>
      </c>
      <c r="J164" s="7" t="s">
        <v>759</v>
      </c>
    </row>
    <row r="165" spans="1:10" x14ac:dyDescent="0.3">
      <c r="A165" s="6" t="s">
        <v>741</v>
      </c>
      <c r="B165" s="7" t="s">
        <v>127</v>
      </c>
      <c r="C165" s="7" t="s">
        <v>727</v>
      </c>
      <c r="D165" s="7" t="s">
        <v>12</v>
      </c>
      <c r="E165" s="7" t="s">
        <v>742</v>
      </c>
      <c r="F165" s="7" t="s">
        <v>743</v>
      </c>
      <c r="G165" s="7" t="s">
        <v>744</v>
      </c>
      <c r="H165" s="7">
        <v>3</v>
      </c>
      <c r="I165" s="7" t="s">
        <v>745</v>
      </c>
      <c r="J165" s="7" t="s">
        <v>746</v>
      </c>
    </row>
    <row r="166" spans="1:10" x14ac:dyDescent="0.3">
      <c r="A166" s="6" t="s">
        <v>920</v>
      </c>
      <c r="B166" s="7" t="s">
        <v>127</v>
      </c>
      <c r="C166" s="7" t="s">
        <v>727</v>
      </c>
      <c r="D166" s="7" t="s">
        <v>12</v>
      </c>
      <c r="E166" s="7" t="s">
        <v>916</v>
      </c>
      <c r="F166" s="7" t="s">
        <v>917</v>
      </c>
      <c r="G166" s="7" t="s">
        <v>921</v>
      </c>
      <c r="H166" s="7">
        <v>2</v>
      </c>
      <c r="I166" s="7" t="s">
        <v>922</v>
      </c>
      <c r="J166" s="7" t="s">
        <v>923</v>
      </c>
    </row>
    <row r="167" spans="1:10" x14ac:dyDescent="0.3">
      <c r="A167" s="6" t="s">
        <v>902</v>
      </c>
      <c r="B167" s="7" t="s">
        <v>127</v>
      </c>
      <c r="C167" s="7" t="s">
        <v>727</v>
      </c>
      <c r="D167" s="7" t="s">
        <v>12</v>
      </c>
      <c r="E167" s="7" t="s">
        <v>896</v>
      </c>
      <c r="F167" s="7" t="s">
        <v>897</v>
      </c>
      <c r="G167" s="7" t="s">
        <v>903</v>
      </c>
      <c r="H167" s="7">
        <v>11</v>
      </c>
      <c r="I167" s="7" t="s">
        <v>904</v>
      </c>
      <c r="J167" s="7" t="s">
        <v>166</v>
      </c>
    </row>
    <row r="168" spans="1:10" x14ac:dyDescent="0.3">
      <c r="A168" s="6" t="s">
        <v>870</v>
      </c>
      <c r="B168" s="7" t="s">
        <v>127</v>
      </c>
      <c r="C168" s="7" t="s">
        <v>727</v>
      </c>
      <c r="D168" s="7" t="s">
        <v>12</v>
      </c>
      <c r="E168" s="7" t="s">
        <v>871</v>
      </c>
      <c r="F168" s="7" t="s">
        <v>872</v>
      </c>
      <c r="G168" s="7" t="s">
        <v>873</v>
      </c>
      <c r="H168" s="7">
        <v>3</v>
      </c>
      <c r="I168" s="7" t="s">
        <v>874</v>
      </c>
      <c r="J168" s="7" t="s">
        <v>304</v>
      </c>
    </row>
    <row r="169" spans="1:10" x14ac:dyDescent="0.3">
      <c r="A169" s="6" t="s">
        <v>1853</v>
      </c>
      <c r="B169" s="7" t="s">
        <v>127</v>
      </c>
      <c r="C169" s="7" t="s">
        <v>727</v>
      </c>
      <c r="D169" s="7" t="s">
        <v>12</v>
      </c>
      <c r="E169" s="7" t="s">
        <v>942</v>
      </c>
      <c r="F169" s="7" t="s">
        <v>943</v>
      </c>
      <c r="G169" s="7" t="s">
        <v>1854</v>
      </c>
      <c r="H169" s="7">
        <v>11</v>
      </c>
      <c r="I169" s="7" t="s">
        <v>874</v>
      </c>
      <c r="J169" s="7" t="s">
        <v>640</v>
      </c>
    </row>
    <row r="170" spans="1:10" x14ac:dyDescent="0.3">
      <c r="A170" s="6" t="s">
        <v>1033</v>
      </c>
      <c r="B170" s="7" t="s">
        <v>127</v>
      </c>
      <c r="C170" s="7" t="s">
        <v>727</v>
      </c>
      <c r="D170" s="7" t="s">
        <v>12</v>
      </c>
      <c r="E170" s="7" t="s">
        <v>1034</v>
      </c>
      <c r="F170" s="7" t="s">
        <v>1035</v>
      </c>
      <c r="G170" s="7" t="s">
        <v>1036</v>
      </c>
      <c r="H170" s="7">
        <v>11</v>
      </c>
      <c r="I170" s="7" t="s">
        <v>811</v>
      </c>
      <c r="J170" s="7" t="s">
        <v>1037</v>
      </c>
    </row>
    <row r="171" spans="1:10" x14ac:dyDescent="0.3">
      <c r="A171" s="6" t="s">
        <v>807</v>
      </c>
      <c r="B171" s="7" t="s">
        <v>127</v>
      </c>
      <c r="C171" s="7" t="s">
        <v>727</v>
      </c>
      <c r="D171" s="7" t="s">
        <v>12</v>
      </c>
      <c r="E171" s="7" t="s">
        <v>808</v>
      </c>
      <c r="F171" s="7" t="s">
        <v>809</v>
      </c>
      <c r="G171" s="7" t="s">
        <v>810</v>
      </c>
      <c r="H171" s="7">
        <v>3</v>
      </c>
      <c r="I171" s="7" t="s">
        <v>811</v>
      </c>
      <c r="J171" s="7" t="s">
        <v>189</v>
      </c>
    </row>
    <row r="172" spans="1:10" x14ac:dyDescent="0.3">
      <c r="A172" s="6" t="s">
        <v>924</v>
      </c>
      <c r="B172" s="7" t="s">
        <v>127</v>
      </c>
      <c r="C172" s="7" t="s">
        <v>727</v>
      </c>
      <c r="D172" s="7" t="s">
        <v>12</v>
      </c>
      <c r="E172" s="7" t="s">
        <v>916</v>
      </c>
      <c r="F172" s="7" t="s">
        <v>917</v>
      </c>
      <c r="G172" s="7" t="s">
        <v>925</v>
      </c>
      <c r="H172" s="7">
        <v>3</v>
      </c>
      <c r="I172" s="7" t="s">
        <v>926</v>
      </c>
      <c r="J172" s="7" t="s">
        <v>340</v>
      </c>
    </row>
    <row r="173" spans="1:10" x14ac:dyDescent="0.3">
      <c r="A173" s="6" t="s">
        <v>960</v>
      </c>
      <c r="B173" s="7" t="s">
        <v>127</v>
      </c>
      <c r="C173" s="7" t="s">
        <v>727</v>
      </c>
      <c r="D173" s="7" t="s">
        <v>12</v>
      </c>
      <c r="E173" s="7" t="s">
        <v>961</v>
      </c>
      <c r="F173" s="7" t="s">
        <v>962</v>
      </c>
      <c r="G173" s="7" t="s">
        <v>963</v>
      </c>
      <c r="H173" s="7"/>
      <c r="I173" s="7" t="s">
        <v>964</v>
      </c>
      <c r="J173" s="7" t="s">
        <v>304</v>
      </c>
    </row>
    <row r="174" spans="1:10" x14ac:dyDescent="0.3">
      <c r="A174" s="6" t="s">
        <v>1846</v>
      </c>
      <c r="B174" s="7" t="s">
        <v>127</v>
      </c>
      <c r="C174" s="7" t="s">
        <v>727</v>
      </c>
      <c r="D174" s="7" t="s">
        <v>12</v>
      </c>
      <c r="E174" s="7" t="s">
        <v>1847</v>
      </c>
      <c r="F174" s="7" t="s">
        <v>1848</v>
      </c>
      <c r="G174" s="7" t="s">
        <v>1849</v>
      </c>
      <c r="H174" s="7">
        <v>21</v>
      </c>
      <c r="I174" s="7" t="s">
        <v>165</v>
      </c>
      <c r="J174" s="7" t="s">
        <v>143</v>
      </c>
    </row>
    <row r="175" spans="1:10" x14ac:dyDescent="0.3">
      <c r="A175" s="6" t="s">
        <v>1023</v>
      </c>
      <c r="B175" s="7" t="s">
        <v>127</v>
      </c>
      <c r="C175" s="7" t="s">
        <v>727</v>
      </c>
      <c r="D175" s="7" t="s">
        <v>12</v>
      </c>
      <c r="E175" s="7" t="s">
        <v>1024</v>
      </c>
      <c r="F175" s="7" t="s">
        <v>1025</v>
      </c>
      <c r="G175" s="7" t="s">
        <v>1026</v>
      </c>
      <c r="H175" s="7">
        <v>9</v>
      </c>
      <c r="I175" s="7"/>
      <c r="J175" s="7" t="s">
        <v>380</v>
      </c>
    </row>
    <row r="176" spans="1:10" x14ac:dyDescent="0.3">
      <c r="A176" s="6" t="s">
        <v>860</v>
      </c>
      <c r="B176" s="7" t="s">
        <v>127</v>
      </c>
      <c r="C176" s="7" t="s">
        <v>727</v>
      </c>
      <c r="D176" s="7" t="s">
        <v>12</v>
      </c>
      <c r="E176" s="7" t="s">
        <v>861</v>
      </c>
      <c r="F176" s="7" t="s">
        <v>862</v>
      </c>
      <c r="G176" s="7" t="s">
        <v>863</v>
      </c>
      <c r="H176" s="7">
        <v>6</v>
      </c>
      <c r="I176" s="7" t="s">
        <v>864</v>
      </c>
      <c r="J176" s="7" t="s">
        <v>793</v>
      </c>
    </row>
    <row r="177" spans="1:10" x14ac:dyDescent="0.3">
      <c r="A177" s="6" t="s">
        <v>747</v>
      </c>
      <c r="B177" s="7" t="s">
        <v>127</v>
      </c>
      <c r="C177" s="7" t="s">
        <v>727</v>
      </c>
      <c r="D177" s="7" t="s">
        <v>12</v>
      </c>
      <c r="E177" s="7" t="s">
        <v>748</v>
      </c>
      <c r="F177" s="7" t="s">
        <v>174</v>
      </c>
      <c r="G177" s="7" t="s">
        <v>749</v>
      </c>
      <c r="H177" s="7">
        <v>8</v>
      </c>
      <c r="I177" s="7" t="s">
        <v>625</v>
      </c>
      <c r="J177" s="7" t="s">
        <v>750</v>
      </c>
    </row>
    <row r="178" spans="1:10" x14ac:dyDescent="0.3">
      <c r="A178" s="6" t="s">
        <v>812</v>
      </c>
      <c r="B178" s="7" t="s">
        <v>127</v>
      </c>
      <c r="C178" s="7" t="s">
        <v>727</v>
      </c>
      <c r="D178" s="7" t="s">
        <v>12</v>
      </c>
      <c r="E178" s="7" t="s">
        <v>813</v>
      </c>
      <c r="F178" s="7" t="s">
        <v>814</v>
      </c>
      <c r="G178" s="7" t="s">
        <v>815</v>
      </c>
      <c r="H178" s="7"/>
      <c r="I178" s="7" t="s">
        <v>328</v>
      </c>
      <c r="J178" s="7" t="s">
        <v>542</v>
      </c>
    </row>
    <row r="179" spans="1:10" x14ac:dyDescent="0.3">
      <c r="A179" s="6" t="s">
        <v>999</v>
      </c>
      <c r="B179" s="7" t="s">
        <v>127</v>
      </c>
      <c r="C179" s="7" t="s">
        <v>727</v>
      </c>
      <c r="D179" s="7" t="s">
        <v>12</v>
      </c>
      <c r="E179" s="7" t="s">
        <v>1000</v>
      </c>
      <c r="F179" s="7" t="s">
        <v>1001</v>
      </c>
      <c r="G179" s="7" t="s">
        <v>1002</v>
      </c>
      <c r="H179" s="7">
        <v>11</v>
      </c>
      <c r="I179" s="7" t="s">
        <v>1003</v>
      </c>
      <c r="J179" s="7" t="s">
        <v>1004</v>
      </c>
    </row>
    <row r="180" spans="1:10" x14ac:dyDescent="0.3">
      <c r="A180" s="6" t="s">
        <v>941</v>
      </c>
      <c r="B180" s="7" t="s">
        <v>127</v>
      </c>
      <c r="C180" s="7" t="s">
        <v>727</v>
      </c>
      <c r="D180" s="7" t="s">
        <v>12</v>
      </c>
      <c r="E180" s="7" t="s">
        <v>942</v>
      </c>
      <c r="F180" s="7" t="s">
        <v>943</v>
      </c>
      <c r="G180" s="7" t="s">
        <v>944</v>
      </c>
      <c r="H180" s="7">
        <v>11</v>
      </c>
      <c r="I180" s="7" t="s">
        <v>552</v>
      </c>
      <c r="J180" s="7" t="s">
        <v>945</v>
      </c>
    </row>
    <row r="181" spans="1:10" x14ac:dyDescent="0.3">
      <c r="A181" s="6" t="s">
        <v>886</v>
      </c>
      <c r="B181" s="7" t="s">
        <v>127</v>
      </c>
      <c r="C181" s="7" t="s">
        <v>727</v>
      </c>
      <c r="D181" s="7" t="s">
        <v>12</v>
      </c>
      <c r="E181" s="7" t="s">
        <v>887</v>
      </c>
      <c r="F181" s="7" t="s">
        <v>888</v>
      </c>
      <c r="G181" s="7" t="s">
        <v>889</v>
      </c>
      <c r="H181" s="7">
        <v>10</v>
      </c>
      <c r="I181" s="7" t="s">
        <v>165</v>
      </c>
      <c r="J181" s="7" t="s">
        <v>143</v>
      </c>
    </row>
    <row r="182" spans="1:10" x14ac:dyDescent="0.3">
      <c r="A182" s="6" t="s">
        <v>789</v>
      </c>
      <c r="B182" s="7" t="s">
        <v>127</v>
      </c>
      <c r="C182" s="7" t="s">
        <v>727</v>
      </c>
      <c r="D182" s="7" t="s">
        <v>12</v>
      </c>
      <c r="E182" s="7" t="s">
        <v>790</v>
      </c>
      <c r="F182" s="7" t="s">
        <v>791</v>
      </c>
      <c r="G182" s="7" t="s">
        <v>792</v>
      </c>
      <c r="H182" s="7">
        <v>6</v>
      </c>
      <c r="I182" s="7" t="s">
        <v>630</v>
      </c>
      <c r="J182" s="7" t="s">
        <v>793</v>
      </c>
    </row>
    <row r="183" spans="1:10" x14ac:dyDescent="0.3">
      <c r="A183" s="6" t="s">
        <v>850</v>
      </c>
      <c r="B183" s="7" t="s">
        <v>127</v>
      </c>
      <c r="C183" s="7" t="s">
        <v>727</v>
      </c>
      <c r="D183" s="7" t="s">
        <v>12</v>
      </c>
      <c r="E183" s="7" t="s">
        <v>847</v>
      </c>
      <c r="F183" s="7" t="s">
        <v>848</v>
      </c>
      <c r="G183" s="7" t="s">
        <v>851</v>
      </c>
      <c r="H183" s="7">
        <v>5</v>
      </c>
      <c r="I183" s="7" t="s">
        <v>407</v>
      </c>
      <c r="J183" s="7" t="s">
        <v>806</v>
      </c>
    </row>
    <row r="184" spans="1:10" x14ac:dyDescent="0.3">
      <c r="A184" s="6" t="s">
        <v>965</v>
      </c>
      <c r="B184" s="7" t="s">
        <v>127</v>
      </c>
      <c r="C184" s="7" t="s">
        <v>727</v>
      </c>
      <c r="D184" s="7" t="s">
        <v>12</v>
      </c>
      <c r="E184" s="7" t="s">
        <v>961</v>
      </c>
      <c r="F184" s="7" t="s">
        <v>962</v>
      </c>
      <c r="G184" s="7" t="s">
        <v>966</v>
      </c>
      <c r="H184" s="7">
        <v>3</v>
      </c>
      <c r="I184" s="7" t="s">
        <v>82</v>
      </c>
      <c r="J184" s="7" t="s">
        <v>967</v>
      </c>
    </row>
    <row r="185" spans="1:10" x14ac:dyDescent="0.3">
      <c r="A185" s="6" t="s">
        <v>881</v>
      </c>
      <c r="B185" s="7" t="s">
        <v>127</v>
      </c>
      <c r="C185" s="7" t="s">
        <v>727</v>
      </c>
      <c r="D185" s="7" t="s">
        <v>12</v>
      </c>
      <c r="E185" s="7" t="s">
        <v>882</v>
      </c>
      <c r="F185" s="7" t="s">
        <v>883</v>
      </c>
      <c r="G185" s="7" t="s">
        <v>884</v>
      </c>
      <c r="H185" s="7">
        <v>7</v>
      </c>
      <c r="I185" s="7" t="s">
        <v>513</v>
      </c>
      <c r="J185" s="7" t="s">
        <v>885</v>
      </c>
    </row>
    <row r="186" spans="1:10" x14ac:dyDescent="0.3">
      <c r="A186" s="6" t="s">
        <v>205</v>
      </c>
      <c r="B186" s="7" t="s">
        <v>127</v>
      </c>
      <c r="C186" s="7" t="s">
        <v>128</v>
      </c>
      <c r="D186" s="7" t="s">
        <v>9</v>
      </c>
      <c r="E186" s="7" t="s">
        <v>206</v>
      </c>
      <c r="F186" s="7"/>
      <c r="G186" s="7" t="s">
        <v>207</v>
      </c>
      <c r="H186" s="7">
        <v>2</v>
      </c>
      <c r="I186" s="7" t="s">
        <v>208</v>
      </c>
      <c r="J186" s="7" t="s">
        <v>209</v>
      </c>
    </row>
    <row r="187" spans="1:10" x14ac:dyDescent="0.3">
      <c r="A187" s="6" t="s">
        <v>1038</v>
      </c>
      <c r="B187" s="7" t="s">
        <v>127</v>
      </c>
      <c r="C187" s="7" t="s">
        <v>727</v>
      </c>
      <c r="D187" s="7" t="s">
        <v>12</v>
      </c>
      <c r="E187" s="7" t="s">
        <v>1034</v>
      </c>
      <c r="F187" s="7" t="s">
        <v>1035</v>
      </c>
      <c r="G187" s="7" t="s">
        <v>1039</v>
      </c>
      <c r="H187" s="7">
        <v>33</v>
      </c>
      <c r="I187" s="7" t="s">
        <v>770</v>
      </c>
      <c r="J187" s="7" t="s">
        <v>1040</v>
      </c>
    </row>
    <row r="188" spans="1:10" x14ac:dyDescent="0.3">
      <c r="A188" s="6" t="s">
        <v>784</v>
      </c>
      <c r="B188" s="7" t="s">
        <v>127</v>
      </c>
      <c r="C188" s="7" t="s">
        <v>727</v>
      </c>
      <c r="D188" s="7" t="s">
        <v>12</v>
      </c>
      <c r="E188" s="7" t="s">
        <v>785</v>
      </c>
      <c r="F188" s="7" t="s">
        <v>786</v>
      </c>
      <c r="G188" s="7" t="s">
        <v>787</v>
      </c>
      <c r="H188" s="7">
        <v>9</v>
      </c>
      <c r="I188" s="7" t="s">
        <v>343</v>
      </c>
      <c r="J188" s="7" t="s">
        <v>788</v>
      </c>
    </row>
    <row r="189" spans="1:10" x14ac:dyDescent="0.3">
      <c r="A189" s="6" t="s">
        <v>801</v>
      </c>
      <c r="B189" s="7" t="s">
        <v>127</v>
      </c>
      <c r="C189" s="7" t="s">
        <v>727</v>
      </c>
      <c r="D189" s="7" t="s">
        <v>12</v>
      </c>
      <c r="E189" s="7" t="s">
        <v>802</v>
      </c>
      <c r="F189" s="7" t="s">
        <v>803</v>
      </c>
      <c r="G189" s="7" t="s">
        <v>804</v>
      </c>
      <c r="H189" s="7">
        <v>18</v>
      </c>
      <c r="I189" s="7" t="s">
        <v>805</v>
      </c>
      <c r="J189" s="7" t="s">
        <v>806</v>
      </c>
    </row>
    <row r="190" spans="1:10" x14ac:dyDescent="0.3">
      <c r="A190" s="6" t="s">
        <v>726</v>
      </c>
      <c r="B190" s="7" t="s">
        <v>127</v>
      </c>
      <c r="C190" s="7" t="s">
        <v>727</v>
      </c>
      <c r="D190" s="7" t="s">
        <v>12</v>
      </c>
      <c r="E190" s="7" t="s">
        <v>728</v>
      </c>
      <c r="F190" s="7" t="s">
        <v>729</v>
      </c>
      <c r="G190" s="7" t="s">
        <v>730</v>
      </c>
      <c r="H190" s="7">
        <v>7</v>
      </c>
      <c r="I190" s="7" t="s">
        <v>513</v>
      </c>
      <c r="J190" s="7" t="s">
        <v>166</v>
      </c>
    </row>
    <row r="191" spans="1:10" x14ac:dyDescent="0.3">
      <c r="A191" s="6" t="s">
        <v>842</v>
      </c>
      <c r="B191" s="7" t="s">
        <v>127</v>
      </c>
      <c r="C191" s="7" t="s">
        <v>727</v>
      </c>
      <c r="D191" s="7" t="s">
        <v>12</v>
      </c>
      <c r="E191" s="7" t="s">
        <v>843</v>
      </c>
      <c r="F191" s="7" t="s">
        <v>844</v>
      </c>
      <c r="G191" s="7" t="s">
        <v>845</v>
      </c>
      <c r="H191" s="7">
        <v>32</v>
      </c>
      <c r="I191" s="7" t="s">
        <v>423</v>
      </c>
      <c r="J191" s="7" t="s">
        <v>185</v>
      </c>
    </row>
    <row r="192" spans="1:10" x14ac:dyDescent="0.3">
      <c r="A192" s="6" t="s">
        <v>782</v>
      </c>
      <c r="B192" s="7" t="s">
        <v>127</v>
      </c>
      <c r="C192" s="7" t="s">
        <v>727</v>
      </c>
      <c r="D192" s="7" t="s">
        <v>12</v>
      </c>
      <c r="E192" s="7" t="s">
        <v>761</v>
      </c>
      <c r="F192" s="7" t="s">
        <v>762</v>
      </c>
      <c r="G192" s="7" t="s">
        <v>783</v>
      </c>
      <c r="H192" s="7">
        <v>20</v>
      </c>
      <c r="I192" s="7" t="s">
        <v>542</v>
      </c>
      <c r="J192" s="7" t="s">
        <v>185</v>
      </c>
    </row>
    <row r="193" spans="1:10" x14ac:dyDescent="0.3">
      <c r="A193" s="6" t="s">
        <v>981</v>
      </c>
      <c r="B193" s="7" t="s">
        <v>127</v>
      </c>
      <c r="C193" s="7" t="s">
        <v>727</v>
      </c>
      <c r="D193" s="7" t="s">
        <v>12</v>
      </c>
      <c r="E193" s="7" t="s">
        <v>982</v>
      </c>
      <c r="F193" s="7" t="s">
        <v>983</v>
      </c>
      <c r="G193" s="7" t="s">
        <v>984</v>
      </c>
      <c r="H193" s="7">
        <v>7</v>
      </c>
      <c r="I193" s="7" t="s">
        <v>487</v>
      </c>
      <c r="J193" s="7" t="s">
        <v>985</v>
      </c>
    </row>
    <row r="194" spans="1:10" x14ac:dyDescent="0.3">
      <c r="A194" s="6" t="s">
        <v>905</v>
      </c>
      <c r="B194" s="7" t="s">
        <v>127</v>
      </c>
      <c r="C194" s="7" t="s">
        <v>727</v>
      </c>
      <c r="D194" s="7" t="s">
        <v>12</v>
      </c>
      <c r="E194" s="7" t="s">
        <v>906</v>
      </c>
      <c r="F194" s="7" t="s">
        <v>907</v>
      </c>
      <c r="G194" s="7" t="s">
        <v>908</v>
      </c>
      <c r="H194" s="7">
        <v>7</v>
      </c>
      <c r="I194" s="7" t="s">
        <v>909</v>
      </c>
      <c r="J194" s="7" t="s">
        <v>910</v>
      </c>
    </row>
    <row r="195" spans="1:10" x14ac:dyDescent="0.3">
      <c r="A195" s="6" t="s">
        <v>2212</v>
      </c>
      <c r="B195" s="7" t="s">
        <v>1215</v>
      </c>
      <c r="C195" s="7" t="s">
        <v>1045</v>
      </c>
      <c r="D195" s="7" t="s">
        <v>19</v>
      </c>
      <c r="E195" s="7" t="s">
        <v>2213</v>
      </c>
      <c r="F195" s="7" t="s">
        <v>1025</v>
      </c>
      <c r="G195" s="7" t="s">
        <v>2214</v>
      </c>
      <c r="H195" s="7">
        <v>14</v>
      </c>
      <c r="I195" s="7" t="s">
        <v>1190</v>
      </c>
      <c r="J195" s="7" t="s">
        <v>2216</v>
      </c>
    </row>
    <row r="196" spans="1:10" x14ac:dyDescent="0.3">
      <c r="A196" s="6" t="s">
        <v>2413</v>
      </c>
      <c r="B196" s="7" t="s">
        <v>127</v>
      </c>
      <c r="C196" s="7"/>
      <c r="D196" s="7" t="s">
        <v>28</v>
      </c>
      <c r="E196" s="7" t="s">
        <v>2414</v>
      </c>
      <c r="F196" s="7" t="s">
        <v>2415</v>
      </c>
      <c r="G196" s="7" t="s">
        <v>2416</v>
      </c>
      <c r="H196" s="7">
        <v>5</v>
      </c>
      <c r="I196" s="7" t="s">
        <v>2418</v>
      </c>
      <c r="J196" s="7" t="s">
        <v>404</v>
      </c>
    </row>
    <row r="197" spans="1:10" x14ac:dyDescent="0.3">
      <c r="A197" s="6" t="s">
        <v>2401</v>
      </c>
      <c r="B197" s="7" t="s">
        <v>127</v>
      </c>
      <c r="C197" s="7"/>
      <c r="D197" s="7" t="s">
        <v>28</v>
      </c>
      <c r="E197" s="7" t="s">
        <v>2402</v>
      </c>
      <c r="F197" s="7" t="s">
        <v>2403</v>
      </c>
      <c r="G197" s="7" t="s">
        <v>2404</v>
      </c>
      <c r="H197" s="7">
        <v>4</v>
      </c>
      <c r="I197" s="7" t="s">
        <v>2407</v>
      </c>
      <c r="J197" s="7" t="s">
        <v>232</v>
      </c>
    </row>
    <row r="198" spans="1:10" x14ac:dyDescent="0.3">
      <c r="A198" s="6" t="s">
        <v>2374</v>
      </c>
      <c r="B198" s="7" t="s">
        <v>127</v>
      </c>
      <c r="C198" s="7"/>
      <c r="D198" s="7" t="s">
        <v>28</v>
      </c>
      <c r="E198" s="7" t="s">
        <v>2375</v>
      </c>
      <c r="F198" s="7" t="s">
        <v>401</v>
      </c>
      <c r="G198" s="7" t="s">
        <v>2376</v>
      </c>
      <c r="H198" s="7">
        <v>2</v>
      </c>
      <c r="I198" s="7" t="s">
        <v>1941</v>
      </c>
      <c r="J198" s="7" t="s">
        <v>676</v>
      </c>
    </row>
    <row r="199" spans="1:10" x14ac:dyDescent="0.3">
      <c r="A199" s="6" t="s">
        <v>2447</v>
      </c>
      <c r="B199" s="7" t="s">
        <v>127</v>
      </c>
      <c r="C199" s="7"/>
      <c r="D199" s="7" t="s">
        <v>28</v>
      </c>
      <c r="E199" s="7" t="s">
        <v>2448</v>
      </c>
      <c r="F199" s="7" t="s">
        <v>1025</v>
      </c>
      <c r="G199" s="7" t="s">
        <v>2449</v>
      </c>
      <c r="H199" s="7">
        <v>3</v>
      </c>
      <c r="I199" s="7" t="s">
        <v>604</v>
      </c>
      <c r="J199" s="7" t="s">
        <v>266</v>
      </c>
    </row>
    <row r="200" spans="1:10" x14ac:dyDescent="0.3">
      <c r="A200" s="6" t="s">
        <v>2408</v>
      </c>
      <c r="B200" s="7" t="s">
        <v>127</v>
      </c>
      <c r="C200" s="7"/>
      <c r="D200" s="7" t="s">
        <v>28</v>
      </c>
      <c r="E200" s="7" t="s">
        <v>2409</v>
      </c>
      <c r="F200" s="7" t="s">
        <v>862</v>
      </c>
      <c r="G200" s="7" t="s">
        <v>2410</v>
      </c>
      <c r="H200" s="7">
        <v>1</v>
      </c>
      <c r="I200" s="7" t="s">
        <v>165</v>
      </c>
      <c r="J200" s="7" t="s">
        <v>2412</v>
      </c>
    </row>
    <row r="201" spans="1:10" x14ac:dyDescent="0.3">
      <c r="A201" s="6" t="s">
        <v>2432</v>
      </c>
      <c r="B201" s="7" t="s">
        <v>127</v>
      </c>
      <c r="C201" s="7"/>
      <c r="D201" s="7" t="s">
        <v>28</v>
      </c>
      <c r="E201" s="7" t="s">
        <v>2433</v>
      </c>
      <c r="F201" s="7" t="s">
        <v>1182</v>
      </c>
      <c r="G201" s="7" t="s">
        <v>2434</v>
      </c>
      <c r="H201" s="7">
        <v>5</v>
      </c>
      <c r="I201" s="7" t="s">
        <v>99</v>
      </c>
      <c r="J201" s="7" t="s">
        <v>189</v>
      </c>
    </row>
    <row r="202" spans="1:10" x14ac:dyDescent="0.3">
      <c r="A202" s="6" t="s">
        <v>2436</v>
      </c>
      <c r="B202" s="7" t="s">
        <v>127</v>
      </c>
      <c r="C202" s="7"/>
      <c r="D202" s="7" t="s">
        <v>28</v>
      </c>
      <c r="E202" s="7" t="s">
        <v>2437</v>
      </c>
      <c r="F202" s="7" t="s">
        <v>2438</v>
      </c>
      <c r="G202" s="7" t="s">
        <v>2439</v>
      </c>
      <c r="H202" s="7">
        <v>2</v>
      </c>
      <c r="I202" s="7" t="s">
        <v>1307</v>
      </c>
      <c r="J202" s="7" t="s">
        <v>294</v>
      </c>
    </row>
    <row r="203" spans="1:10" x14ac:dyDescent="0.3">
      <c r="A203" s="6" t="s">
        <v>1064</v>
      </c>
      <c r="B203" s="7" t="s">
        <v>127</v>
      </c>
      <c r="C203" s="7" t="s">
        <v>1045</v>
      </c>
      <c r="D203" s="7" t="s">
        <v>13</v>
      </c>
      <c r="E203" s="7" t="s">
        <v>752</v>
      </c>
      <c r="F203" s="7" t="s">
        <v>753</v>
      </c>
      <c r="G203" s="7" t="s">
        <v>1065</v>
      </c>
      <c r="H203" s="7">
        <v>5</v>
      </c>
      <c r="I203" s="7" t="s">
        <v>1066</v>
      </c>
      <c r="J203" s="7" t="s">
        <v>537</v>
      </c>
    </row>
    <row r="204" spans="1:10" x14ac:dyDescent="0.3">
      <c r="A204" s="6" t="s">
        <v>1090</v>
      </c>
      <c r="B204" s="7" t="s">
        <v>127</v>
      </c>
      <c r="C204" s="7" t="s">
        <v>1045</v>
      </c>
      <c r="D204" s="7" t="s">
        <v>13</v>
      </c>
      <c r="E204" s="7" t="s">
        <v>1091</v>
      </c>
      <c r="F204" s="7" t="s">
        <v>1092</v>
      </c>
      <c r="G204" s="7" t="s">
        <v>1093</v>
      </c>
      <c r="H204" s="7">
        <v>5</v>
      </c>
      <c r="I204" s="7" t="s">
        <v>1094</v>
      </c>
      <c r="J204" s="7" t="s">
        <v>1095</v>
      </c>
    </row>
    <row r="205" spans="1:10" x14ac:dyDescent="0.3">
      <c r="A205" s="6" t="s">
        <v>1087</v>
      </c>
      <c r="B205" s="7" t="s">
        <v>127</v>
      </c>
      <c r="C205" s="7" t="s">
        <v>1045</v>
      </c>
      <c r="D205" s="7" t="s">
        <v>13</v>
      </c>
      <c r="E205" s="7" t="s">
        <v>1083</v>
      </c>
      <c r="F205" s="7" t="s">
        <v>897</v>
      </c>
      <c r="G205" s="7" t="s">
        <v>1088</v>
      </c>
      <c r="H205" s="7">
        <v>12</v>
      </c>
      <c r="I205" s="7" t="s">
        <v>1089</v>
      </c>
      <c r="J205" s="7" t="s">
        <v>199</v>
      </c>
    </row>
    <row r="206" spans="1:10" x14ac:dyDescent="0.3">
      <c r="A206" s="6" t="s">
        <v>1044</v>
      </c>
      <c r="B206" s="7" t="s">
        <v>127</v>
      </c>
      <c r="C206" s="7" t="s">
        <v>1045</v>
      </c>
      <c r="D206" s="7" t="s">
        <v>13</v>
      </c>
      <c r="E206" s="7" t="s">
        <v>1046</v>
      </c>
      <c r="F206" s="7" t="s">
        <v>174</v>
      </c>
      <c r="G206" s="7" t="s">
        <v>1047</v>
      </c>
      <c r="H206" s="7">
        <v>24</v>
      </c>
      <c r="I206" s="7" t="s">
        <v>1048</v>
      </c>
      <c r="J206" s="7" t="s">
        <v>404</v>
      </c>
    </row>
    <row r="207" spans="1:10" x14ac:dyDescent="0.3">
      <c r="A207" s="6" t="s">
        <v>1140</v>
      </c>
      <c r="B207" s="7" t="s">
        <v>127</v>
      </c>
      <c r="C207" s="7" t="s">
        <v>1045</v>
      </c>
      <c r="D207" s="7" t="s">
        <v>13</v>
      </c>
      <c r="E207" s="7" t="s">
        <v>1141</v>
      </c>
      <c r="F207" s="7" t="s">
        <v>1142</v>
      </c>
      <c r="G207" s="7" t="s">
        <v>1143</v>
      </c>
      <c r="H207" s="7">
        <v>23</v>
      </c>
      <c r="I207" s="7" t="s">
        <v>1144</v>
      </c>
      <c r="J207" s="7" t="s">
        <v>1145</v>
      </c>
    </row>
    <row r="208" spans="1:10" x14ac:dyDescent="0.3">
      <c r="A208" s="6" t="s">
        <v>1122</v>
      </c>
      <c r="B208" s="7" t="s">
        <v>127</v>
      </c>
      <c r="C208" s="7" t="s">
        <v>1045</v>
      </c>
      <c r="D208" s="7" t="s">
        <v>13</v>
      </c>
      <c r="E208" s="7" t="s">
        <v>1123</v>
      </c>
      <c r="F208" s="7" t="s">
        <v>1124</v>
      </c>
      <c r="G208" s="7" t="s">
        <v>1125</v>
      </c>
      <c r="H208" s="7">
        <v>1</v>
      </c>
      <c r="I208" s="7" t="s">
        <v>1126</v>
      </c>
      <c r="J208" s="7" t="s">
        <v>955</v>
      </c>
    </row>
    <row r="209" spans="1:10" x14ac:dyDescent="0.3">
      <c r="A209" s="6" t="s">
        <v>1146</v>
      </c>
      <c r="B209" s="7" t="s">
        <v>127</v>
      </c>
      <c r="C209" s="7" t="s">
        <v>1045</v>
      </c>
      <c r="D209" s="7" t="s">
        <v>13</v>
      </c>
      <c r="E209" s="7" t="s">
        <v>1147</v>
      </c>
      <c r="F209" s="7" t="s">
        <v>1148</v>
      </c>
      <c r="G209" s="7" t="s">
        <v>1149</v>
      </c>
      <c r="H209" s="7">
        <v>30</v>
      </c>
      <c r="I209" s="7" t="s">
        <v>1150</v>
      </c>
      <c r="J209" s="7" t="s">
        <v>696</v>
      </c>
    </row>
    <row r="210" spans="1:10" x14ac:dyDescent="0.3">
      <c r="A210" s="6" t="s">
        <v>1170</v>
      </c>
      <c r="B210" s="7" t="s">
        <v>127</v>
      </c>
      <c r="C210" s="7" t="s">
        <v>1045</v>
      </c>
      <c r="D210" s="7" t="s">
        <v>13</v>
      </c>
      <c r="E210" s="7" t="s">
        <v>1171</v>
      </c>
      <c r="F210" s="7" t="s">
        <v>1172</v>
      </c>
      <c r="G210" s="7" t="s">
        <v>1173</v>
      </c>
      <c r="H210" s="7">
        <v>4</v>
      </c>
      <c r="I210" s="7" t="s">
        <v>604</v>
      </c>
      <c r="J210" s="7" t="s">
        <v>1174</v>
      </c>
    </row>
    <row r="211" spans="1:10" x14ac:dyDescent="0.3">
      <c r="A211" s="6" t="s">
        <v>890</v>
      </c>
      <c r="B211" s="7" t="s">
        <v>127</v>
      </c>
      <c r="C211" s="7" t="s">
        <v>727</v>
      </c>
      <c r="D211" s="7" t="s">
        <v>12</v>
      </c>
      <c r="E211" s="7" t="s">
        <v>891</v>
      </c>
      <c r="F211" s="7" t="s">
        <v>401</v>
      </c>
      <c r="G211" s="7" t="s">
        <v>892</v>
      </c>
      <c r="H211" s="7">
        <v>35</v>
      </c>
      <c r="I211" s="7" t="s">
        <v>893</v>
      </c>
      <c r="J211" s="7" t="s">
        <v>894</v>
      </c>
    </row>
    <row r="212" spans="1:10" x14ac:dyDescent="0.3">
      <c r="A212" s="6" t="s">
        <v>1005</v>
      </c>
      <c r="B212" s="7" t="s">
        <v>127</v>
      </c>
      <c r="C212" s="7" t="s">
        <v>727</v>
      </c>
      <c r="D212" s="7" t="s">
        <v>12</v>
      </c>
      <c r="E212" s="7" t="s">
        <v>1000</v>
      </c>
      <c r="F212" s="7" t="s">
        <v>1001</v>
      </c>
      <c r="G212" s="7" t="s">
        <v>1006</v>
      </c>
      <c r="H212" s="7">
        <v>8</v>
      </c>
      <c r="I212" s="7" t="s">
        <v>270</v>
      </c>
      <c r="J212" s="7" t="s">
        <v>189</v>
      </c>
    </row>
    <row r="213" spans="1:10" x14ac:dyDescent="0.3">
      <c r="A213" s="6" t="s">
        <v>1027</v>
      </c>
      <c r="B213" s="7" t="s">
        <v>127</v>
      </c>
      <c r="C213" s="7" t="s">
        <v>727</v>
      </c>
      <c r="D213" s="7" t="s">
        <v>12</v>
      </c>
      <c r="E213" s="7" t="s">
        <v>1024</v>
      </c>
      <c r="F213" s="7" t="s">
        <v>1025</v>
      </c>
      <c r="G213" s="7" t="s">
        <v>1028</v>
      </c>
      <c r="H213" s="7">
        <v>9</v>
      </c>
      <c r="I213" s="7" t="s">
        <v>1029</v>
      </c>
      <c r="J213" s="7" t="s">
        <v>1030</v>
      </c>
    </row>
    <row r="214" spans="1:10" x14ac:dyDescent="0.3">
      <c r="A214" s="6" t="s">
        <v>835</v>
      </c>
      <c r="B214" s="7" t="s">
        <v>127</v>
      </c>
      <c r="C214" s="7" t="s">
        <v>727</v>
      </c>
      <c r="D214" s="7" t="s">
        <v>12</v>
      </c>
      <c r="E214" s="7" t="s">
        <v>836</v>
      </c>
      <c r="F214" s="7" t="s">
        <v>837</v>
      </c>
      <c r="G214" s="7" t="s">
        <v>838</v>
      </c>
      <c r="H214" s="7">
        <v>1</v>
      </c>
      <c r="I214" s="7" t="s">
        <v>645</v>
      </c>
      <c r="J214" s="7" t="s">
        <v>839</v>
      </c>
    </row>
    <row r="215" spans="1:10" x14ac:dyDescent="0.3">
      <c r="A215" s="6" t="s">
        <v>1826</v>
      </c>
      <c r="B215" s="7" t="s">
        <v>127</v>
      </c>
      <c r="C215" s="7" t="s">
        <v>727</v>
      </c>
      <c r="D215" s="7" t="s">
        <v>12</v>
      </c>
      <c r="E215" s="7" t="s">
        <v>748</v>
      </c>
      <c r="F215" s="7" t="s">
        <v>174</v>
      </c>
      <c r="G215" s="7" t="s">
        <v>1827</v>
      </c>
      <c r="H215" s="7">
        <v>17</v>
      </c>
      <c r="I215" s="7" t="s">
        <v>1350</v>
      </c>
      <c r="J215" s="7" t="s">
        <v>1831</v>
      </c>
    </row>
    <row r="216" spans="1:10" x14ac:dyDescent="0.3">
      <c r="A216" s="6" t="s">
        <v>1862</v>
      </c>
      <c r="B216" s="7" t="s">
        <v>127</v>
      </c>
      <c r="C216" s="7" t="s">
        <v>727</v>
      </c>
      <c r="D216" s="7" t="s">
        <v>12</v>
      </c>
      <c r="E216" s="7" t="s">
        <v>1024</v>
      </c>
      <c r="F216" s="7" t="s">
        <v>1025</v>
      </c>
      <c r="G216" s="7" t="s">
        <v>1863</v>
      </c>
      <c r="H216" s="7">
        <v>9</v>
      </c>
      <c r="I216" s="7" t="s">
        <v>339</v>
      </c>
      <c r="J216" s="7" t="s">
        <v>294</v>
      </c>
    </row>
    <row r="217" spans="1:10" x14ac:dyDescent="0.3">
      <c r="A217" s="6" t="s">
        <v>1041</v>
      </c>
      <c r="B217" s="7" t="s">
        <v>127</v>
      </c>
      <c r="C217" s="7" t="s">
        <v>727</v>
      </c>
      <c r="D217" s="7" t="s">
        <v>12</v>
      </c>
      <c r="E217" s="7" t="s">
        <v>1034</v>
      </c>
      <c r="F217" s="7" t="s">
        <v>1035</v>
      </c>
      <c r="G217" s="7" t="s">
        <v>1042</v>
      </c>
      <c r="H217" s="7">
        <v>45</v>
      </c>
      <c r="I217" s="7" t="s">
        <v>336</v>
      </c>
      <c r="J217" s="7" t="s">
        <v>1043</v>
      </c>
    </row>
    <row r="218" spans="1:10" x14ac:dyDescent="0.3">
      <c r="A218" s="6" t="s">
        <v>932</v>
      </c>
      <c r="B218" s="7" t="s">
        <v>127</v>
      </c>
      <c r="C218" s="7" t="s">
        <v>727</v>
      </c>
      <c r="D218" s="7" t="s">
        <v>12</v>
      </c>
      <c r="E218" s="7" t="s">
        <v>928</v>
      </c>
      <c r="F218" s="7" t="s">
        <v>929</v>
      </c>
      <c r="G218" s="7" t="s">
        <v>933</v>
      </c>
      <c r="H218" s="7">
        <v>10</v>
      </c>
      <c r="I218" s="7" t="s">
        <v>318</v>
      </c>
      <c r="J218" s="7" t="s">
        <v>934</v>
      </c>
    </row>
    <row r="219" spans="1:10" x14ac:dyDescent="0.3">
      <c r="A219" s="6" t="s">
        <v>857</v>
      </c>
      <c r="B219" s="7" t="s">
        <v>127</v>
      </c>
      <c r="C219" s="7" t="s">
        <v>727</v>
      </c>
      <c r="D219" s="7" t="s">
        <v>12</v>
      </c>
      <c r="E219" s="7" t="s">
        <v>853</v>
      </c>
      <c r="F219" s="7" t="s">
        <v>854</v>
      </c>
      <c r="G219" s="7" t="s">
        <v>858</v>
      </c>
      <c r="H219" s="7">
        <v>7</v>
      </c>
      <c r="I219" s="7" t="s">
        <v>859</v>
      </c>
      <c r="J219" s="7" t="s">
        <v>199</v>
      </c>
    </row>
    <row r="220" spans="1:10" x14ac:dyDescent="0.3">
      <c r="A220" s="6" t="s">
        <v>1896</v>
      </c>
      <c r="B220" s="7" t="s">
        <v>127</v>
      </c>
      <c r="C220" s="7" t="s">
        <v>1045</v>
      </c>
      <c r="D220" s="7" t="s">
        <v>13</v>
      </c>
      <c r="E220" s="7" t="s">
        <v>1897</v>
      </c>
      <c r="F220" s="7" t="s">
        <v>322</v>
      </c>
      <c r="G220" s="7" t="s">
        <v>1898</v>
      </c>
      <c r="H220" s="7">
        <v>2</v>
      </c>
      <c r="I220" s="7" t="s">
        <v>1902</v>
      </c>
      <c r="J220" s="7" t="s">
        <v>404</v>
      </c>
    </row>
    <row r="221" spans="1:10" x14ac:dyDescent="0.3">
      <c r="A221" s="6" t="s">
        <v>1110</v>
      </c>
      <c r="B221" s="7" t="s">
        <v>127</v>
      </c>
      <c r="C221" s="7" t="s">
        <v>1045</v>
      </c>
      <c r="D221" s="7" t="s">
        <v>13</v>
      </c>
      <c r="E221" s="7" t="s">
        <v>1103</v>
      </c>
      <c r="F221" s="7" t="s">
        <v>1104</v>
      </c>
      <c r="G221" s="7" t="s">
        <v>1111</v>
      </c>
      <c r="H221" s="7">
        <v>33</v>
      </c>
      <c r="I221" s="7" t="s">
        <v>82</v>
      </c>
      <c r="J221" s="7" t="s">
        <v>199</v>
      </c>
    </row>
    <row r="222" spans="1:10" x14ac:dyDescent="0.3">
      <c r="A222" s="6" t="s">
        <v>1112</v>
      </c>
      <c r="B222" s="7" t="s">
        <v>127</v>
      </c>
      <c r="C222" s="7" t="s">
        <v>1045</v>
      </c>
      <c r="D222" s="7" t="s">
        <v>13</v>
      </c>
      <c r="E222" s="7" t="s">
        <v>1103</v>
      </c>
      <c r="F222" s="7" t="s">
        <v>1104</v>
      </c>
      <c r="G222" s="7" t="s">
        <v>1113</v>
      </c>
      <c r="H222" s="7">
        <v>2</v>
      </c>
      <c r="I222" s="7" t="s">
        <v>1114</v>
      </c>
      <c r="J222" s="7" t="s">
        <v>199</v>
      </c>
    </row>
    <row r="223" spans="1:10" x14ac:dyDescent="0.3">
      <c r="A223" s="6" t="s">
        <v>1115</v>
      </c>
      <c r="B223" s="7" t="s">
        <v>127</v>
      </c>
      <c r="C223" s="7" t="s">
        <v>1045</v>
      </c>
      <c r="D223" s="7" t="s">
        <v>13</v>
      </c>
      <c r="E223" s="7" t="s">
        <v>1103</v>
      </c>
      <c r="F223" s="7" t="s">
        <v>1104</v>
      </c>
      <c r="G223" s="7" t="s">
        <v>1116</v>
      </c>
      <c r="H223" s="7">
        <v>26</v>
      </c>
      <c r="I223" s="7" t="s">
        <v>82</v>
      </c>
      <c r="J223" s="7" t="s">
        <v>199</v>
      </c>
    </row>
    <row r="224" spans="1:10" x14ac:dyDescent="0.3">
      <c r="A224" s="6" t="s">
        <v>816</v>
      </c>
      <c r="B224" s="7" t="s">
        <v>127</v>
      </c>
      <c r="C224" s="7" t="s">
        <v>727</v>
      </c>
      <c r="D224" s="7" t="s">
        <v>12</v>
      </c>
      <c r="E224" s="7" t="s">
        <v>817</v>
      </c>
      <c r="F224" s="7" t="s">
        <v>818</v>
      </c>
      <c r="G224" s="7" t="s">
        <v>819</v>
      </c>
      <c r="H224" s="7">
        <v>12</v>
      </c>
      <c r="I224" s="7" t="s">
        <v>562</v>
      </c>
      <c r="J224" s="7" t="s">
        <v>155</v>
      </c>
    </row>
    <row r="225" spans="1:10" x14ac:dyDescent="0.3">
      <c r="A225" s="6" t="s">
        <v>972</v>
      </c>
      <c r="B225" s="7" t="s">
        <v>127</v>
      </c>
      <c r="C225" s="7" t="s">
        <v>727</v>
      </c>
      <c r="D225" s="7" t="s">
        <v>12</v>
      </c>
      <c r="E225" s="7" t="s">
        <v>973</v>
      </c>
      <c r="F225" s="7" t="s">
        <v>974</v>
      </c>
      <c r="G225" s="7" t="s">
        <v>975</v>
      </c>
      <c r="H225" s="7">
        <v>2</v>
      </c>
      <c r="I225" s="7" t="s">
        <v>255</v>
      </c>
      <c r="J225" s="7" t="s">
        <v>976</v>
      </c>
    </row>
    <row r="226" spans="1:10" x14ac:dyDescent="0.3">
      <c r="A226" s="6" t="s">
        <v>1840</v>
      </c>
      <c r="B226" s="7" t="s">
        <v>127</v>
      </c>
      <c r="C226" s="7" t="s">
        <v>727</v>
      </c>
      <c r="D226" s="7" t="s">
        <v>12</v>
      </c>
      <c r="E226" s="7" t="s">
        <v>1841</v>
      </c>
      <c r="F226" s="7" t="s">
        <v>322</v>
      </c>
      <c r="G226" s="7" t="s">
        <v>1842</v>
      </c>
      <c r="H226" s="7">
        <v>2</v>
      </c>
      <c r="I226" s="7" t="s">
        <v>154</v>
      </c>
      <c r="J226" s="7" t="s">
        <v>404</v>
      </c>
    </row>
    <row r="227" spans="1:10" x14ac:dyDescent="0.3">
      <c r="A227" s="6" t="s">
        <v>1031</v>
      </c>
      <c r="B227" s="7" t="s">
        <v>127</v>
      </c>
      <c r="C227" s="7" t="s">
        <v>727</v>
      </c>
      <c r="D227" s="7" t="s">
        <v>12</v>
      </c>
      <c r="E227" s="7" t="s">
        <v>1024</v>
      </c>
      <c r="F227" s="7" t="s">
        <v>1025</v>
      </c>
      <c r="G227" s="7" t="s">
        <v>1032</v>
      </c>
      <c r="H227" s="7">
        <v>3</v>
      </c>
      <c r="I227" s="7" t="s">
        <v>99</v>
      </c>
      <c r="J227" s="7" t="s">
        <v>593</v>
      </c>
    </row>
    <row r="228" spans="1:10" x14ac:dyDescent="0.3">
      <c r="A228" s="6" t="s">
        <v>956</v>
      </c>
      <c r="B228" s="7" t="s">
        <v>127</v>
      </c>
      <c r="C228" s="7" t="s">
        <v>727</v>
      </c>
      <c r="D228" s="7" t="s">
        <v>12</v>
      </c>
      <c r="E228" s="7" t="s">
        <v>957</v>
      </c>
      <c r="F228" s="7" t="s">
        <v>958</v>
      </c>
      <c r="G228" s="7" t="s">
        <v>959</v>
      </c>
      <c r="H228" s="7">
        <v>3</v>
      </c>
      <c r="I228" s="7" t="s">
        <v>196</v>
      </c>
      <c r="J228" s="7" t="s">
        <v>676</v>
      </c>
    </row>
    <row r="229" spans="1:10" x14ac:dyDescent="0.3">
      <c r="A229" s="6" t="s">
        <v>1155</v>
      </c>
      <c r="B229" s="7" t="s">
        <v>127</v>
      </c>
      <c r="C229" s="7" t="s">
        <v>1045</v>
      </c>
      <c r="D229" s="7" t="s">
        <v>13</v>
      </c>
      <c r="E229" s="7" t="s">
        <v>440</v>
      </c>
      <c r="F229" s="7" t="s">
        <v>1156</v>
      </c>
      <c r="G229" s="7" t="s">
        <v>1157</v>
      </c>
      <c r="H229" s="7">
        <v>3</v>
      </c>
      <c r="I229" s="7" t="s">
        <v>1158</v>
      </c>
      <c r="J229" s="7" t="s">
        <v>1159</v>
      </c>
    </row>
    <row r="230" spans="1:10" x14ac:dyDescent="0.3">
      <c r="A230" s="6" t="s">
        <v>1167</v>
      </c>
      <c r="B230" s="7" t="s">
        <v>127</v>
      </c>
      <c r="C230" s="7" t="s">
        <v>1045</v>
      </c>
      <c r="D230" s="7" t="s">
        <v>13</v>
      </c>
      <c r="E230" s="7" t="s">
        <v>957</v>
      </c>
      <c r="F230" s="7" t="s">
        <v>958</v>
      </c>
      <c r="G230" s="7" t="s">
        <v>1168</v>
      </c>
      <c r="H230" s="7">
        <v>5</v>
      </c>
      <c r="I230" s="7" t="s">
        <v>1169</v>
      </c>
      <c r="J230" s="7" t="s">
        <v>612</v>
      </c>
    </row>
    <row r="231" spans="1:10" x14ac:dyDescent="0.3">
      <c r="A231" s="6" t="s">
        <v>875</v>
      </c>
      <c r="B231" s="7" t="s">
        <v>127</v>
      </c>
      <c r="C231" s="7" t="s">
        <v>727</v>
      </c>
      <c r="D231" s="7" t="s">
        <v>12</v>
      </c>
      <c r="E231" s="7" t="s">
        <v>876</v>
      </c>
      <c r="F231" s="7" t="s">
        <v>877</v>
      </c>
      <c r="G231" s="7" t="s">
        <v>878</v>
      </c>
      <c r="H231" s="7">
        <v>2</v>
      </c>
      <c r="I231" s="7" t="s">
        <v>879</v>
      </c>
      <c r="J231" s="7" t="s">
        <v>880</v>
      </c>
    </row>
    <row r="232" spans="1:10" x14ac:dyDescent="0.3">
      <c r="A232" s="6" t="s">
        <v>1858</v>
      </c>
      <c r="B232" s="7" t="s">
        <v>127</v>
      </c>
      <c r="C232" s="7" t="s">
        <v>727</v>
      </c>
      <c r="D232" s="7" t="s">
        <v>12</v>
      </c>
      <c r="E232" s="7" t="s">
        <v>957</v>
      </c>
      <c r="F232" s="7" t="s">
        <v>958</v>
      </c>
      <c r="G232" s="7" t="s">
        <v>1859</v>
      </c>
      <c r="H232" s="7">
        <v>3</v>
      </c>
      <c r="I232" s="7" t="s">
        <v>562</v>
      </c>
      <c r="J232" s="7" t="s">
        <v>155</v>
      </c>
    </row>
    <row r="233" spans="1:10" x14ac:dyDescent="0.3">
      <c r="A233" s="6" t="s">
        <v>1136</v>
      </c>
      <c r="B233" s="7" t="s">
        <v>127</v>
      </c>
      <c r="C233" s="7" t="s">
        <v>1045</v>
      </c>
      <c r="D233" s="7" t="s">
        <v>13</v>
      </c>
      <c r="E233" s="7" t="s">
        <v>81</v>
      </c>
      <c r="F233" s="7" t="s">
        <v>377</v>
      </c>
      <c r="G233" s="7" t="s">
        <v>1137</v>
      </c>
      <c r="H233" s="7">
        <v>28</v>
      </c>
      <c r="I233" s="7" t="s">
        <v>1138</v>
      </c>
      <c r="J233" s="7" t="s">
        <v>1139</v>
      </c>
    </row>
    <row r="234" spans="1:10" x14ac:dyDescent="0.3">
      <c r="A234" s="6" t="s">
        <v>2425</v>
      </c>
      <c r="B234" s="7" t="s">
        <v>1945</v>
      </c>
      <c r="C234" s="7" t="s">
        <v>2426</v>
      </c>
      <c r="D234" s="7" t="s">
        <v>28</v>
      </c>
      <c r="E234" s="7" t="s">
        <v>2427</v>
      </c>
      <c r="F234" s="7" t="s">
        <v>2428</v>
      </c>
      <c r="G234" s="7" t="s">
        <v>2429</v>
      </c>
      <c r="H234" s="7">
        <v>10</v>
      </c>
      <c r="I234" s="7" t="s">
        <v>492</v>
      </c>
      <c r="J234" s="7" t="s">
        <v>2431</v>
      </c>
    </row>
    <row r="235" spans="1:10" x14ac:dyDescent="0.3">
      <c r="A235" s="6" t="s">
        <v>2192</v>
      </c>
      <c r="B235" s="7" t="s">
        <v>127</v>
      </c>
      <c r="C235" s="7" t="s">
        <v>2193</v>
      </c>
      <c r="D235" s="7" t="s">
        <v>16</v>
      </c>
      <c r="E235" s="7" t="s">
        <v>2194</v>
      </c>
      <c r="F235" s="7" t="s">
        <v>322</v>
      </c>
      <c r="G235" s="7" t="s">
        <v>2195</v>
      </c>
      <c r="H235" s="7">
        <v>2</v>
      </c>
      <c r="I235" s="7" t="s">
        <v>2199</v>
      </c>
      <c r="J235" s="7" t="s">
        <v>2200</v>
      </c>
    </row>
    <row r="236" spans="1:10" x14ac:dyDescent="0.3">
      <c r="A236" s="6" t="s">
        <v>1348</v>
      </c>
      <c r="B236" s="7" t="s">
        <v>127</v>
      </c>
      <c r="C236" s="7" t="s">
        <v>589</v>
      </c>
      <c r="D236" s="7" t="s">
        <v>22</v>
      </c>
      <c r="E236" s="7" t="s">
        <v>515</v>
      </c>
      <c r="F236" s="7" t="s">
        <v>516</v>
      </c>
      <c r="G236" s="7" t="s">
        <v>1349</v>
      </c>
      <c r="H236" s="7"/>
      <c r="I236" s="7" t="s">
        <v>1350</v>
      </c>
      <c r="J236" s="7" t="s">
        <v>367</v>
      </c>
    </row>
    <row r="237" spans="1:10" x14ac:dyDescent="0.3">
      <c r="A237" s="6" t="s">
        <v>1802</v>
      </c>
      <c r="B237" s="7" t="s">
        <v>127</v>
      </c>
      <c r="C237" s="7" t="s">
        <v>589</v>
      </c>
      <c r="D237" s="7" t="s">
        <v>10</v>
      </c>
      <c r="E237" s="7" t="s">
        <v>1803</v>
      </c>
      <c r="F237" s="7" t="s">
        <v>322</v>
      </c>
      <c r="G237" s="7" t="s">
        <v>1804</v>
      </c>
      <c r="H237" s="7">
        <v>1</v>
      </c>
      <c r="I237" s="7" t="s">
        <v>1808</v>
      </c>
      <c r="J237" s="7" t="s">
        <v>199</v>
      </c>
    </row>
    <row r="238" spans="1:10" x14ac:dyDescent="0.3">
      <c r="A238" s="6" t="s">
        <v>2345</v>
      </c>
      <c r="B238" s="7" t="s">
        <v>127</v>
      </c>
      <c r="C238" s="7" t="s">
        <v>589</v>
      </c>
      <c r="D238" s="7" t="s">
        <v>27</v>
      </c>
      <c r="E238" s="7" t="s">
        <v>2346</v>
      </c>
      <c r="F238" s="7" t="s">
        <v>2347</v>
      </c>
      <c r="G238" s="7" t="s">
        <v>2348</v>
      </c>
      <c r="H238" s="7">
        <v>1</v>
      </c>
      <c r="I238" s="7" t="s">
        <v>2350</v>
      </c>
      <c r="J238" s="7" t="s">
        <v>612</v>
      </c>
    </row>
    <row r="239" spans="1:10" x14ac:dyDescent="0.3">
      <c r="A239" s="6" t="s">
        <v>581</v>
      </c>
      <c r="B239" s="7" t="s">
        <v>127</v>
      </c>
      <c r="C239" s="7" t="s">
        <v>128</v>
      </c>
      <c r="D239" s="7" t="s">
        <v>9</v>
      </c>
      <c r="E239" s="7" t="s">
        <v>582</v>
      </c>
      <c r="F239" s="7"/>
      <c r="G239" s="7" t="s">
        <v>583</v>
      </c>
      <c r="H239" s="7">
        <v>50</v>
      </c>
      <c r="I239" s="7" t="s">
        <v>584</v>
      </c>
      <c r="J239" s="7" t="s">
        <v>304</v>
      </c>
    </row>
    <row r="240" spans="1:10" x14ac:dyDescent="0.3">
      <c r="A240" s="6" t="s">
        <v>234</v>
      </c>
      <c r="B240" s="7" t="s">
        <v>127</v>
      </c>
      <c r="C240" s="7" t="s">
        <v>128</v>
      </c>
      <c r="D240" s="7" t="s">
        <v>9</v>
      </c>
      <c r="E240" s="7" t="s">
        <v>235</v>
      </c>
      <c r="F240" s="7" t="s">
        <v>236</v>
      </c>
      <c r="G240" s="7" t="s">
        <v>237</v>
      </c>
      <c r="H240" s="7">
        <v>14</v>
      </c>
      <c r="I240" s="7" t="s">
        <v>238</v>
      </c>
      <c r="J240" s="7" t="s">
        <v>239</v>
      </c>
    </row>
    <row r="241" spans="1:10" x14ac:dyDescent="0.3">
      <c r="A241" s="6" t="s">
        <v>578</v>
      </c>
      <c r="B241" s="7" t="s">
        <v>127</v>
      </c>
      <c r="C241" s="7" t="s">
        <v>128</v>
      </c>
      <c r="D241" s="7" t="s">
        <v>9</v>
      </c>
      <c r="E241" s="7" t="s">
        <v>579</v>
      </c>
      <c r="F241" s="7"/>
      <c r="G241" s="7" t="s">
        <v>580</v>
      </c>
      <c r="H241" s="7">
        <v>25</v>
      </c>
      <c r="I241" s="7" t="s">
        <v>111</v>
      </c>
      <c r="J241" s="7" t="s">
        <v>294</v>
      </c>
    </row>
    <row r="242" spans="1:10" x14ac:dyDescent="0.3">
      <c r="A242" s="6" t="s">
        <v>514</v>
      </c>
      <c r="B242" s="7" t="s">
        <v>127</v>
      </c>
      <c r="C242" s="7" t="s">
        <v>128</v>
      </c>
      <c r="D242" s="7" t="s">
        <v>9</v>
      </c>
      <c r="E242" s="7" t="s">
        <v>515</v>
      </c>
      <c r="F242" s="7" t="s">
        <v>516</v>
      </c>
      <c r="G242" s="7" t="s">
        <v>517</v>
      </c>
      <c r="H242" s="7">
        <v>2</v>
      </c>
      <c r="I242" s="7" t="s">
        <v>518</v>
      </c>
      <c r="J242" s="7" t="s">
        <v>294</v>
      </c>
    </row>
    <row r="243" spans="1:10" x14ac:dyDescent="0.3">
      <c r="A243" s="6" t="s">
        <v>543</v>
      </c>
      <c r="B243" s="7" t="s">
        <v>127</v>
      </c>
      <c r="C243" s="7" t="s">
        <v>128</v>
      </c>
      <c r="D243" s="7" t="s">
        <v>9</v>
      </c>
      <c r="E243" s="7" t="s">
        <v>544</v>
      </c>
      <c r="F243" s="7"/>
      <c r="G243" s="7" t="s">
        <v>545</v>
      </c>
      <c r="H243" s="7">
        <v>5</v>
      </c>
      <c r="I243" s="7" t="s">
        <v>546</v>
      </c>
      <c r="J243" s="7" t="s">
        <v>547</v>
      </c>
    </row>
    <row r="244" spans="1:10" x14ac:dyDescent="0.3">
      <c r="A244" s="6" t="s">
        <v>357</v>
      </c>
      <c r="B244" s="7" t="s">
        <v>127</v>
      </c>
      <c r="C244" s="7" t="s">
        <v>128</v>
      </c>
      <c r="D244" s="7" t="s">
        <v>9</v>
      </c>
      <c r="E244" s="7" t="s">
        <v>358</v>
      </c>
      <c r="F244" s="7"/>
      <c r="G244" s="7" t="s">
        <v>359</v>
      </c>
      <c r="H244" s="7">
        <v>1</v>
      </c>
      <c r="I244" s="7" t="s">
        <v>360</v>
      </c>
      <c r="J244" s="7" t="s">
        <v>361</v>
      </c>
    </row>
    <row r="245" spans="1:10" x14ac:dyDescent="0.3">
      <c r="A245" s="6" t="s">
        <v>395</v>
      </c>
      <c r="B245" s="7" t="s">
        <v>127</v>
      </c>
      <c r="C245" s="7" t="s">
        <v>128</v>
      </c>
      <c r="D245" s="7" t="s">
        <v>9</v>
      </c>
      <c r="E245" s="7" t="s">
        <v>396</v>
      </c>
      <c r="F245" s="7"/>
      <c r="G245" s="7" t="s">
        <v>397</v>
      </c>
      <c r="H245" s="7">
        <v>7</v>
      </c>
      <c r="I245" s="7" t="s">
        <v>131</v>
      </c>
      <c r="J245" s="7" t="s">
        <v>398</v>
      </c>
    </row>
    <row r="246" spans="1:10" x14ac:dyDescent="0.3">
      <c r="A246" s="6" t="s">
        <v>167</v>
      </c>
      <c r="B246" s="7" t="s">
        <v>127</v>
      </c>
      <c r="C246" s="7" t="s">
        <v>128</v>
      </c>
      <c r="D246" s="7" t="s">
        <v>9</v>
      </c>
      <c r="E246" s="7" t="s">
        <v>168</v>
      </c>
      <c r="F246" s="7"/>
      <c r="G246" s="7" t="s">
        <v>169</v>
      </c>
      <c r="H246" s="7">
        <v>39</v>
      </c>
      <c r="I246" s="7" t="s">
        <v>170</v>
      </c>
      <c r="J246" s="7" t="s">
        <v>171</v>
      </c>
    </row>
    <row r="247" spans="1:10" x14ac:dyDescent="0.3">
      <c r="A247" s="6" t="s">
        <v>247</v>
      </c>
      <c r="B247" s="7" t="s">
        <v>127</v>
      </c>
      <c r="C247" s="7" t="s">
        <v>128</v>
      </c>
      <c r="D247" s="7" t="s">
        <v>9</v>
      </c>
      <c r="E247" s="7" t="s">
        <v>248</v>
      </c>
      <c r="F247" s="7"/>
      <c r="G247" s="7" t="s">
        <v>249</v>
      </c>
      <c r="H247" s="7">
        <v>6</v>
      </c>
      <c r="I247" s="7" t="s">
        <v>250</v>
      </c>
      <c r="J247" s="7" t="s">
        <v>251</v>
      </c>
    </row>
    <row r="248" spans="1:10" x14ac:dyDescent="0.3">
      <c r="A248" s="6" t="s">
        <v>1708</v>
      </c>
      <c r="B248" s="7" t="s">
        <v>127</v>
      </c>
      <c r="C248" s="7" t="s">
        <v>128</v>
      </c>
      <c r="D248" s="7" t="s">
        <v>9</v>
      </c>
      <c r="E248" s="7" t="s">
        <v>1709</v>
      </c>
      <c r="F248" s="7"/>
      <c r="G248" s="7" t="s">
        <v>1710</v>
      </c>
      <c r="H248" s="7">
        <v>26</v>
      </c>
      <c r="I248" s="7" t="s">
        <v>513</v>
      </c>
      <c r="J248" s="7" t="s">
        <v>1318</v>
      </c>
    </row>
    <row r="249" spans="1:10" x14ac:dyDescent="0.3">
      <c r="A249" s="6" t="s">
        <v>1746</v>
      </c>
      <c r="B249" s="7" t="s">
        <v>127</v>
      </c>
      <c r="C249" s="7" t="s">
        <v>128</v>
      </c>
      <c r="D249" s="7" t="s">
        <v>9</v>
      </c>
      <c r="E249" s="7" t="s">
        <v>81</v>
      </c>
      <c r="F249" s="7" t="s">
        <v>907</v>
      </c>
      <c r="G249" s="7" t="s">
        <v>80</v>
      </c>
      <c r="H249" s="7">
        <v>7</v>
      </c>
      <c r="I249" s="7" t="s">
        <v>82</v>
      </c>
      <c r="J249" s="7" t="s">
        <v>1745</v>
      </c>
    </row>
    <row r="250" spans="1:10" x14ac:dyDescent="0.3">
      <c r="A250" s="6" t="s">
        <v>1747</v>
      </c>
      <c r="B250" s="7" t="s">
        <v>127</v>
      </c>
      <c r="C250" s="7" t="s">
        <v>128</v>
      </c>
      <c r="D250" s="7" t="s">
        <v>9</v>
      </c>
      <c r="E250" s="7" t="s">
        <v>81</v>
      </c>
      <c r="F250" s="7" t="s">
        <v>1748</v>
      </c>
      <c r="G250" s="7" t="s">
        <v>80</v>
      </c>
      <c r="H250" s="7">
        <v>3</v>
      </c>
      <c r="I250" s="7" t="s">
        <v>82</v>
      </c>
      <c r="J250" s="7" t="s">
        <v>1745</v>
      </c>
    </row>
    <row r="251" spans="1:10" x14ac:dyDescent="0.3">
      <c r="A251" s="6" t="s">
        <v>1743</v>
      </c>
      <c r="B251" s="7" t="s">
        <v>127</v>
      </c>
      <c r="C251" s="7" t="s">
        <v>128</v>
      </c>
      <c r="D251" s="7" t="s">
        <v>9</v>
      </c>
      <c r="E251" s="7" t="s">
        <v>81</v>
      </c>
      <c r="F251" s="7" t="s">
        <v>377</v>
      </c>
      <c r="G251" s="7" t="s">
        <v>80</v>
      </c>
      <c r="H251" s="7">
        <v>112</v>
      </c>
      <c r="I251" s="7" t="s">
        <v>82</v>
      </c>
      <c r="J251" s="7" t="s">
        <v>1745</v>
      </c>
    </row>
    <row r="252" spans="1:10" x14ac:dyDescent="0.3">
      <c r="A252" s="6" t="s">
        <v>1749</v>
      </c>
      <c r="B252" s="7" t="s">
        <v>127</v>
      </c>
      <c r="C252" s="7" t="s">
        <v>128</v>
      </c>
      <c r="D252" s="7" t="s">
        <v>9</v>
      </c>
      <c r="E252" s="7" t="s">
        <v>1750</v>
      </c>
      <c r="F252" s="7"/>
      <c r="G252" s="7" t="s">
        <v>1751</v>
      </c>
      <c r="H252" s="7">
        <v>13</v>
      </c>
      <c r="I252" s="7" t="s">
        <v>513</v>
      </c>
      <c r="J252" s="7" t="s">
        <v>424</v>
      </c>
    </row>
    <row r="253" spans="1:10" x14ac:dyDescent="0.3">
      <c r="A253" s="6" t="s">
        <v>310</v>
      </c>
      <c r="B253" s="7" t="s">
        <v>127</v>
      </c>
      <c r="C253" s="7" t="s">
        <v>128</v>
      </c>
      <c r="D253" s="7" t="s">
        <v>9</v>
      </c>
      <c r="E253" s="7" t="s">
        <v>311</v>
      </c>
      <c r="F253" s="7"/>
      <c r="G253" s="7" t="s">
        <v>312</v>
      </c>
      <c r="H253" s="7">
        <v>2</v>
      </c>
      <c r="I253" s="7" t="s">
        <v>313</v>
      </c>
      <c r="J253" s="7" t="s">
        <v>314</v>
      </c>
    </row>
    <row r="254" spans="1:10" x14ac:dyDescent="0.3">
      <c r="A254" s="6" t="s">
        <v>1714</v>
      </c>
      <c r="B254" s="7" t="s">
        <v>127</v>
      </c>
      <c r="C254" s="7" t="s">
        <v>128</v>
      </c>
      <c r="D254" s="7" t="s">
        <v>9</v>
      </c>
      <c r="E254" s="7" t="s">
        <v>1715</v>
      </c>
      <c r="F254" s="7"/>
      <c r="G254" s="7" t="s">
        <v>1716</v>
      </c>
      <c r="H254" s="7">
        <v>2</v>
      </c>
      <c r="I254" s="7" t="s">
        <v>487</v>
      </c>
      <c r="J254" s="7" t="s">
        <v>998</v>
      </c>
    </row>
    <row r="255" spans="1:10" x14ac:dyDescent="0.3">
      <c r="A255" s="6" t="s">
        <v>193</v>
      </c>
      <c r="B255" s="7" t="s">
        <v>127</v>
      </c>
      <c r="C255" s="7" t="s">
        <v>128</v>
      </c>
      <c r="D255" s="7" t="s">
        <v>9</v>
      </c>
      <c r="E255" s="7" t="s">
        <v>105</v>
      </c>
      <c r="F255" s="7" t="s">
        <v>194</v>
      </c>
      <c r="G255" s="7" t="s">
        <v>195</v>
      </c>
      <c r="H255" s="7">
        <v>10</v>
      </c>
      <c r="I255" s="7" t="s">
        <v>196</v>
      </c>
      <c r="J255" s="7" t="s">
        <v>197</v>
      </c>
    </row>
    <row r="256" spans="1:10" x14ac:dyDescent="0.3">
      <c r="A256" s="6" t="s">
        <v>295</v>
      </c>
      <c r="B256" s="7" t="s">
        <v>127</v>
      </c>
      <c r="C256" s="7" t="s">
        <v>128</v>
      </c>
      <c r="D256" s="7" t="s">
        <v>9</v>
      </c>
      <c r="E256" s="7" t="s">
        <v>296</v>
      </c>
      <c r="F256" s="7" t="s">
        <v>297</v>
      </c>
      <c r="G256" s="7" t="s">
        <v>298</v>
      </c>
      <c r="H256" s="7">
        <v>8</v>
      </c>
      <c r="I256" s="7" t="s">
        <v>299</v>
      </c>
      <c r="J256" s="7" t="s">
        <v>300</v>
      </c>
    </row>
    <row r="257" spans="1:10" x14ac:dyDescent="0.3">
      <c r="A257" s="6" t="s">
        <v>385</v>
      </c>
      <c r="B257" s="7" t="s">
        <v>127</v>
      </c>
      <c r="C257" s="7" t="s">
        <v>128</v>
      </c>
      <c r="D257" s="7" t="s">
        <v>9</v>
      </c>
      <c r="E257" s="7" t="s">
        <v>386</v>
      </c>
      <c r="F257" s="7" t="s">
        <v>387</v>
      </c>
      <c r="G257" s="7" t="s">
        <v>388</v>
      </c>
      <c r="H257" s="7">
        <v>5</v>
      </c>
      <c r="I257" s="7" t="s">
        <v>389</v>
      </c>
      <c r="J257" s="7" t="s">
        <v>246</v>
      </c>
    </row>
    <row r="258" spans="1:10" x14ac:dyDescent="0.3">
      <c r="A258" s="6" t="s">
        <v>223</v>
      </c>
      <c r="B258" s="7" t="s">
        <v>127</v>
      </c>
      <c r="C258" s="7" t="s">
        <v>128</v>
      </c>
      <c r="D258" s="7" t="s">
        <v>9</v>
      </c>
      <c r="E258" s="7" t="s">
        <v>77</v>
      </c>
      <c r="F258" s="7" t="s">
        <v>224</v>
      </c>
      <c r="G258" s="7" t="s">
        <v>76</v>
      </c>
      <c r="H258" s="7">
        <v>4</v>
      </c>
      <c r="I258" s="7" t="s">
        <v>78</v>
      </c>
      <c r="J258" s="7" t="s">
        <v>199</v>
      </c>
    </row>
    <row r="259" spans="1:10" x14ac:dyDescent="0.3">
      <c r="A259" s="6" t="s">
        <v>2526</v>
      </c>
      <c r="B259" s="7" t="s">
        <v>127</v>
      </c>
      <c r="C259" s="7" t="s">
        <v>128</v>
      </c>
      <c r="D259" s="7" t="s">
        <v>9</v>
      </c>
      <c r="E259" s="7" t="s">
        <v>77</v>
      </c>
      <c r="F259" s="7" t="s">
        <v>2527</v>
      </c>
      <c r="G259" s="7" t="s">
        <v>76</v>
      </c>
      <c r="H259" s="7">
        <v>1</v>
      </c>
      <c r="I259" s="7" t="s">
        <v>78</v>
      </c>
      <c r="J259" s="7" t="s">
        <v>199</v>
      </c>
    </row>
    <row r="260" spans="1:10" x14ac:dyDescent="0.3">
      <c r="A260" s="6" t="s">
        <v>2528</v>
      </c>
      <c r="B260" s="7" t="s">
        <v>127</v>
      </c>
      <c r="C260" s="7" t="s">
        <v>128</v>
      </c>
      <c r="D260" s="7" t="s">
        <v>9</v>
      </c>
      <c r="E260" s="7" t="s">
        <v>77</v>
      </c>
      <c r="F260" s="7" t="s">
        <v>226</v>
      </c>
      <c r="G260" s="7" t="s">
        <v>76</v>
      </c>
      <c r="H260" s="7">
        <v>100</v>
      </c>
      <c r="I260" s="7" t="s">
        <v>78</v>
      </c>
      <c r="J260" s="7" t="s">
        <v>199</v>
      </c>
    </row>
    <row r="261" spans="1:10" x14ac:dyDescent="0.3">
      <c r="A261" s="6" t="s">
        <v>225</v>
      </c>
      <c r="B261" s="7" t="s">
        <v>127</v>
      </c>
      <c r="C261" s="7" t="s">
        <v>128</v>
      </c>
      <c r="D261" s="7" t="s">
        <v>9</v>
      </c>
      <c r="E261" s="7" t="s">
        <v>77</v>
      </c>
      <c r="F261" s="7" t="s">
        <v>226</v>
      </c>
      <c r="G261" s="7" t="s">
        <v>227</v>
      </c>
      <c r="H261" s="7">
        <v>8</v>
      </c>
      <c r="I261" s="7" t="s">
        <v>78</v>
      </c>
      <c r="J261" s="7" t="s">
        <v>199</v>
      </c>
    </row>
    <row r="262" spans="1:10" x14ac:dyDescent="0.3">
      <c r="A262" s="6" t="s">
        <v>362</v>
      </c>
      <c r="B262" s="7" t="s">
        <v>127</v>
      </c>
      <c r="C262" s="7" t="s">
        <v>128</v>
      </c>
      <c r="D262" s="7" t="s">
        <v>9</v>
      </c>
      <c r="E262" s="7" t="s">
        <v>363</v>
      </c>
      <c r="F262" s="7" t="s">
        <v>364</v>
      </c>
      <c r="G262" s="7" t="s">
        <v>365</v>
      </c>
      <c r="H262" s="7">
        <v>37</v>
      </c>
      <c r="I262" s="7" t="s">
        <v>366</v>
      </c>
      <c r="J262" s="7" t="s">
        <v>367</v>
      </c>
    </row>
    <row r="263" spans="1:10" x14ac:dyDescent="0.3">
      <c r="A263" s="6" t="s">
        <v>139</v>
      </c>
      <c r="B263" s="7" t="s">
        <v>127</v>
      </c>
      <c r="C263" s="7" t="s">
        <v>128</v>
      </c>
      <c r="D263" s="7" t="s">
        <v>9</v>
      </c>
      <c r="E263" s="7" t="s">
        <v>140</v>
      </c>
      <c r="F263" s="7"/>
      <c r="G263" s="7" t="s">
        <v>141</v>
      </c>
      <c r="H263" s="7">
        <v>1</v>
      </c>
      <c r="I263" s="7" t="s">
        <v>142</v>
      </c>
      <c r="J263" s="7" t="s">
        <v>143</v>
      </c>
    </row>
    <row r="264" spans="1:10" x14ac:dyDescent="0.3">
      <c r="A264" s="6" t="s">
        <v>1724</v>
      </c>
      <c r="B264" s="7" t="s">
        <v>127</v>
      </c>
      <c r="C264" s="7" t="s">
        <v>128</v>
      </c>
      <c r="D264" s="7" t="s">
        <v>9</v>
      </c>
      <c r="E264" s="7" t="s">
        <v>1725</v>
      </c>
      <c r="F264" s="7"/>
      <c r="G264" s="7" t="s">
        <v>1726</v>
      </c>
      <c r="H264" s="7">
        <v>4</v>
      </c>
      <c r="I264" s="7" t="s">
        <v>403</v>
      </c>
      <c r="J264" s="7" t="s">
        <v>189</v>
      </c>
    </row>
    <row r="265" spans="1:10" x14ac:dyDescent="0.3">
      <c r="A265" s="6" t="s">
        <v>267</v>
      </c>
      <c r="B265" s="7" t="s">
        <v>127</v>
      </c>
      <c r="C265" s="7" t="s">
        <v>128</v>
      </c>
      <c r="D265" s="7" t="s">
        <v>9</v>
      </c>
      <c r="E265" s="7" t="s">
        <v>268</v>
      </c>
      <c r="F265" s="7"/>
      <c r="G265" s="7" t="s">
        <v>269</v>
      </c>
      <c r="H265" s="7">
        <v>5</v>
      </c>
      <c r="I265" s="7" t="s">
        <v>270</v>
      </c>
      <c r="J265" s="7" t="s">
        <v>271</v>
      </c>
    </row>
    <row r="266" spans="1:10" x14ac:dyDescent="0.3">
      <c r="A266" s="6" t="s">
        <v>1685</v>
      </c>
      <c r="B266" s="7" t="s">
        <v>127</v>
      </c>
      <c r="C266" s="7" t="s">
        <v>128</v>
      </c>
      <c r="D266" s="7" t="s">
        <v>9</v>
      </c>
      <c r="E266" s="7" t="s">
        <v>1686</v>
      </c>
      <c r="F266" s="7"/>
      <c r="G266" s="7" t="s">
        <v>1687</v>
      </c>
      <c r="H266" s="7">
        <v>2</v>
      </c>
      <c r="I266" s="7" t="s">
        <v>1692</v>
      </c>
      <c r="J266" s="7" t="s">
        <v>1693</v>
      </c>
    </row>
    <row r="267" spans="1:10" x14ac:dyDescent="0.3">
      <c r="A267" s="6" t="s">
        <v>291</v>
      </c>
      <c r="B267" s="7" t="s">
        <v>127</v>
      </c>
      <c r="C267" s="7" t="s">
        <v>128</v>
      </c>
      <c r="D267" s="7" t="s">
        <v>9</v>
      </c>
      <c r="E267" s="7" t="s">
        <v>292</v>
      </c>
      <c r="F267" s="7"/>
      <c r="G267" s="7" t="s">
        <v>293</v>
      </c>
      <c r="H267" s="7">
        <v>3</v>
      </c>
      <c r="I267" s="7" t="s">
        <v>82</v>
      </c>
      <c r="J267" s="7" t="s">
        <v>294</v>
      </c>
    </row>
    <row r="268" spans="1:10" x14ac:dyDescent="0.3">
      <c r="A268" s="6" t="s">
        <v>228</v>
      </c>
      <c r="B268" s="7" t="s">
        <v>127</v>
      </c>
      <c r="C268" s="7" t="s">
        <v>128</v>
      </c>
      <c r="D268" s="7" t="s">
        <v>9</v>
      </c>
      <c r="E268" s="7" t="s">
        <v>229</v>
      </c>
      <c r="F268" s="7" t="s">
        <v>230</v>
      </c>
      <c r="G268" s="7" t="s">
        <v>231</v>
      </c>
      <c r="H268" s="7">
        <v>7</v>
      </c>
      <c r="I268" s="7" t="s">
        <v>232</v>
      </c>
      <c r="J268" s="7" t="s">
        <v>233</v>
      </c>
    </row>
    <row r="269" spans="1:10" x14ac:dyDescent="0.3">
      <c r="A269" s="6" t="s">
        <v>301</v>
      </c>
      <c r="B269" s="7" t="s">
        <v>127</v>
      </c>
      <c r="C269" s="7" t="s">
        <v>128</v>
      </c>
      <c r="D269" s="7" t="s">
        <v>9</v>
      </c>
      <c r="E269" s="7" t="s">
        <v>296</v>
      </c>
      <c r="F269" s="7" t="s">
        <v>297</v>
      </c>
      <c r="G269" s="7" t="s">
        <v>302</v>
      </c>
      <c r="H269" s="7">
        <v>5</v>
      </c>
      <c r="I269" s="7" t="s">
        <v>303</v>
      </c>
      <c r="J269" s="7" t="s">
        <v>304</v>
      </c>
    </row>
    <row r="270" spans="1:10" x14ac:dyDescent="0.3">
      <c r="A270" s="6" t="s">
        <v>554</v>
      </c>
      <c r="B270" s="7" t="s">
        <v>127</v>
      </c>
      <c r="C270" s="7" t="s">
        <v>128</v>
      </c>
      <c r="D270" s="7" t="s">
        <v>9</v>
      </c>
      <c r="E270" s="7" t="s">
        <v>555</v>
      </c>
      <c r="F270" s="7" t="s">
        <v>556</v>
      </c>
      <c r="G270" s="7" t="s">
        <v>557</v>
      </c>
      <c r="H270" s="7">
        <v>12</v>
      </c>
      <c r="I270" s="7" t="s">
        <v>558</v>
      </c>
      <c r="J270" s="7" t="s">
        <v>300</v>
      </c>
    </row>
    <row r="271" spans="1:10" x14ac:dyDescent="0.3">
      <c r="A271" s="6" t="s">
        <v>218</v>
      </c>
      <c r="B271" s="7" t="s">
        <v>127</v>
      </c>
      <c r="C271" s="7" t="s">
        <v>128</v>
      </c>
      <c r="D271" s="7" t="s">
        <v>9</v>
      </c>
      <c r="E271" s="7" t="s">
        <v>219</v>
      </c>
      <c r="F271" s="7" t="s">
        <v>220</v>
      </c>
      <c r="G271" s="7" t="s">
        <v>221</v>
      </c>
      <c r="H271" s="7">
        <v>1</v>
      </c>
      <c r="I271" s="7" t="s">
        <v>222</v>
      </c>
      <c r="J271" s="7" t="s">
        <v>189</v>
      </c>
    </row>
    <row r="272" spans="1:10" x14ac:dyDescent="0.3">
      <c r="A272" s="6" t="s">
        <v>2529</v>
      </c>
      <c r="B272" s="7" t="s">
        <v>127</v>
      </c>
      <c r="C272" s="7" t="s">
        <v>128</v>
      </c>
      <c r="D272" s="7" t="s">
        <v>9</v>
      </c>
      <c r="E272" s="7" t="s">
        <v>429</v>
      </c>
      <c r="F272" s="7" t="s">
        <v>430</v>
      </c>
      <c r="G272" s="7" t="s">
        <v>72</v>
      </c>
      <c r="H272" s="7">
        <v>8</v>
      </c>
      <c r="I272" s="7" t="s">
        <v>74</v>
      </c>
      <c r="J272" s="7" t="s">
        <v>348</v>
      </c>
    </row>
    <row r="273" spans="1:10" x14ac:dyDescent="0.3">
      <c r="A273" s="6" t="s">
        <v>428</v>
      </c>
      <c r="B273" s="7" t="s">
        <v>127</v>
      </c>
      <c r="C273" s="7" t="s">
        <v>128</v>
      </c>
      <c r="D273" s="7" t="s">
        <v>9</v>
      </c>
      <c r="E273" s="7" t="s">
        <v>429</v>
      </c>
      <c r="F273" s="7" t="s">
        <v>430</v>
      </c>
      <c r="G273" s="7" t="s">
        <v>72</v>
      </c>
      <c r="H273" s="7">
        <v>344</v>
      </c>
      <c r="I273" s="7" t="s">
        <v>74</v>
      </c>
      <c r="J273" s="7" t="s">
        <v>348</v>
      </c>
    </row>
    <row r="274" spans="1:10" x14ac:dyDescent="0.3">
      <c r="A274" s="6" t="s">
        <v>431</v>
      </c>
      <c r="B274" s="7" t="s">
        <v>127</v>
      </c>
      <c r="C274" s="7" t="s">
        <v>128</v>
      </c>
      <c r="D274" s="7" t="s">
        <v>9</v>
      </c>
      <c r="E274" s="7" t="s">
        <v>432</v>
      </c>
      <c r="F274" s="7" t="s">
        <v>433</v>
      </c>
      <c r="G274" s="7" t="s">
        <v>72</v>
      </c>
      <c r="H274" s="7">
        <v>128</v>
      </c>
      <c r="I274" s="7" t="s">
        <v>74</v>
      </c>
      <c r="J274" s="7" t="s">
        <v>348</v>
      </c>
    </row>
    <row r="275" spans="1:10" x14ac:dyDescent="0.3">
      <c r="A275" s="6" t="s">
        <v>419</v>
      </c>
      <c r="B275" s="7" t="s">
        <v>127</v>
      </c>
      <c r="C275" s="7" t="s">
        <v>128</v>
      </c>
      <c r="D275" s="7" t="s">
        <v>9</v>
      </c>
      <c r="E275" s="7" t="s">
        <v>420</v>
      </c>
      <c r="F275" s="7" t="s">
        <v>421</v>
      </c>
      <c r="G275" s="7" t="s">
        <v>422</v>
      </c>
      <c r="H275" s="7">
        <v>3</v>
      </c>
      <c r="I275" s="7" t="s">
        <v>423</v>
      </c>
      <c r="J275" s="7" t="s">
        <v>424</v>
      </c>
    </row>
    <row r="276" spans="1:10" x14ac:dyDescent="0.3">
      <c r="A276" s="6" t="s">
        <v>381</v>
      </c>
      <c r="B276" s="7" t="s">
        <v>127</v>
      </c>
      <c r="C276" s="7" t="s">
        <v>128</v>
      </c>
      <c r="D276" s="7" t="s">
        <v>9</v>
      </c>
      <c r="E276" s="7" t="s">
        <v>382</v>
      </c>
      <c r="F276" s="7" t="s">
        <v>383</v>
      </c>
      <c r="G276" s="7" t="s">
        <v>384</v>
      </c>
      <c r="H276" s="7">
        <v>32</v>
      </c>
      <c r="I276" s="7" t="s">
        <v>111</v>
      </c>
      <c r="J276" s="7" t="s">
        <v>294</v>
      </c>
    </row>
    <row r="277" spans="1:10" x14ac:dyDescent="0.3">
      <c r="A277" s="6" t="s">
        <v>305</v>
      </c>
      <c r="B277" s="7" t="s">
        <v>127</v>
      </c>
      <c r="C277" s="7" t="s">
        <v>128</v>
      </c>
      <c r="D277" s="7" t="s">
        <v>9</v>
      </c>
      <c r="E277" s="7" t="s">
        <v>306</v>
      </c>
      <c r="F277" s="7"/>
      <c r="G277" s="7" t="s">
        <v>307</v>
      </c>
      <c r="H277" s="7">
        <v>3</v>
      </c>
      <c r="I277" s="7" t="s">
        <v>308</v>
      </c>
      <c r="J277" s="7" t="s">
        <v>309</v>
      </c>
    </row>
    <row r="278" spans="1:10" x14ac:dyDescent="0.3">
      <c r="A278" s="6" t="s">
        <v>529</v>
      </c>
      <c r="B278" s="7" t="s">
        <v>127</v>
      </c>
      <c r="C278" s="7" t="s">
        <v>128</v>
      </c>
      <c r="D278" s="7" t="s">
        <v>9</v>
      </c>
      <c r="E278" s="7" t="s">
        <v>530</v>
      </c>
      <c r="F278" s="7" t="s">
        <v>531</v>
      </c>
      <c r="G278" s="7" t="s">
        <v>532</v>
      </c>
      <c r="H278" s="7">
        <v>3</v>
      </c>
      <c r="I278" s="7" t="s">
        <v>270</v>
      </c>
      <c r="J278" s="7" t="s">
        <v>189</v>
      </c>
    </row>
    <row r="279" spans="1:10" x14ac:dyDescent="0.3">
      <c r="A279" s="6" t="s">
        <v>519</v>
      </c>
      <c r="B279" s="7" t="s">
        <v>127</v>
      </c>
      <c r="C279" s="7" t="s">
        <v>128</v>
      </c>
      <c r="D279" s="7" t="s">
        <v>9</v>
      </c>
      <c r="E279" s="7" t="s">
        <v>520</v>
      </c>
      <c r="F279" s="7"/>
      <c r="G279" s="7" t="s">
        <v>521</v>
      </c>
      <c r="H279" s="7">
        <v>3</v>
      </c>
      <c r="I279" s="7" t="s">
        <v>522</v>
      </c>
      <c r="J279" s="7" t="s">
        <v>523</v>
      </c>
    </row>
    <row r="280" spans="1:10" x14ac:dyDescent="0.3">
      <c r="A280" s="6" t="s">
        <v>458</v>
      </c>
      <c r="B280" s="7" t="s">
        <v>127</v>
      </c>
      <c r="C280" s="7" t="s">
        <v>128</v>
      </c>
      <c r="D280" s="7" t="s">
        <v>9</v>
      </c>
      <c r="E280" s="7" t="s">
        <v>459</v>
      </c>
      <c r="F280" s="7" t="s">
        <v>460</v>
      </c>
      <c r="G280" s="7" t="s">
        <v>461</v>
      </c>
      <c r="H280" s="7">
        <v>15</v>
      </c>
      <c r="I280" s="7" t="s">
        <v>111</v>
      </c>
      <c r="J280" s="7" t="s">
        <v>462</v>
      </c>
    </row>
    <row r="281" spans="1:10" x14ac:dyDescent="0.3">
      <c r="A281" s="6" t="s">
        <v>1765</v>
      </c>
      <c r="B281" s="7" t="s">
        <v>127</v>
      </c>
      <c r="C281" s="7" t="s">
        <v>128</v>
      </c>
      <c r="D281" s="7" t="s">
        <v>9</v>
      </c>
      <c r="E281" s="7" t="s">
        <v>1766</v>
      </c>
      <c r="F281" s="7"/>
      <c r="G281" s="7" t="s">
        <v>1767</v>
      </c>
      <c r="H281" s="7">
        <v>5</v>
      </c>
      <c r="I281" s="7" t="s">
        <v>1769</v>
      </c>
      <c r="J281" s="7" t="s">
        <v>563</v>
      </c>
    </row>
    <row r="282" spans="1:10" x14ac:dyDescent="0.3">
      <c r="A282" s="6" t="s">
        <v>399</v>
      </c>
      <c r="B282" s="7" t="s">
        <v>127</v>
      </c>
      <c r="C282" s="7" t="s">
        <v>128</v>
      </c>
      <c r="D282" s="7" t="s">
        <v>9</v>
      </c>
      <c r="E282" s="7" t="s">
        <v>400</v>
      </c>
      <c r="F282" s="7" t="s">
        <v>401</v>
      </c>
      <c r="G282" s="7" t="s">
        <v>402</v>
      </c>
      <c r="H282" s="7">
        <v>47</v>
      </c>
      <c r="I282" s="7" t="s">
        <v>403</v>
      </c>
      <c r="J282" s="7" t="s">
        <v>404</v>
      </c>
    </row>
    <row r="283" spans="1:10" x14ac:dyDescent="0.3">
      <c r="A283" s="6" t="s">
        <v>498</v>
      </c>
      <c r="B283" s="7" t="s">
        <v>127</v>
      </c>
      <c r="C283" s="7" t="s">
        <v>128</v>
      </c>
      <c r="D283" s="7" t="s">
        <v>9</v>
      </c>
      <c r="E283" s="7" t="s">
        <v>499</v>
      </c>
      <c r="F283" s="7" t="s">
        <v>500</v>
      </c>
      <c r="G283" s="7" t="s">
        <v>501</v>
      </c>
      <c r="H283" s="7">
        <v>5</v>
      </c>
      <c r="I283" s="7" t="s">
        <v>403</v>
      </c>
      <c r="J283" s="7" t="s">
        <v>404</v>
      </c>
    </row>
    <row r="284" spans="1:10" x14ac:dyDescent="0.3">
      <c r="A284" s="6" t="s">
        <v>181</v>
      </c>
      <c r="B284" s="7" t="s">
        <v>127</v>
      </c>
      <c r="C284" s="7" t="s">
        <v>128</v>
      </c>
      <c r="D284" s="7" t="s">
        <v>9</v>
      </c>
      <c r="E284" s="7" t="s">
        <v>182</v>
      </c>
      <c r="F284" s="7" t="s">
        <v>183</v>
      </c>
      <c r="G284" s="7" t="s">
        <v>184</v>
      </c>
      <c r="H284" s="7">
        <v>16</v>
      </c>
      <c r="I284" s="7" t="s">
        <v>154</v>
      </c>
      <c r="J284" s="7" t="s">
        <v>185</v>
      </c>
    </row>
    <row r="285" spans="1:10" x14ac:dyDescent="0.3">
      <c r="A285" s="6" t="s">
        <v>186</v>
      </c>
      <c r="B285" s="7" t="s">
        <v>127</v>
      </c>
      <c r="C285" s="7" t="s">
        <v>128</v>
      </c>
      <c r="D285" s="7" t="s">
        <v>9</v>
      </c>
      <c r="E285" s="7" t="s">
        <v>182</v>
      </c>
      <c r="F285" s="7" t="s">
        <v>183</v>
      </c>
      <c r="G285" s="7" t="s">
        <v>187</v>
      </c>
      <c r="H285" s="7">
        <v>3</v>
      </c>
      <c r="I285" s="7" t="s">
        <v>188</v>
      </c>
      <c r="J285" s="7" t="s">
        <v>189</v>
      </c>
    </row>
    <row r="286" spans="1:10" x14ac:dyDescent="0.3">
      <c r="A286" s="6" t="s">
        <v>413</v>
      </c>
      <c r="B286" s="7" t="s">
        <v>127</v>
      </c>
      <c r="C286" s="7" t="s">
        <v>128</v>
      </c>
      <c r="D286" s="7" t="s">
        <v>9</v>
      </c>
      <c r="E286" s="7" t="s">
        <v>414</v>
      </c>
      <c r="F286" s="7" t="s">
        <v>415</v>
      </c>
      <c r="G286" s="7" t="s">
        <v>416</v>
      </c>
      <c r="H286" s="7">
        <v>64</v>
      </c>
      <c r="I286" s="7" t="s">
        <v>417</v>
      </c>
      <c r="J286" s="7" t="s">
        <v>418</v>
      </c>
    </row>
    <row r="287" spans="1:10" x14ac:dyDescent="0.3">
      <c r="A287" s="6" t="s">
        <v>144</v>
      </c>
      <c r="B287" s="7" t="s">
        <v>127</v>
      </c>
      <c r="C287" s="7" t="s">
        <v>128</v>
      </c>
      <c r="D287" s="7" t="s">
        <v>9</v>
      </c>
      <c r="E287" s="7" t="s">
        <v>145</v>
      </c>
      <c r="F287" s="7" t="s">
        <v>146</v>
      </c>
      <c r="G287" s="7" t="s">
        <v>147</v>
      </c>
      <c r="H287" s="7">
        <v>4</v>
      </c>
      <c r="I287" s="7" t="s">
        <v>148</v>
      </c>
      <c r="J287" s="7" t="s">
        <v>149</v>
      </c>
    </row>
    <row r="288" spans="1:10" x14ac:dyDescent="0.3">
      <c r="A288" s="6" t="s">
        <v>126</v>
      </c>
      <c r="B288" s="7" t="s">
        <v>127</v>
      </c>
      <c r="C288" s="7" t="s">
        <v>128</v>
      </c>
      <c r="D288" s="7" t="s">
        <v>9</v>
      </c>
      <c r="E288" s="7" t="s">
        <v>129</v>
      </c>
      <c r="F288" s="7"/>
      <c r="G288" s="7" t="s">
        <v>130</v>
      </c>
      <c r="H288" s="7">
        <v>1</v>
      </c>
      <c r="I288" s="7" t="s">
        <v>131</v>
      </c>
      <c r="J288" s="7" t="s">
        <v>132</v>
      </c>
    </row>
    <row r="289" spans="1:10" x14ac:dyDescent="0.3">
      <c r="A289" s="6" t="s">
        <v>150</v>
      </c>
      <c r="B289" s="7" t="s">
        <v>127</v>
      </c>
      <c r="C289" s="7" t="s">
        <v>128</v>
      </c>
      <c r="D289" s="7" t="s">
        <v>9</v>
      </c>
      <c r="E289" s="7" t="s">
        <v>151</v>
      </c>
      <c r="F289" s="7" t="s">
        <v>152</v>
      </c>
      <c r="G289" s="7" t="s">
        <v>153</v>
      </c>
      <c r="H289" s="7">
        <v>6</v>
      </c>
      <c r="I289" s="7" t="s">
        <v>154</v>
      </c>
      <c r="J289" s="7" t="s">
        <v>155</v>
      </c>
    </row>
    <row r="290" spans="1:10" x14ac:dyDescent="0.3">
      <c r="A290" s="6" t="s">
        <v>409</v>
      </c>
      <c r="B290" s="7" t="s">
        <v>127</v>
      </c>
      <c r="C290" s="7" t="s">
        <v>128</v>
      </c>
      <c r="D290" s="7" t="s">
        <v>9</v>
      </c>
      <c r="E290" s="7" t="s">
        <v>410</v>
      </c>
      <c r="F290" s="7" t="s">
        <v>411</v>
      </c>
      <c r="G290" s="7" t="s">
        <v>412</v>
      </c>
      <c r="H290" s="7">
        <v>9</v>
      </c>
      <c r="I290" s="7" t="s">
        <v>328</v>
      </c>
      <c r="J290" s="7" t="s">
        <v>166</v>
      </c>
    </row>
    <row r="291" spans="1:10" x14ac:dyDescent="0.3">
      <c r="A291" s="6" t="s">
        <v>252</v>
      </c>
      <c r="B291" s="7" t="s">
        <v>127</v>
      </c>
      <c r="C291" s="7" t="s">
        <v>128</v>
      </c>
      <c r="D291" s="7" t="s">
        <v>9</v>
      </c>
      <c r="E291" s="7" t="s">
        <v>253</v>
      </c>
      <c r="F291" s="7"/>
      <c r="G291" s="7" t="s">
        <v>254</v>
      </c>
      <c r="H291" s="7">
        <v>10</v>
      </c>
      <c r="I291" s="7" t="s">
        <v>255</v>
      </c>
      <c r="J291" s="7" t="s">
        <v>256</v>
      </c>
    </row>
    <row r="292" spans="1:10" x14ac:dyDescent="0.3">
      <c r="A292" s="6" t="s">
        <v>489</v>
      </c>
      <c r="B292" s="7" t="s">
        <v>127</v>
      </c>
      <c r="C292" s="7" t="s">
        <v>128</v>
      </c>
      <c r="D292" s="7" t="s">
        <v>9</v>
      </c>
      <c r="E292" s="7" t="s">
        <v>490</v>
      </c>
      <c r="F292" s="7"/>
      <c r="G292" s="7" t="s">
        <v>491</v>
      </c>
      <c r="H292" s="7">
        <v>1</v>
      </c>
      <c r="I292" s="7" t="s">
        <v>492</v>
      </c>
      <c r="J292" s="7" t="s">
        <v>280</v>
      </c>
    </row>
    <row r="293" spans="1:10" x14ac:dyDescent="0.3">
      <c r="A293" s="6" t="s">
        <v>574</v>
      </c>
      <c r="B293" s="7" t="s">
        <v>127</v>
      </c>
      <c r="C293" s="7" t="s">
        <v>128</v>
      </c>
      <c r="D293" s="7" t="s">
        <v>9</v>
      </c>
      <c r="E293" s="7" t="s">
        <v>575</v>
      </c>
      <c r="F293" s="7"/>
      <c r="G293" s="7" t="s">
        <v>576</v>
      </c>
      <c r="H293" s="7">
        <v>21</v>
      </c>
      <c r="I293" s="7" t="s">
        <v>577</v>
      </c>
      <c r="J293" s="7" t="s">
        <v>155</v>
      </c>
    </row>
    <row r="294" spans="1:10" x14ac:dyDescent="0.3">
      <c r="A294" s="6" t="s">
        <v>243</v>
      </c>
      <c r="B294" s="7" t="s">
        <v>127</v>
      </c>
      <c r="C294" s="7" t="s">
        <v>128</v>
      </c>
      <c r="D294" s="7" t="s">
        <v>9</v>
      </c>
      <c r="E294" s="7" t="s">
        <v>244</v>
      </c>
      <c r="F294" s="7"/>
      <c r="G294" s="7" t="s">
        <v>245</v>
      </c>
      <c r="H294" s="7">
        <v>2</v>
      </c>
      <c r="I294" s="7" t="s">
        <v>165</v>
      </c>
      <c r="J294" s="7" t="s">
        <v>246</v>
      </c>
    </row>
    <row r="295" spans="1:10" x14ac:dyDescent="0.3">
      <c r="A295" s="6" t="s">
        <v>474</v>
      </c>
      <c r="B295" s="7" t="s">
        <v>127</v>
      </c>
      <c r="C295" s="7" t="s">
        <v>128</v>
      </c>
      <c r="D295" s="7" t="s">
        <v>9</v>
      </c>
      <c r="E295" s="7" t="s">
        <v>475</v>
      </c>
      <c r="F295" s="7"/>
      <c r="G295" s="7" t="s">
        <v>476</v>
      </c>
      <c r="H295" s="7">
        <v>9</v>
      </c>
      <c r="I295" s="7" t="s">
        <v>477</v>
      </c>
      <c r="J295" s="7" t="s">
        <v>478</v>
      </c>
    </row>
    <row r="296" spans="1:10" x14ac:dyDescent="0.3">
      <c r="A296" s="6" t="s">
        <v>162</v>
      </c>
      <c r="B296" s="7" t="s">
        <v>127</v>
      </c>
      <c r="C296" s="7" t="s">
        <v>128</v>
      </c>
      <c r="D296" s="7" t="s">
        <v>9</v>
      </c>
      <c r="E296" s="7" t="s">
        <v>163</v>
      </c>
      <c r="F296" s="7"/>
      <c r="G296" s="7" t="s">
        <v>164</v>
      </c>
      <c r="H296" s="7">
        <v>89</v>
      </c>
      <c r="I296" s="7" t="s">
        <v>165</v>
      </c>
      <c r="J296" s="7" t="s">
        <v>166</v>
      </c>
    </row>
    <row r="297" spans="1:10" x14ac:dyDescent="0.3">
      <c r="A297" s="6" t="s">
        <v>445</v>
      </c>
      <c r="B297" s="7" t="s">
        <v>127</v>
      </c>
      <c r="C297" s="7" t="s">
        <v>128</v>
      </c>
      <c r="D297" s="7" t="s">
        <v>9</v>
      </c>
      <c r="E297" s="7" t="s">
        <v>446</v>
      </c>
      <c r="F297" s="7" t="s">
        <v>447</v>
      </c>
      <c r="G297" s="7" t="s">
        <v>448</v>
      </c>
      <c r="H297" s="7">
        <v>24</v>
      </c>
      <c r="I297" s="7" t="s">
        <v>407</v>
      </c>
      <c r="J297" s="7" t="s">
        <v>408</v>
      </c>
    </row>
    <row r="298" spans="1:10" x14ac:dyDescent="0.3">
      <c r="A298" s="6" t="s">
        <v>548</v>
      </c>
      <c r="B298" s="7" t="s">
        <v>127</v>
      </c>
      <c r="C298" s="7" t="s">
        <v>128</v>
      </c>
      <c r="D298" s="7" t="s">
        <v>9</v>
      </c>
      <c r="E298" s="7" t="s">
        <v>549</v>
      </c>
      <c r="F298" s="7" t="s">
        <v>550</v>
      </c>
      <c r="G298" s="7" t="s">
        <v>551</v>
      </c>
      <c r="H298" s="7">
        <v>4</v>
      </c>
      <c r="I298" s="7" t="s">
        <v>552</v>
      </c>
      <c r="J298" s="7" t="s">
        <v>553</v>
      </c>
    </row>
    <row r="299" spans="1:10" x14ac:dyDescent="0.3">
      <c r="A299" s="6" t="s">
        <v>372</v>
      </c>
      <c r="B299" s="7" t="s">
        <v>127</v>
      </c>
      <c r="C299" s="7" t="s">
        <v>128</v>
      </c>
      <c r="D299" s="7" t="s">
        <v>9</v>
      </c>
      <c r="E299" s="7" t="s">
        <v>373</v>
      </c>
      <c r="F299" s="7"/>
      <c r="G299" s="7" t="s">
        <v>374</v>
      </c>
      <c r="H299" s="7">
        <v>12</v>
      </c>
      <c r="I299" s="7" t="s">
        <v>99</v>
      </c>
      <c r="J299" s="7" t="s">
        <v>375</v>
      </c>
    </row>
    <row r="300" spans="1:10" x14ac:dyDescent="0.3">
      <c r="A300" s="6" t="s">
        <v>479</v>
      </c>
      <c r="B300" s="7" t="s">
        <v>127</v>
      </c>
      <c r="C300" s="7" t="s">
        <v>128</v>
      </c>
      <c r="D300" s="7" t="s">
        <v>9</v>
      </c>
      <c r="E300" s="7" t="s">
        <v>480</v>
      </c>
      <c r="F300" s="7"/>
      <c r="G300" s="7" t="s">
        <v>481</v>
      </c>
      <c r="H300" s="7">
        <v>19</v>
      </c>
      <c r="I300" s="7" t="s">
        <v>482</v>
      </c>
      <c r="J300" s="7" t="s">
        <v>483</v>
      </c>
    </row>
    <row r="301" spans="1:10" x14ac:dyDescent="0.3">
      <c r="A301" s="6" t="s">
        <v>585</v>
      </c>
      <c r="B301" s="7" t="s">
        <v>127</v>
      </c>
      <c r="C301" s="7" t="s">
        <v>128</v>
      </c>
      <c r="D301" s="7" t="s">
        <v>9</v>
      </c>
      <c r="E301" s="7" t="s">
        <v>586</v>
      </c>
      <c r="F301" s="7"/>
      <c r="G301" s="7" t="s">
        <v>587</v>
      </c>
      <c r="H301" s="7">
        <v>15</v>
      </c>
      <c r="I301" s="7" t="s">
        <v>69</v>
      </c>
      <c r="J301" s="7" t="s">
        <v>161</v>
      </c>
    </row>
    <row r="302" spans="1:10" x14ac:dyDescent="0.3">
      <c r="A302" s="6" t="s">
        <v>332</v>
      </c>
      <c r="B302" s="7" t="s">
        <v>127</v>
      </c>
      <c r="C302" s="7" t="s">
        <v>128</v>
      </c>
      <c r="D302" s="7" t="s">
        <v>9</v>
      </c>
      <c r="E302" s="7" t="s">
        <v>333</v>
      </c>
      <c r="F302" s="7" t="s">
        <v>334</v>
      </c>
      <c r="G302" s="7" t="s">
        <v>335</v>
      </c>
      <c r="H302" s="7">
        <v>13</v>
      </c>
      <c r="I302" s="7" t="s">
        <v>336</v>
      </c>
      <c r="J302" s="7" t="s">
        <v>161</v>
      </c>
    </row>
    <row r="303" spans="1:10" x14ac:dyDescent="0.3">
      <c r="A303" s="6" t="s">
        <v>272</v>
      </c>
      <c r="B303" s="7" t="s">
        <v>127</v>
      </c>
      <c r="C303" s="7" t="s">
        <v>128</v>
      </c>
      <c r="D303" s="7" t="s">
        <v>9</v>
      </c>
      <c r="E303" s="7" t="s">
        <v>273</v>
      </c>
      <c r="F303" s="7" t="s">
        <v>274</v>
      </c>
      <c r="G303" s="7" t="s">
        <v>275</v>
      </c>
      <c r="H303" s="7">
        <v>2</v>
      </c>
      <c r="I303" s="7" t="s">
        <v>99</v>
      </c>
      <c r="J303" s="7" t="s">
        <v>276</v>
      </c>
    </row>
    <row r="304" spans="1:10" x14ac:dyDescent="0.3">
      <c r="A304" s="6" t="s">
        <v>405</v>
      </c>
      <c r="B304" s="7" t="s">
        <v>127</v>
      </c>
      <c r="C304" s="7" t="s">
        <v>128</v>
      </c>
      <c r="D304" s="7" t="s">
        <v>9</v>
      </c>
      <c r="E304" s="7" t="s">
        <v>400</v>
      </c>
      <c r="F304" s="7" t="s">
        <v>401</v>
      </c>
      <c r="G304" s="7" t="s">
        <v>406</v>
      </c>
      <c r="H304" s="7">
        <v>35</v>
      </c>
      <c r="I304" s="7" t="s">
        <v>407</v>
      </c>
      <c r="J304" s="7" t="s">
        <v>408</v>
      </c>
    </row>
    <row r="305" spans="1:10" x14ac:dyDescent="0.3">
      <c r="A305" s="6" t="s">
        <v>337</v>
      </c>
      <c r="B305" s="7" t="s">
        <v>127</v>
      </c>
      <c r="C305" s="7" t="s">
        <v>128</v>
      </c>
      <c r="D305" s="7" t="s">
        <v>9</v>
      </c>
      <c r="E305" s="7" t="s">
        <v>333</v>
      </c>
      <c r="F305" s="7" t="s">
        <v>334</v>
      </c>
      <c r="G305" s="7" t="s">
        <v>338</v>
      </c>
      <c r="H305" s="7">
        <v>7</v>
      </c>
      <c r="I305" s="7" t="s">
        <v>339</v>
      </c>
      <c r="J305" s="7" t="s">
        <v>340</v>
      </c>
    </row>
    <row r="306" spans="1:10" x14ac:dyDescent="0.3">
      <c r="A306" s="6" t="s">
        <v>261</v>
      </c>
      <c r="B306" s="7" t="s">
        <v>127</v>
      </c>
      <c r="C306" s="7" t="s">
        <v>128</v>
      </c>
      <c r="D306" s="7" t="s">
        <v>9</v>
      </c>
      <c r="E306" s="7" t="s">
        <v>262</v>
      </c>
      <c r="F306" s="7" t="s">
        <v>263</v>
      </c>
      <c r="G306" s="7" t="s">
        <v>264</v>
      </c>
      <c r="H306" s="7">
        <v>6</v>
      </c>
      <c r="I306" s="7" t="s">
        <v>265</v>
      </c>
      <c r="J306" s="7" t="s">
        <v>266</v>
      </c>
    </row>
    <row r="307" spans="1:10" x14ac:dyDescent="0.3">
      <c r="A307" s="6" t="s">
        <v>156</v>
      </c>
      <c r="B307" s="7" t="s">
        <v>127</v>
      </c>
      <c r="C307" s="7" t="s">
        <v>128</v>
      </c>
      <c r="D307" s="7" t="s">
        <v>9</v>
      </c>
      <c r="E307" s="7" t="s">
        <v>157</v>
      </c>
      <c r="F307" s="7" t="s">
        <v>158</v>
      </c>
      <c r="G307" s="7" t="s">
        <v>159</v>
      </c>
      <c r="H307" s="7">
        <v>21</v>
      </c>
      <c r="I307" s="7" t="s">
        <v>160</v>
      </c>
      <c r="J307" s="7" t="s">
        <v>161</v>
      </c>
    </row>
    <row r="308" spans="1:10" x14ac:dyDescent="0.3">
      <c r="A308" s="6" t="s">
        <v>510</v>
      </c>
      <c r="B308" s="7" t="s">
        <v>127</v>
      </c>
      <c r="C308" s="7" t="s">
        <v>128</v>
      </c>
      <c r="D308" s="7" t="s">
        <v>9</v>
      </c>
      <c r="E308" s="7" t="s">
        <v>511</v>
      </c>
      <c r="F308" s="7"/>
      <c r="G308" s="7" t="s">
        <v>512</v>
      </c>
      <c r="H308" s="7">
        <v>4</v>
      </c>
      <c r="I308" s="7" t="s">
        <v>513</v>
      </c>
      <c r="J308" s="7" t="s">
        <v>424</v>
      </c>
    </row>
    <row r="309" spans="1:10" x14ac:dyDescent="0.3">
      <c r="A309" s="6" t="s">
        <v>368</v>
      </c>
      <c r="B309" s="7" t="s">
        <v>127</v>
      </c>
      <c r="C309" s="7" t="s">
        <v>128</v>
      </c>
      <c r="D309" s="7" t="s">
        <v>9</v>
      </c>
      <c r="E309" s="7" t="s">
        <v>363</v>
      </c>
      <c r="F309" s="7" t="s">
        <v>364</v>
      </c>
      <c r="G309" s="7" t="s">
        <v>369</v>
      </c>
      <c r="H309" s="7">
        <v>9</v>
      </c>
      <c r="I309" s="7" t="s">
        <v>370</v>
      </c>
      <c r="J309" s="7" t="s">
        <v>371</v>
      </c>
    </row>
    <row r="310" spans="1:10" x14ac:dyDescent="0.3">
      <c r="A310" s="6" t="s">
        <v>453</v>
      </c>
      <c r="B310" s="7" t="s">
        <v>127</v>
      </c>
      <c r="C310" s="7" t="s">
        <v>128</v>
      </c>
      <c r="D310" s="7" t="s">
        <v>9</v>
      </c>
      <c r="E310" s="7" t="s">
        <v>454</v>
      </c>
      <c r="F310" s="7" t="s">
        <v>455</v>
      </c>
      <c r="G310" s="7" t="s">
        <v>456</v>
      </c>
      <c r="H310" s="7">
        <v>7</v>
      </c>
      <c r="I310" s="7" t="s">
        <v>160</v>
      </c>
      <c r="J310" s="7" t="s">
        <v>457</v>
      </c>
    </row>
    <row r="311" spans="1:10" x14ac:dyDescent="0.3">
      <c r="A311" s="6" t="s">
        <v>493</v>
      </c>
      <c r="B311" s="7" t="s">
        <v>127</v>
      </c>
      <c r="C311" s="7" t="s">
        <v>128</v>
      </c>
      <c r="D311" s="7" t="s">
        <v>9</v>
      </c>
      <c r="E311" s="7" t="s">
        <v>494</v>
      </c>
      <c r="F311" s="7"/>
      <c r="G311" s="7" t="s">
        <v>495</v>
      </c>
      <c r="H311" s="7">
        <v>3</v>
      </c>
      <c r="I311" s="7" t="s">
        <v>496</v>
      </c>
      <c r="J311" s="7" t="s">
        <v>497</v>
      </c>
    </row>
    <row r="312" spans="1:10" x14ac:dyDescent="0.3">
      <c r="A312" s="6" t="s">
        <v>1719</v>
      </c>
      <c r="B312" s="7" t="s">
        <v>127</v>
      </c>
      <c r="C312" s="7" t="s">
        <v>128</v>
      </c>
      <c r="D312" s="7" t="s">
        <v>9</v>
      </c>
      <c r="E312" s="7" t="s">
        <v>1720</v>
      </c>
      <c r="F312" s="7" t="s">
        <v>1721</v>
      </c>
      <c r="G312" s="7" t="s">
        <v>1722</v>
      </c>
      <c r="H312" s="7">
        <v>15</v>
      </c>
      <c r="I312" s="7" t="s">
        <v>496</v>
      </c>
      <c r="J312" s="7" t="s">
        <v>189</v>
      </c>
    </row>
    <row r="313" spans="1:10" x14ac:dyDescent="0.3">
      <c r="A313" s="6" t="s">
        <v>341</v>
      </c>
      <c r="B313" s="7" t="s">
        <v>127</v>
      </c>
      <c r="C313" s="7" t="s">
        <v>128</v>
      </c>
      <c r="D313" s="7" t="s">
        <v>9</v>
      </c>
      <c r="E313" s="7" t="s">
        <v>333</v>
      </c>
      <c r="F313" s="7" t="s">
        <v>334</v>
      </c>
      <c r="G313" s="7" t="s">
        <v>342</v>
      </c>
      <c r="H313" s="7">
        <v>12</v>
      </c>
      <c r="I313" s="7" t="s">
        <v>343</v>
      </c>
      <c r="J313" s="7" t="s">
        <v>344</v>
      </c>
    </row>
    <row r="314" spans="1:10" x14ac:dyDescent="0.3">
      <c r="A314" s="6" t="s">
        <v>442</v>
      </c>
      <c r="B314" s="7" t="s">
        <v>127</v>
      </c>
      <c r="C314" s="7" t="s">
        <v>128</v>
      </c>
      <c r="D314" s="7" t="s">
        <v>9</v>
      </c>
      <c r="E314" s="7" t="s">
        <v>443</v>
      </c>
      <c r="F314" s="7"/>
      <c r="G314" s="7" t="s">
        <v>444</v>
      </c>
      <c r="H314" s="7">
        <v>17</v>
      </c>
      <c r="I314" s="7" t="s">
        <v>424</v>
      </c>
      <c r="J314" s="7" t="s">
        <v>143</v>
      </c>
    </row>
    <row r="315" spans="1:10" x14ac:dyDescent="0.3">
      <c r="A315" s="6" t="s">
        <v>200</v>
      </c>
      <c r="B315" s="7" t="s">
        <v>127</v>
      </c>
      <c r="C315" s="7" t="s">
        <v>128</v>
      </c>
      <c r="D315" s="7" t="s">
        <v>9</v>
      </c>
      <c r="E315" s="7" t="s">
        <v>201</v>
      </c>
      <c r="F315" s="7" t="s">
        <v>202</v>
      </c>
      <c r="G315" s="7" t="s">
        <v>203</v>
      </c>
      <c r="H315" s="7">
        <v>14</v>
      </c>
      <c r="I315" s="7" t="s">
        <v>204</v>
      </c>
      <c r="J315" s="7" t="s">
        <v>161</v>
      </c>
    </row>
    <row r="316" spans="1:10" x14ac:dyDescent="0.3">
      <c r="A316" s="6" t="s">
        <v>214</v>
      </c>
      <c r="B316" s="7" t="s">
        <v>127</v>
      </c>
      <c r="C316" s="7" t="s">
        <v>128</v>
      </c>
      <c r="D316" s="7" t="s">
        <v>9</v>
      </c>
      <c r="E316" s="7" t="s">
        <v>215</v>
      </c>
      <c r="F316" s="7" t="s">
        <v>216</v>
      </c>
      <c r="G316" s="7" t="s">
        <v>217</v>
      </c>
      <c r="H316" s="7">
        <v>24</v>
      </c>
      <c r="I316" s="7" t="s">
        <v>78</v>
      </c>
      <c r="J316" s="7" t="s">
        <v>199</v>
      </c>
    </row>
    <row r="317" spans="1:10" x14ac:dyDescent="0.3">
      <c r="A317" s="6" t="s">
        <v>559</v>
      </c>
      <c r="B317" s="7" t="s">
        <v>127</v>
      </c>
      <c r="C317" s="7" t="s">
        <v>128</v>
      </c>
      <c r="D317" s="7" t="s">
        <v>9</v>
      </c>
      <c r="E317" s="7" t="s">
        <v>560</v>
      </c>
      <c r="F317" s="7"/>
      <c r="G317" s="7" t="s">
        <v>561</v>
      </c>
      <c r="H317" s="7">
        <v>37</v>
      </c>
      <c r="I317" s="7" t="s">
        <v>562</v>
      </c>
      <c r="J317" s="7" t="s">
        <v>563</v>
      </c>
    </row>
    <row r="318" spans="1:10" x14ac:dyDescent="0.3">
      <c r="A318" s="6" t="s">
        <v>287</v>
      </c>
      <c r="B318" s="7" t="s">
        <v>127</v>
      </c>
      <c r="C318" s="7" t="s">
        <v>128</v>
      </c>
      <c r="D318" s="7" t="s">
        <v>9</v>
      </c>
      <c r="E318" s="7" t="s">
        <v>288</v>
      </c>
      <c r="F318" s="7"/>
      <c r="G318" s="7" t="s">
        <v>289</v>
      </c>
      <c r="H318" s="7">
        <v>20</v>
      </c>
      <c r="I318" s="7" t="s">
        <v>290</v>
      </c>
      <c r="J318" s="7" t="s">
        <v>189</v>
      </c>
    </row>
    <row r="319" spans="1:10" x14ac:dyDescent="0.3">
      <c r="A319" s="6" t="s">
        <v>1678</v>
      </c>
      <c r="B319" s="7" t="s">
        <v>127</v>
      </c>
      <c r="C319" s="7" t="s">
        <v>128</v>
      </c>
      <c r="D319" s="7" t="s">
        <v>9</v>
      </c>
      <c r="E319" s="7" t="s">
        <v>1679</v>
      </c>
      <c r="F319" s="7"/>
      <c r="G319" s="7" t="s">
        <v>1680</v>
      </c>
      <c r="H319" s="7">
        <v>3</v>
      </c>
      <c r="I319" s="7" t="s">
        <v>1684</v>
      </c>
      <c r="J319" s="7" t="s">
        <v>319</v>
      </c>
    </row>
    <row r="320" spans="1:10" x14ac:dyDescent="0.3">
      <c r="A320" s="6" t="s">
        <v>277</v>
      </c>
      <c r="B320" s="7" t="s">
        <v>127</v>
      </c>
      <c r="C320" s="7" t="s">
        <v>128</v>
      </c>
      <c r="D320" s="7" t="s">
        <v>9</v>
      </c>
      <c r="E320" s="7" t="s">
        <v>273</v>
      </c>
      <c r="F320" s="7" t="s">
        <v>274</v>
      </c>
      <c r="G320" s="7" t="s">
        <v>278</v>
      </c>
      <c r="H320" s="7">
        <v>6</v>
      </c>
      <c r="I320" s="7" t="s">
        <v>279</v>
      </c>
      <c r="J320" s="7" t="s">
        <v>280</v>
      </c>
    </row>
    <row r="321" spans="1:10" x14ac:dyDescent="0.3">
      <c r="A321" s="6" t="s">
        <v>538</v>
      </c>
      <c r="B321" s="7" t="s">
        <v>127</v>
      </c>
      <c r="C321" s="7" t="s">
        <v>128</v>
      </c>
      <c r="D321" s="7" t="s">
        <v>9</v>
      </c>
      <c r="E321" s="7" t="s">
        <v>539</v>
      </c>
      <c r="F321" s="7"/>
      <c r="G321" s="7" t="s">
        <v>540</v>
      </c>
      <c r="H321" s="7">
        <v>5</v>
      </c>
      <c r="I321" s="7" t="s">
        <v>541</v>
      </c>
      <c r="J321" s="7" t="s">
        <v>542</v>
      </c>
    </row>
    <row r="322" spans="1:10" x14ac:dyDescent="0.3">
      <c r="A322" s="6" t="s">
        <v>564</v>
      </c>
      <c r="B322" s="7" t="s">
        <v>127</v>
      </c>
      <c r="C322" s="7" t="s">
        <v>128</v>
      </c>
      <c r="D322" s="7" t="s">
        <v>9</v>
      </c>
      <c r="E322" s="7" t="s">
        <v>565</v>
      </c>
      <c r="F322" s="7" t="s">
        <v>566</v>
      </c>
      <c r="G322" s="7" t="s">
        <v>567</v>
      </c>
      <c r="H322" s="7">
        <v>8</v>
      </c>
      <c r="I322" s="7" t="s">
        <v>568</v>
      </c>
      <c r="J322" s="7" t="s">
        <v>478</v>
      </c>
    </row>
    <row r="323" spans="1:10" x14ac:dyDescent="0.3">
      <c r="A323" s="6" t="s">
        <v>315</v>
      </c>
      <c r="B323" s="7" t="s">
        <v>127</v>
      </c>
      <c r="C323" s="7" t="s">
        <v>128</v>
      </c>
      <c r="D323" s="7" t="s">
        <v>9</v>
      </c>
      <c r="E323" s="7" t="s">
        <v>316</v>
      </c>
      <c r="F323" s="7"/>
      <c r="G323" s="7" t="s">
        <v>317</v>
      </c>
      <c r="H323" s="7">
        <v>12</v>
      </c>
      <c r="I323" s="7" t="s">
        <v>318</v>
      </c>
      <c r="J323" s="7" t="s">
        <v>319</v>
      </c>
    </row>
    <row r="324" spans="1:10" x14ac:dyDescent="0.3">
      <c r="A324" s="6" t="s">
        <v>484</v>
      </c>
      <c r="B324" s="7" t="s">
        <v>127</v>
      </c>
      <c r="C324" s="7" t="s">
        <v>128</v>
      </c>
      <c r="D324" s="7" t="s">
        <v>9</v>
      </c>
      <c r="E324" s="7" t="s">
        <v>485</v>
      </c>
      <c r="F324" s="7"/>
      <c r="G324" s="7" t="s">
        <v>486</v>
      </c>
      <c r="H324" s="7">
        <v>60</v>
      </c>
      <c r="I324" s="7" t="s">
        <v>487</v>
      </c>
      <c r="J324" s="7" t="s">
        <v>488</v>
      </c>
    </row>
    <row r="325" spans="1:10" x14ac:dyDescent="0.3">
      <c r="A325" s="6" t="s">
        <v>1671</v>
      </c>
      <c r="B325" s="7" t="s">
        <v>127</v>
      </c>
      <c r="C325" s="7" t="s">
        <v>128</v>
      </c>
      <c r="D325" s="7" t="s">
        <v>9</v>
      </c>
      <c r="E325" s="7" t="s">
        <v>1672</v>
      </c>
      <c r="F325" s="7"/>
      <c r="G325" s="7" t="s">
        <v>1673</v>
      </c>
      <c r="H325" s="7">
        <v>4</v>
      </c>
      <c r="I325" s="7" t="s">
        <v>1630</v>
      </c>
      <c r="J325" s="7" t="s">
        <v>138</v>
      </c>
    </row>
    <row r="326" spans="1:10" x14ac:dyDescent="0.3">
      <c r="A326" s="6" t="s">
        <v>210</v>
      </c>
      <c r="B326" s="7" t="s">
        <v>127</v>
      </c>
      <c r="C326" s="7" t="s">
        <v>128</v>
      </c>
      <c r="D326" s="7" t="s">
        <v>9</v>
      </c>
      <c r="E326" s="7" t="s">
        <v>211</v>
      </c>
      <c r="F326" s="7" t="s">
        <v>212</v>
      </c>
      <c r="G326" s="7" t="s">
        <v>213</v>
      </c>
      <c r="H326" s="7">
        <v>11</v>
      </c>
      <c r="I326" s="7" t="s">
        <v>165</v>
      </c>
      <c r="J326" s="7" t="s">
        <v>143</v>
      </c>
    </row>
    <row r="327" spans="1:10" x14ac:dyDescent="0.3">
      <c r="A327" s="6" t="s">
        <v>345</v>
      </c>
      <c r="B327" s="7" t="s">
        <v>127</v>
      </c>
      <c r="C327" s="7" t="s">
        <v>128</v>
      </c>
      <c r="D327" s="7" t="s">
        <v>9</v>
      </c>
      <c r="E327" s="7" t="s">
        <v>333</v>
      </c>
      <c r="F327" s="7" t="s">
        <v>334</v>
      </c>
      <c r="G327" s="7" t="s">
        <v>346</v>
      </c>
      <c r="H327" s="7">
        <v>11</v>
      </c>
      <c r="I327" s="7" t="s">
        <v>347</v>
      </c>
      <c r="J327" s="7" t="s">
        <v>348</v>
      </c>
    </row>
    <row r="328" spans="1:10" x14ac:dyDescent="0.3">
      <c r="A328" s="6" t="s">
        <v>349</v>
      </c>
      <c r="B328" s="7" t="s">
        <v>127</v>
      </c>
      <c r="C328" s="7" t="s">
        <v>128</v>
      </c>
      <c r="D328" s="7" t="s">
        <v>9</v>
      </c>
      <c r="E328" s="7" t="s">
        <v>333</v>
      </c>
      <c r="F328" s="7" t="s">
        <v>334</v>
      </c>
      <c r="G328" s="7" t="s">
        <v>350</v>
      </c>
      <c r="H328" s="7">
        <v>9</v>
      </c>
      <c r="I328" s="7" t="s">
        <v>154</v>
      </c>
      <c r="J328" s="7" t="s">
        <v>189</v>
      </c>
    </row>
    <row r="329" spans="1:10" x14ac:dyDescent="0.3">
      <c r="A329" s="6" t="s">
        <v>133</v>
      </c>
      <c r="B329" s="7" t="s">
        <v>127</v>
      </c>
      <c r="C329" s="7" t="s">
        <v>128</v>
      </c>
      <c r="D329" s="7" t="s">
        <v>9</v>
      </c>
      <c r="E329" s="7" t="s">
        <v>134</v>
      </c>
      <c r="F329" s="7" t="s">
        <v>135</v>
      </c>
      <c r="G329" s="7" t="s">
        <v>136</v>
      </c>
      <c r="H329" s="7">
        <v>3</v>
      </c>
      <c r="I329" s="7" t="s">
        <v>137</v>
      </c>
      <c r="J329" s="7" t="s">
        <v>138</v>
      </c>
    </row>
    <row r="330" spans="1:10" x14ac:dyDescent="0.3">
      <c r="A330" s="6" t="s">
        <v>172</v>
      </c>
      <c r="B330" s="7" t="s">
        <v>127</v>
      </c>
      <c r="C330" s="7" t="s">
        <v>128</v>
      </c>
      <c r="D330" s="7" t="s">
        <v>9</v>
      </c>
      <c r="E330" s="7" t="s">
        <v>173</v>
      </c>
      <c r="F330" s="7" t="s">
        <v>174</v>
      </c>
      <c r="G330" s="7" t="s">
        <v>175</v>
      </c>
      <c r="H330" s="7">
        <v>77</v>
      </c>
      <c r="I330" s="7" t="s">
        <v>176</v>
      </c>
      <c r="J330" s="7" t="s">
        <v>161</v>
      </c>
    </row>
    <row r="331" spans="1:10" x14ac:dyDescent="0.3">
      <c r="A331" s="6" t="s">
        <v>425</v>
      </c>
      <c r="B331" s="7" t="s">
        <v>127</v>
      </c>
      <c r="C331" s="7" t="s">
        <v>128</v>
      </c>
      <c r="D331" s="7" t="s">
        <v>9</v>
      </c>
      <c r="E331" s="7" t="s">
        <v>426</v>
      </c>
      <c r="F331" s="7"/>
      <c r="G331" s="7" t="s">
        <v>427</v>
      </c>
      <c r="H331" s="7">
        <v>16</v>
      </c>
      <c r="I331" s="7" t="s">
        <v>148</v>
      </c>
      <c r="J331" s="7" t="s">
        <v>149</v>
      </c>
    </row>
    <row r="332" spans="1:10" x14ac:dyDescent="0.3">
      <c r="A332" s="6" t="s">
        <v>449</v>
      </c>
      <c r="B332" s="7" t="s">
        <v>127</v>
      </c>
      <c r="C332" s="7" t="s">
        <v>128</v>
      </c>
      <c r="D332" s="7" t="s">
        <v>9</v>
      </c>
      <c r="E332" s="7" t="s">
        <v>450</v>
      </c>
      <c r="F332" s="7"/>
      <c r="G332" s="7" t="s">
        <v>451</v>
      </c>
      <c r="H332" s="7">
        <v>3</v>
      </c>
      <c r="I332" s="7" t="s">
        <v>452</v>
      </c>
      <c r="J332" s="7" t="s">
        <v>314</v>
      </c>
    </row>
    <row r="333" spans="1:10" x14ac:dyDescent="0.3">
      <c r="A333" s="6" t="s">
        <v>376</v>
      </c>
      <c r="B333" s="7" t="s">
        <v>127</v>
      </c>
      <c r="C333" s="7" t="s">
        <v>128</v>
      </c>
      <c r="D333" s="7" t="s">
        <v>9</v>
      </c>
      <c r="E333" s="7" t="s">
        <v>81</v>
      </c>
      <c r="F333" s="7" t="s">
        <v>377</v>
      </c>
      <c r="G333" s="7" t="s">
        <v>378</v>
      </c>
      <c r="H333" s="7">
        <v>14</v>
      </c>
      <c r="I333" s="7" t="s">
        <v>379</v>
      </c>
      <c r="J333" s="7" t="s">
        <v>380</v>
      </c>
    </row>
    <row r="334" spans="1:10" x14ac:dyDescent="0.3">
      <c r="A334" s="6" t="s">
        <v>329</v>
      </c>
      <c r="B334" s="7" t="s">
        <v>127</v>
      </c>
      <c r="C334" s="7" t="s">
        <v>128</v>
      </c>
      <c r="D334" s="7" t="s">
        <v>9</v>
      </c>
      <c r="E334" s="7" t="s">
        <v>330</v>
      </c>
      <c r="F334" s="7"/>
      <c r="G334" s="7" t="s">
        <v>331</v>
      </c>
      <c r="H334" s="7">
        <v>4</v>
      </c>
      <c r="I334" s="7" t="s">
        <v>270</v>
      </c>
      <c r="J334" s="7" t="s">
        <v>319</v>
      </c>
    </row>
    <row r="335" spans="1:10" x14ac:dyDescent="0.3">
      <c r="A335" s="6" t="s">
        <v>390</v>
      </c>
      <c r="B335" s="7" t="s">
        <v>127</v>
      </c>
      <c r="C335" s="7" t="s">
        <v>128</v>
      </c>
      <c r="D335" s="7" t="s">
        <v>9</v>
      </c>
      <c r="E335" s="7" t="s">
        <v>391</v>
      </c>
      <c r="F335" s="7" t="s">
        <v>392</v>
      </c>
      <c r="G335" s="7" t="s">
        <v>393</v>
      </c>
      <c r="H335" s="7">
        <v>2</v>
      </c>
      <c r="I335" s="7" t="s">
        <v>394</v>
      </c>
      <c r="J335" s="7" t="s">
        <v>189</v>
      </c>
    </row>
    <row r="336" spans="1:10" x14ac:dyDescent="0.3">
      <c r="A336" s="6" t="s">
        <v>468</v>
      </c>
      <c r="B336" s="7" t="s">
        <v>127</v>
      </c>
      <c r="C336" s="7" t="s">
        <v>128</v>
      </c>
      <c r="D336" s="7" t="s">
        <v>9</v>
      </c>
      <c r="E336" s="7" t="s">
        <v>469</v>
      </c>
      <c r="F336" s="7" t="s">
        <v>470</v>
      </c>
      <c r="G336" s="7" t="s">
        <v>471</v>
      </c>
      <c r="H336" s="7">
        <v>26</v>
      </c>
      <c r="I336" s="7" t="s">
        <v>472</v>
      </c>
      <c r="J336" s="7" t="s">
        <v>473</v>
      </c>
    </row>
    <row r="337" spans="1:10" x14ac:dyDescent="0.3">
      <c r="A337" s="6" t="s">
        <v>198</v>
      </c>
      <c r="B337" s="7" t="s">
        <v>127</v>
      </c>
      <c r="C337" s="7" t="s">
        <v>128</v>
      </c>
      <c r="D337" s="7" t="s">
        <v>9</v>
      </c>
      <c r="E337" s="7" t="s">
        <v>105</v>
      </c>
      <c r="F337" s="7" t="s">
        <v>194</v>
      </c>
      <c r="G337" s="7" t="s">
        <v>104</v>
      </c>
      <c r="H337" s="7">
        <v>50</v>
      </c>
      <c r="I337" s="7" t="s">
        <v>78</v>
      </c>
      <c r="J337" s="7" t="s">
        <v>199</v>
      </c>
    </row>
    <row r="338" spans="1:10" x14ac:dyDescent="0.3">
      <c r="A338" s="6" t="s">
        <v>2530</v>
      </c>
      <c r="B338" s="7" t="s">
        <v>127</v>
      </c>
      <c r="C338" s="7" t="s">
        <v>128</v>
      </c>
      <c r="D338" s="7" t="s">
        <v>9</v>
      </c>
      <c r="E338" s="7" t="s">
        <v>105</v>
      </c>
      <c r="F338" s="7" t="s">
        <v>2531</v>
      </c>
      <c r="G338" s="7" t="s">
        <v>104</v>
      </c>
      <c r="H338" s="7">
        <v>2</v>
      </c>
      <c r="I338" s="7" t="s">
        <v>2532</v>
      </c>
      <c r="J338" s="7" t="s">
        <v>199</v>
      </c>
    </row>
    <row r="339" spans="1:10" x14ac:dyDescent="0.3">
      <c r="A339" s="6" t="s">
        <v>1730</v>
      </c>
      <c r="B339" s="7" t="s">
        <v>127</v>
      </c>
      <c r="C339" s="7" t="s">
        <v>128</v>
      </c>
      <c r="D339" s="7" t="s">
        <v>9</v>
      </c>
      <c r="E339" s="7" t="s">
        <v>1731</v>
      </c>
      <c r="F339" s="7" t="s">
        <v>1204</v>
      </c>
      <c r="G339" s="7" t="s">
        <v>1732</v>
      </c>
      <c r="H339" s="7">
        <v>3</v>
      </c>
      <c r="I339" s="7" t="s">
        <v>1736</v>
      </c>
      <c r="J339" s="7" t="s">
        <v>189</v>
      </c>
    </row>
    <row r="340" spans="1:10" x14ac:dyDescent="0.3">
      <c r="A340" s="6" t="s">
        <v>463</v>
      </c>
      <c r="B340" s="7" t="s">
        <v>127</v>
      </c>
      <c r="C340" s="7" t="s">
        <v>128</v>
      </c>
      <c r="D340" s="7" t="s">
        <v>9</v>
      </c>
      <c r="E340" s="7" t="s">
        <v>464</v>
      </c>
      <c r="F340" s="7"/>
      <c r="G340" s="7" t="s">
        <v>465</v>
      </c>
      <c r="H340" s="7">
        <v>2</v>
      </c>
      <c r="I340" s="7" t="s">
        <v>466</v>
      </c>
      <c r="J340" s="7" t="s">
        <v>467</v>
      </c>
    </row>
    <row r="341" spans="1:10" x14ac:dyDescent="0.3">
      <c r="A341" s="6" t="s">
        <v>240</v>
      </c>
      <c r="B341" s="7" t="s">
        <v>127</v>
      </c>
      <c r="C341" s="7" t="s">
        <v>128</v>
      </c>
      <c r="D341" s="7" t="s">
        <v>9</v>
      </c>
      <c r="E341" s="7" t="s">
        <v>235</v>
      </c>
      <c r="F341" s="7" t="s">
        <v>236</v>
      </c>
      <c r="G341" s="7" t="s">
        <v>241</v>
      </c>
      <c r="H341" s="7">
        <v>15</v>
      </c>
      <c r="I341" s="7" t="s">
        <v>154</v>
      </c>
      <c r="J341" s="7" t="s">
        <v>242</v>
      </c>
    </row>
    <row r="342" spans="1:10" x14ac:dyDescent="0.3">
      <c r="A342" s="6" t="s">
        <v>351</v>
      </c>
      <c r="B342" s="7" t="s">
        <v>127</v>
      </c>
      <c r="C342" s="7" t="s">
        <v>128</v>
      </c>
      <c r="D342" s="7" t="s">
        <v>9</v>
      </c>
      <c r="E342" s="7" t="s">
        <v>333</v>
      </c>
      <c r="F342" s="7" t="s">
        <v>334</v>
      </c>
      <c r="G342" s="7" t="s">
        <v>352</v>
      </c>
      <c r="H342" s="7">
        <v>36</v>
      </c>
      <c r="I342" s="7" t="s">
        <v>270</v>
      </c>
      <c r="J342" s="7" t="s">
        <v>319</v>
      </c>
    </row>
    <row r="343" spans="1:10" x14ac:dyDescent="0.3">
      <c r="A343" s="6" t="s">
        <v>439</v>
      </c>
      <c r="B343" s="7" t="s">
        <v>127</v>
      </c>
      <c r="C343" s="7" t="s">
        <v>128</v>
      </c>
      <c r="D343" s="7" t="s">
        <v>9</v>
      </c>
      <c r="E343" s="7" t="s">
        <v>440</v>
      </c>
      <c r="F343" s="7"/>
      <c r="G343" s="7" t="s">
        <v>441</v>
      </c>
      <c r="H343" s="7">
        <v>3</v>
      </c>
      <c r="I343" s="7" t="s">
        <v>328</v>
      </c>
      <c r="J343" s="7" t="s">
        <v>166</v>
      </c>
    </row>
    <row r="344" spans="1:10" x14ac:dyDescent="0.3">
      <c r="A344" s="6" t="s">
        <v>320</v>
      </c>
      <c r="B344" s="7" t="s">
        <v>127</v>
      </c>
      <c r="C344" s="7" t="s">
        <v>128</v>
      </c>
      <c r="D344" s="7" t="s">
        <v>9</v>
      </c>
      <c r="E344" s="7" t="s">
        <v>321</v>
      </c>
      <c r="F344" s="7" t="s">
        <v>322</v>
      </c>
      <c r="G344" s="7" t="s">
        <v>323</v>
      </c>
      <c r="H344" s="7">
        <v>2</v>
      </c>
      <c r="I344" s="7" t="s">
        <v>324</v>
      </c>
      <c r="J344" s="7" t="s">
        <v>189</v>
      </c>
    </row>
    <row r="345" spans="1:10" x14ac:dyDescent="0.3">
      <c r="A345" s="6" t="s">
        <v>177</v>
      </c>
      <c r="B345" s="7" t="s">
        <v>127</v>
      </c>
      <c r="C345" s="7" t="s">
        <v>128</v>
      </c>
      <c r="D345" s="7" t="s">
        <v>9</v>
      </c>
      <c r="E345" s="7" t="s">
        <v>173</v>
      </c>
      <c r="F345" s="7" t="s">
        <v>174</v>
      </c>
      <c r="G345" s="7" t="s">
        <v>178</v>
      </c>
      <c r="H345" s="7">
        <v>11</v>
      </c>
      <c r="I345" s="7" t="s">
        <v>179</v>
      </c>
      <c r="J345" s="7" t="s">
        <v>180</v>
      </c>
    </row>
    <row r="346" spans="1:10" x14ac:dyDescent="0.3">
      <c r="A346" s="6" t="s">
        <v>1737</v>
      </c>
      <c r="B346" s="7" t="s">
        <v>127</v>
      </c>
      <c r="C346" s="7" t="s">
        <v>128</v>
      </c>
      <c r="D346" s="7" t="s">
        <v>9</v>
      </c>
      <c r="E346" s="7" t="s">
        <v>1738</v>
      </c>
      <c r="F346" s="7" t="s">
        <v>1739</v>
      </c>
      <c r="G346" s="7" t="s">
        <v>1740</v>
      </c>
      <c r="H346" s="7">
        <v>2</v>
      </c>
      <c r="I346" s="7" t="s">
        <v>423</v>
      </c>
      <c r="J346" s="7" t="s">
        <v>736</v>
      </c>
    </row>
    <row r="347" spans="1:10" x14ac:dyDescent="0.3">
      <c r="A347" s="6" t="s">
        <v>434</v>
      </c>
      <c r="B347" s="7" t="s">
        <v>127</v>
      </c>
      <c r="C347" s="7" t="s">
        <v>128</v>
      </c>
      <c r="D347" s="7" t="s">
        <v>9</v>
      </c>
      <c r="E347" s="7" t="s">
        <v>435</v>
      </c>
      <c r="F347" s="7"/>
      <c r="G347" s="7" t="s">
        <v>436</v>
      </c>
      <c r="H347" s="7">
        <v>45</v>
      </c>
      <c r="I347" s="7" t="s">
        <v>437</v>
      </c>
      <c r="J347" s="7" t="s">
        <v>438</v>
      </c>
    </row>
    <row r="348" spans="1:10" x14ac:dyDescent="0.3">
      <c r="A348" s="6" t="s">
        <v>1759</v>
      </c>
      <c r="B348" s="7" t="s">
        <v>127</v>
      </c>
      <c r="C348" s="7" t="s">
        <v>128</v>
      </c>
      <c r="D348" s="7" t="s">
        <v>9</v>
      </c>
      <c r="E348" s="7" t="s">
        <v>1760</v>
      </c>
      <c r="F348" s="7" t="s">
        <v>1761</v>
      </c>
      <c r="G348" s="7" t="s">
        <v>1762</v>
      </c>
      <c r="H348" s="7">
        <v>6</v>
      </c>
      <c r="I348" s="7" t="s">
        <v>111</v>
      </c>
      <c r="J348" s="7" t="s">
        <v>487</v>
      </c>
    </row>
    <row r="349" spans="1:10" x14ac:dyDescent="0.3">
      <c r="A349" s="6" t="s">
        <v>281</v>
      </c>
      <c r="B349" s="7" t="s">
        <v>127</v>
      </c>
      <c r="C349" s="7" t="s">
        <v>128</v>
      </c>
      <c r="D349" s="7" t="s">
        <v>9</v>
      </c>
      <c r="E349" s="7" t="s">
        <v>282</v>
      </c>
      <c r="F349" s="7" t="s">
        <v>283</v>
      </c>
      <c r="G349" s="7" t="s">
        <v>284</v>
      </c>
      <c r="H349" s="7">
        <v>5</v>
      </c>
      <c r="I349" s="7" t="s">
        <v>285</v>
      </c>
      <c r="J349" s="7" t="s">
        <v>286</v>
      </c>
    </row>
    <row r="350" spans="1:10" x14ac:dyDescent="0.3">
      <c r="A350" s="6" t="s">
        <v>353</v>
      </c>
      <c r="B350" s="7" t="s">
        <v>127</v>
      </c>
      <c r="C350" s="7" t="s">
        <v>128</v>
      </c>
      <c r="D350" s="7" t="s">
        <v>9</v>
      </c>
      <c r="E350" s="7" t="s">
        <v>333</v>
      </c>
      <c r="F350" s="7" t="s">
        <v>334</v>
      </c>
      <c r="G350" s="7" t="s">
        <v>354</v>
      </c>
      <c r="H350" s="7">
        <v>10</v>
      </c>
      <c r="I350" s="7" t="s">
        <v>355</v>
      </c>
      <c r="J350" s="7" t="s">
        <v>356</v>
      </c>
    </row>
    <row r="351" spans="1:10" x14ac:dyDescent="0.3">
      <c r="A351" s="6" t="s">
        <v>502</v>
      </c>
      <c r="B351" s="7" t="s">
        <v>127</v>
      </c>
      <c r="C351" s="7" t="s">
        <v>128</v>
      </c>
      <c r="D351" s="7" t="s">
        <v>9</v>
      </c>
      <c r="E351" s="7" t="s">
        <v>499</v>
      </c>
      <c r="F351" s="7" t="s">
        <v>500</v>
      </c>
      <c r="G351" s="7" t="s">
        <v>503</v>
      </c>
      <c r="H351" s="7">
        <v>4</v>
      </c>
      <c r="I351" s="7" t="s">
        <v>504</v>
      </c>
      <c r="J351" s="7" t="s">
        <v>505</v>
      </c>
    </row>
    <row r="352" spans="1:10" x14ac:dyDescent="0.3">
      <c r="A352" s="6" t="s">
        <v>190</v>
      </c>
      <c r="B352" s="7" t="s">
        <v>127</v>
      </c>
      <c r="C352" s="7" t="s">
        <v>128</v>
      </c>
      <c r="D352" s="7" t="s">
        <v>9</v>
      </c>
      <c r="E352" s="7" t="s">
        <v>182</v>
      </c>
      <c r="F352" s="7" t="s">
        <v>183</v>
      </c>
      <c r="G352" s="7" t="s">
        <v>191</v>
      </c>
      <c r="H352" s="7">
        <v>21</v>
      </c>
      <c r="I352" s="7" t="s">
        <v>131</v>
      </c>
      <c r="J352" s="7" t="s">
        <v>192</v>
      </c>
    </row>
    <row r="353" spans="1:10" x14ac:dyDescent="0.3">
      <c r="A353" s="6" t="s">
        <v>506</v>
      </c>
      <c r="B353" s="7" t="s">
        <v>127</v>
      </c>
      <c r="C353" s="7" t="s">
        <v>128</v>
      </c>
      <c r="D353" s="7" t="s">
        <v>9</v>
      </c>
      <c r="E353" s="7" t="s">
        <v>499</v>
      </c>
      <c r="F353" s="7" t="s">
        <v>500</v>
      </c>
      <c r="G353" s="7" t="s">
        <v>507</v>
      </c>
      <c r="H353" s="7">
        <v>11</v>
      </c>
      <c r="I353" s="7" t="s">
        <v>508</v>
      </c>
      <c r="J353" s="7" t="s">
        <v>509</v>
      </c>
    </row>
    <row r="354" spans="1:10" x14ac:dyDescent="0.3">
      <c r="A354" s="6" t="s">
        <v>1754</v>
      </c>
      <c r="B354" s="7" t="s">
        <v>127</v>
      </c>
      <c r="C354" s="7" t="s">
        <v>128</v>
      </c>
      <c r="D354" s="7" t="s">
        <v>9</v>
      </c>
      <c r="E354" s="7" t="s">
        <v>1755</v>
      </c>
      <c r="F354" s="7"/>
      <c r="G354" s="7" t="s">
        <v>1756</v>
      </c>
      <c r="H354" s="7">
        <v>5</v>
      </c>
      <c r="I354" s="7" t="s">
        <v>1758</v>
      </c>
      <c r="J354" s="7" t="s">
        <v>542</v>
      </c>
    </row>
    <row r="355" spans="1:10" x14ac:dyDescent="0.3">
      <c r="A355" s="6" t="s">
        <v>533</v>
      </c>
      <c r="B355" s="7" t="s">
        <v>127</v>
      </c>
      <c r="C355" s="7" t="s">
        <v>128</v>
      </c>
      <c r="D355" s="7" t="s">
        <v>9</v>
      </c>
      <c r="E355" s="7" t="s">
        <v>534</v>
      </c>
      <c r="F355" s="7" t="s">
        <v>535</v>
      </c>
      <c r="G355" s="7" t="s">
        <v>536</v>
      </c>
      <c r="H355" s="7">
        <v>5</v>
      </c>
      <c r="I355" s="7" t="s">
        <v>99</v>
      </c>
      <c r="J355" s="7" t="s">
        <v>537</v>
      </c>
    </row>
    <row r="356" spans="1:10" x14ac:dyDescent="0.3">
      <c r="A356" s="6" t="s">
        <v>257</v>
      </c>
      <c r="B356" s="7" t="s">
        <v>127</v>
      </c>
      <c r="C356" s="7" t="s">
        <v>128</v>
      </c>
      <c r="D356" s="7" t="s">
        <v>9</v>
      </c>
      <c r="E356" s="7" t="s">
        <v>253</v>
      </c>
      <c r="F356" s="7"/>
      <c r="G356" s="7" t="s">
        <v>258</v>
      </c>
      <c r="H356" s="7">
        <v>25</v>
      </c>
      <c r="I356" s="7" t="s">
        <v>259</v>
      </c>
      <c r="J356" s="7" t="s">
        <v>260</v>
      </c>
    </row>
    <row r="357" spans="1:10" x14ac:dyDescent="0.3">
      <c r="A357" s="6" t="s">
        <v>1694</v>
      </c>
      <c r="B357" s="7" t="s">
        <v>127</v>
      </c>
      <c r="C357" s="7" t="s">
        <v>128</v>
      </c>
      <c r="D357" s="7" t="s">
        <v>9</v>
      </c>
      <c r="E357" s="7" t="s">
        <v>1695</v>
      </c>
      <c r="F357" s="7" t="s">
        <v>1696</v>
      </c>
      <c r="G357" s="7" t="s">
        <v>1697</v>
      </c>
      <c r="H357" s="7">
        <v>3</v>
      </c>
      <c r="I357" s="7" t="s">
        <v>82</v>
      </c>
      <c r="J357" s="7" t="s">
        <v>189</v>
      </c>
    </row>
    <row r="358" spans="1:10" x14ac:dyDescent="0.3">
      <c r="A358" s="6" t="s">
        <v>524</v>
      </c>
      <c r="B358" s="7" t="s">
        <v>127</v>
      </c>
      <c r="C358" s="7" t="s">
        <v>128</v>
      </c>
      <c r="D358" s="7" t="s">
        <v>9</v>
      </c>
      <c r="E358" s="7" t="s">
        <v>525</v>
      </c>
      <c r="F358" s="7"/>
      <c r="G358" s="7" t="s">
        <v>526</v>
      </c>
      <c r="H358" s="7">
        <v>3</v>
      </c>
      <c r="I358" s="7" t="s">
        <v>527</v>
      </c>
      <c r="J358" s="7" t="s">
        <v>528</v>
      </c>
    </row>
    <row r="359" spans="1:10" x14ac:dyDescent="0.3">
      <c r="A359" s="6" t="s">
        <v>1700</v>
      </c>
      <c r="B359" s="7" t="s">
        <v>127</v>
      </c>
      <c r="C359" s="7" t="s">
        <v>128</v>
      </c>
      <c r="D359" s="7" t="s">
        <v>9</v>
      </c>
      <c r="E359" s="7" t="s">
        <v>1701</v>
      </c>
      <c r="F359" s="7" t="s">
        <v>1702</v>
      </c>
      <c r="G359" s="7" t="s">
        <v>1703</v>
      </c>
      <c r="H359" s="7">
        <v>3</v>
      </c>
      <c r="I359" s="7" t="s">
        <v>1707</v>
      </c>
      <c r="J359" s="7" t="s">
        <v>505</v>
      </c>
    </row>
    <row r="360" spans="1:10" x14ac:dyDescent="0.3">
      <c r="A360" s="6" t="s">
        <v>2341</v>
      </c>
      <c r="B360" s="7" t="s">
        <v>127</v>
      </c>
      <c r="C360" s="7" t="s">
        <v>589</v>
      </c>
      <c r="D360" s="7" t="s">
        <v>26</v>
      </c>
      <c r="E360" s="7" t="s">
        <v>2342</v>
      </c>
      <c r="F360" s="7" t="s">
        <v>516</v>
      </c>
      <c r="G360" s="7" t="s">
        <v>2343</v>
      </c>
      <c r="H360" s="7">
        <v>21</v>
      </c>
      <c r="I360" s="7" t="s">
        <v>111</v>
      </c>
      <c r="J360" s="7" t="s">
        <v>1218</v>
      </c>
    </row>
    <row r="361" spans="1:10" x14ac:dyDescent="0.3">
      <c r="A361" s="6" t="s">
        <v>2219</v>
      </c>
      <c r="B361" s="7" t="s">
        <v>127</v>
      </c>
      <c r="C361" s="7" t="s">
        <v>589</v>
      </c>
      <c r="D361" s="7" t="s">
        <v>20</v>
      </c>
      <c r="E361" s="7" t="s">
        <v>2220</v>
      </c>
      <c r="F361" s="7" t="s">
        <v>2221</v>
      </c>
      <c r="G361" s="7" t="s">
        <v>2222</v>
      </c>
      <c r="H361" s="7"/>
      <c r="I361" s="7" t="s">
        <v>2225</v>
      </c>
      <c r="J361" s="7" t="s">
        <v>2129</v>
      </c>
    </row>
    <row r="362" spans="1:10" x14ac:dyDescent="0.3">
      <c r="A362" s="6" t="s">
        <v>1267</v>
      </c>
      <c r="B362" s="7" t="s">
        <v>127</v>
      </c>
      <c r="C362" s="7" t="s">
        <v>589</v>
      </c>
      <c r="D362" s="7" t="s">
        <v>20</v>
      </c>
      <c r="E362" s="7" t="s">
        <v>1268</v>
      </c>
      <c r="F362" s="7" t="s">
        <v>322</v>
      </c>
      <c r="G362" s="7" t="s">
        <v>1269</v>
      </c>
      <c r="H362" s="7"/>
      <c r="I362" s="7" t="s">
        <v>995</v>
      </c>
      <c r="J362" s="7" t="s">
        <v>1270</v>
      </c>
    </row>
    <row r="363" spans="1:10" x14ac:dyDescent="0.3">
      <c r="A363" s="6" t="s">
        <v>1309</v>
      </c>
      <c r="B363" s="7" t="s">
        <v>127</v>
      </c>
      <c r="C363" s="7" t="s">
        <v>589</v>
      </c>
      <c r="D363" s="7" t="s">
        <v>20</v>
      </c>
      <c r="E363" s="7" t="s">
        <v>1310</v>
      </c>
      <c r="F363" s="7" t="s">
        <v>1311</v>
      </c>
      <c r="G363" s="7" t="s">
        <v>1312</v>
      </c>
      <c r="H363" s="7"/>
      <c r="I363" s="7" t="s">
        <v>1313</v>
      </c>
      <c r="J363" s="7" t="s">
        <v>189</v>
      </c>
    </row>
    <row r="364" spans="1:10" x14ac:dyDescent="0.3">
      <c r="A364" s="6" t="s">
        <v>2356</v>
      </c>
      <c r="B364" s="7" t="s">
        <v>127</v>
      </c>
      <c r="C364" s="7" t="s">
        <v>589</v>
      </c>
      <c r="D364" s="7" t="s">
        <v>27</v>
      </c>
      <c r="E364" s="7" t="s">
        <v>2357</v>
      </c>
      <c r="F364" s="7" t="s">
        <v>2358</v>
      </c>
      <c r="G364" s="7" t="s">
        <v>2359</v>
      </c>
      <c r="H364" s="7">
        <v>6</v>
      </c>
      <c r="I364" s="7" t="s">
        <v>208</v>
      </c>
      <c r="J364" s="7" t="s">
        <v>166</v>
      </c>
    </row>
    <row r="365" spans="1:10" x14ac:dyDescent="0.3">
      <c r="A365" s="6" t="s">
        <v>1472</v>
      </c>
      <c r="B365" s="7" t="s">
        <v>127</v>
      </c>
      <c r="C365" s="7" t="s">
        <v>589</v>
      </c>
      <c r="D365" s="7" t="s">
        <v>27</v>
      </c>
      <c r="E365" s="7" t="s">
        <v>1473</v>
      </c>
      <c r="F365" s="7" t="s">
        <v>1474</v>
      </c>
      <c r="G365" s="7" t="s">
        <v>1475</v>
      </c>
      <c r="H365" s="7">
        <v>17</v>
      </c>
      <c r="I365" s="7" t="s">
        <v>394</v>
      </c>
      <c r="J365" s="7" t="s">
        <v>1476</v>
      </c>
    </row>
    <row r="366" spans="1:10" x14ac:dyDescent="0.3">
      <c r="A366" s="6" t="s">
        <v>1600</v>
      </c>
      <c r="B366" s="7" t="s">
        <v>127</v>
      </c>
      <c r="C366" s="7" t="s">
        <v>589</v>
      </c>
      <c r="D366" s="7" t="s">
        <v>27</v>
      </c>
      <c r="E366" s="7" t="s">
        <v>1601</v>
      </c>
      <c r="F366" s="7" t="s">
        <v>1602</v>
      </c>
      <c r="G366" s="7" t="s">
        <v>1603</v>
      </c>
      <c r="H366" s="7">
        <v>20</v>
      </c>
      <c r="I366" s="7" t="s">
        <v>1604</v>
      </c>
      <c r="J366" s="7" t="s">
        <v>199</v>
      </c>
    </row>
    <row r="367" spans="1:10" x14ac:dyDescent="0.3">
      <c r="A367" s="6" t="s">
        <v>1936</v>
      </c>
      <c r="B367" s="7" t="s">
        <v>127</v>
      </c>
      <c r="C367" s="7" t="s">
        <v>589</v>
      </c>
      <c r="D367" s="7" t="s">
        <v>14</v>
      </c>
      <c r="E367" s="7" t="s">
        <v>1937</v>
      </c>
      <c r="F367" s="7" t="s">
        <v>1938</v>
      </c>
      <c r="G367" s="7" t="s">
        <v>1939</v>
      </c>
      <c r="H367" s="7">
        <v>1</v>
      </c>
      <c r="I367" s="7" t="s">
        <v>1941</v>
      </c>
      <c r="J367" s="7" t="s">
        <v>780</v>
      </c>
    </row>
    <row r="368" spans="1:10" x14ac:dyDescent="0.3">
      <c r="A368" s="6" t="s">
        <v>1375</v>
      </c>
      <c r="B368" s="7" t="s">
        <v>127</v>
      </c>
      <c r="C368" s="7" t="s">
        <v>589</v>
      </c>
      <c r="D368" s="7" t="s">
        <v>26</v>
      </c>
      <c r="E368" s="7" t="s">
        <v>1376</v>
      </c>
      <c r="F368" s="7" t="s">
        <v>1377</v>
      </c>
      <c r="G368" s="7" t="s">
        <v>1378</v>
      </c>
      <c r="H368" s="7">
        <v>2</v>
      </c>
      <c r="I368" s="7" t="s">
        <v>562</v>
      </c>
      <c r="J368" s="7" t="s">
        <v>294</v>
      </c>
    </row>
    <row r="369" spans="1:10" x14ac:dyDescent="0.3">
      <c r="A369" s="6" t="s">
        <v>1364</v>
      </c>
      <c r="B369" s="7" t="s">
        <v>127</v>
      </c>
      <c r="C369" s="7" t="s">
        <v>1365</v>
      </c>
      <c r="D369" s="7" t="s">
        <v>24</v>
      </c>
      <c r="E369" s="7" t="s">
        <v>1034</v>
      </c>
      <c r="F369" s="7" t="s">
        <v>1035</v>
      </c>
      <c r="G369" s="7" t="s">
        <v>1366</v>
      </c>
      <c r="H369" s="7"/>
      <c r="I369" s="7" t="s">
        <v>1367</v>
      </c>
      <c r="J369" s="7" t="s">
        <v>1063</v>
      </c>
    </row>
    <row r="370" spans="1:10" x14ac:dyDescent="0.3">
      <c r="A370" s="6" t="s">
        <v>1292</v>
      </c>
      <c r="B370" s="7" t="s">
        <v>127</v>
      </c>
      <c r="C370" s="7" t="s">
        <v>589</v>
      </c>
      <c r="D370" s="7" t="s">
        <v>20</v>
      </c>
      <c r="E370" s="7" t="s">
        <v>1293</v>
      </c>
      <c r="F370" s="7" t="s">
        <v>1294</v>
      </c>
      <c r="G370" s="7" t="s">
        <v>1295</v>
      </c>
      <c r="H370" s="7"/>
      <c r="I370" s="7" t="s">
        <v>1296</v>
      </c>
      <c r="J370" s="7" t="s">
        <v>1297</v>
      </c>
    </row>
    <row r="371" spans="1:10" x14ac:dyDescent="0.3">
      <c r="A371" s="6" t="s">
        <v>1653</v>
      </c>
      <c r="B371" s="7" t="s">
        <v>127</v>
      </c>
      <c r="C371" s="7" t="s">
        <v>589</v>
      </c>
      <c r="D371" s="7" t="s">
        <v>34</v>
      </c>
      <c r="E371" s="7" t="s">
        <v>109</v>
      </c>
      <c r="F371" s="7" t="s">
        <v>718</v>
      </c>
      <c r="G371" s="7" t="s">
        <v>108</v>
      </c>
      <c r="H371" s="7"/>
      <c r="I371" s="7" t="s">
        <v>111</v>
      </c>
      <c r="J371" s="7" t="s">
        <v>1218</v>
      </c>
    </row>
    <row r="372" spans="1:10" x14ac:dyDescent="0.3">
      <c r="A372" s="6" t="s">
        <v>1652</v>
      </c>
      <c r="B372" s="7" t="s">
        <v>127</v>
      </c>
      <c r="C372" s="7" t="s">
        <v>589</v>
      </c>
      <c r="D372" s="7" t="s">
        <v>33</v>
      </c>
      <c r="E372" s="7" t="s">
        <v>109</v>
      </c>
      <c r="F372" s="7" t="s">
        <v>718</v>
      </c>
      <c r="G372" s="7" t="s">
        <v>108</v>
      </c>
      <c r="H372" s="7"/>
      <c r="I372" s="7" t="s">
        <v>111</v>
      </c>
      <c r="J372" s="7" t="s">
        <v>1218</v>
      </c>
    </row>
    <row r="373" spans="1:10" x14ac:dyDescent="0.3">
      <c r="A373" s="6" t="s">
        <v>647</v>
      </c>
      <c r="B373" s="7" t="s">
        <v>127</v>
      </c>
      <c r="C373" s="7" t="s">
        <v>589</v>
      </c>
      <c r="D373" s="7" t="s">
        <v>10</v>
      </c>
      <c r="E373" s="7" t="s">
        <v>648</v>
      </c>
      <c r="F373" s="7" t="s">
        <v>649</v>
      </c>
      <c r="G373" s="7" t="s">
        <v>66</v>
      </c>
      <c r="H373" s="7">
        <v>31</v>
      </c>
      <c r="I373" s="7" t="s">
        <v>69</v>
      </c>
      <c r="J373" s="7" t="s">
        <v>348</v>
      </c>
    </row>
    <row r="374" spans="1:10" x14ac:dyDescent="0.3">
      <c r="A374" s="6" t="s">
        <v>1265</v>
      </c>
      <c r="B374" s="7" t="s">
        <v>127</v>
      </c>
      <c r="C374" s="7" t="s">
        <v>589</v>
      </c>
      <c r="D374" s="7" t="s">
        <v>20</v>
      </c>
      <c r="E374" s="7" t="s">
        <v>1266</v>
      </c>
      <c r="F374" s="7" t="s">
        <v>649</v>
      </c>
      <c r="G374" s="7" t="s">
        <v>66</v>
      </c>
      <c r="H374" s="7"/>
      <c r="I374" s="7" t="s">
        <v>69</v>
      </c>
      <c r="J374" s="7" t="s">
        <v>348</v>
      </c>
    </row>
    <row r="375" spans="1:10" x14ac:dyDescent="0.3">
      <c r="A375" s="6" t="s">
        <v>1421</v>
      </c>
      <c r="B375" s="7" t="s">
        <v>127</v>
      </c>
      <c r="C375" s="7" t="s">
        <v>589</v>
      </c>
      <c r="D375" s="7" t="s">
        <v>26</v>
      </c>
      <c r="E375" s="7" t="s">
        <v>1422</v>
      </c>
      <c r="F375" s="7" t="s">
        <v>649</v>
      </c>
      <c r="G375" s="7" t="s">
        <v>66</v>
      </c>
      <c r="H375" s="7">
        <v>36</v>
      </c>
      <c r="I375" s="7" t="s">
        <v>69</v>
      </c>
      <c r="J375" s="7" t="s">
        <v>348</v>
      </c>
    </row>
    <row r="376" spans="1:10" x14ac:dyDescent="0.3">
      <c r="A376" s="6" t="s">
        <v>1314</v>
      </c>
      <c r="B376" s="7" t="s">
        <v>127</v>
      </c>
      <c r="C376" s="7" t="s">
        <v>589</v>
      </c>
      <c r="D376" s="7" t="s">
        <v>20</v>
      </c>
      <c r="E376" s="7" t="s">
        <v>1315</v>
      </c>
      <c r="F376" s="7"/>
      <c r="G376" s="7" t="s">
        <v>1316</v>
      </c>
      <c r="H376" s="7"/>
      <c r="I376" s="7" t="s">
        <v>1317</v>
      </c>
      <c r="J376" s="7" t="s">
        <v>1318</v>
      </c>
    </row>
    <row r="377" spans="1:10" x14ac:dyDescent="0.3">
      <c r="A377" s="6" t="s">
        <v>2325</v>
      </c>
      <c r="B377" s="7" t="s">
        <v>127</v>
      </c>
      <c r="C377" s="7" t="s">
        <v>589</v>
      </c>
      <c r="D377" s="7" t="s">
        <v>26</v>
      </c>
      <c r="E377" s="7" t="s">
        <v>1431</v>
      </c>
      <c r="F377" s="7" t="s">
        <v>1432</v>
      </c>
      <c r="G377" s="7" t="s">
        <v>2326</v>
      </c>
      <c r="H377" s="7">
        <v>8</v>
      </c>
      <c r="I377" s="7" t="s">
        <v>874</v>
      </c>
      <c r="J377" s="7" t="s">
        <v>179</v>
      </c>
    </row>
    <row r="378" spans="1:10" x14ac:dyDescent="0.3">
      <c r="A378" s="6" t="s">
        <v>1430</v>
      </c>
      <c r="B378" s="7" t="s">
        <v>127</v>
      </c>
      <c r="C378" s="7" t="s">
        <v>589</v>
      </c>
      <c r="D378" s="7" t="s">
        <v>26</v>
      </c>
      <c r="E378" s="7" t="s">
        <v>1431</v>
      </c>
      <c r="F378" s="7" t="s">
        <v>1432</v>
      </c>
      <c r="G378" s="7" t="s">
        <v>1433</v>
      </c>
      <c r="H378" s="7">
        <v>1</v>
      </c>
      <c r="I378" s="7" t="s">
        <v>290</v>
      </c>
      <c r="J378" s="7" t="s">
        <v>542</v>
      </c>
    </row>
    <row r="379" spans="1:10" x14ac:dyDescent="0.3">
      <c r="A379" s="6" t="s">
        <v>2312</v>
      </c>
      <c r="B379" s="7" t="s">
        <v>127</v>
      </c>
      <c r="C379" s="7" t="s">
        <v>589</v>
      </c>
      <c r="D379" s="7" t="s">
        <v>26</v>
      </c>
      <c r="E379" s="7" t="s">
        <v>2313</v>
      </c>
      <c r="F379" s="7" t="s">
        <v>2314</v>
      </c>
      <c r="G379" s="7" t="s">
        <v>2315</v>
      </c>
      <c r="H379" s="7">
        <v>40</v>
      </c>
      <c r="I379" s="7" t="s">
        <v>82</v>
      </c>
      <c r="J379" s="7" t="s">
        <v>2318</v>
      </c>
    </row>
    <row r="380" spans="1:10" x14ac:dyDescent="0.3">
      <c r="A380" s="6" t="s">
        <v>716</v>
      </c>
      <c r="B380" s="7" t="s">
        <v>127</v>
      </c>
      <c r="C380" s="7" t="s">
        <v>589</v>
      </c>
      <c r="D380" s="7" t="s">
        <v>10</v>
      </c>
      <c r="E380" s="7" t="s">
        <v>717</v>
      </c>
      <c r="F380" s="7" t="s">
        <v>718</v>
      </c>
      <c r="G380" s="7" t="s">
        <v>719</v>
      </c>
      <c r="H380" s="7">
        <v>13</v>
      </c>
      <c r="I380" s="7" t="s">
        <v>720</v>
      </c>
      <c r="J380" s="7" t="s">
        <v>199</v>
      </c>
    </row>
    <row r="381" spans="1:10" x14ac:dyDescent="0.3">
      <c r="A381" s="6" t="s">
        <v>1353</v>
      </c>
      <c r="B381" s="7" t="s">
        <v>127</v>
      </c>
      <c r="C381" s="7" t="s">
        <v>589</v>
      </c>
      <c r="D381" s="7" t="s">
        <v>22</v>
      </c>
      <c r="E381" s="7" t="s">
        <v>1354</v>
      </c>
      <c r="F381" s="7" t="s">
        <v>1355</v>
      </c>
      <c r="G381" s="7" t="s">
        <v>1356</v>
      </c>
      <c r="H381" s="7"/>
      <c r="I381" s="7" t="s">
        <v>196</v>
      </c>
      <c r="J381" s="7" t="s">
        <v>676</v>
      </c>
    </row>
    <row r="382" spans="1:10" x14ac:dyDescent="0.3">
      <c r="A382" s="6" t="s">
        <v>1326</v>
      </c>
      <c r="B382" s="7" t="s">
        <v>127</v>
      </c>
      <c r="C382" s="7" t="s">
        <v>589</v>
      </c>
      <c r="D382" s="7" t="s">
        <v>20</v>
      </c>
      <c r="E382" s="7" t="s">
        <v>1327</v>
      </c>
      <c r="F382" s="7" t="s">
        <v>1035</v>
      </c>
      <c r="G382" s="7" t="s">
        <v>1328</v>
      </c>
      <c r="H382" s="7"/>
      <c r="I382" s="7" t="s">
        <v>1329</v>
      </c>
      <c r="J382" s="7" t="s">
        <v>1330</v>
      </c>
    </row>
    <row r="383" spans="1:10" x14ac:dyDescent="0.3">
      <c r="A383" s="6" t="s">
        <v>2231</v>
      </c>
      <c r="B383" s="7" t="s">
        <v>127</v>
      </c>
      <c r="C383" s="7" t="s">
        <v>589</v>
      </c>
      <c r="D383" s="7" t="s">
        <v>20</v>
      </c>
      <c r="E383" s="7" t="s">
        <v>2232</v>
      </c>
      <c r="F383" s="7" t="s">
        <v>2233</v>
      </c>
      <c r="G383" s="7" t="s">
        <v>2234</v>
      </c>
      <c r="H383" s="7"/>
      <c r="I383" s="7" t="s">
        <v>2237</v>
      </c>
      <c r="J383" s="7" t="s">
        <v>199</v>
      </c>
    </row>
    <row r="384" spans="1:10" x14ac:dyDescent="0.3">
      <c r="A384" s="6" t="s">
        <v>1285</v>
      </c>
      <c r="B384" s="7" t="s">
        <v>127</v>
      </c>
      <c r="C384" s="7" t="s">
        <v>589</v>
      </c>
      <c r="D384" s="7" t="s">
        <v>20</v>
      </c>
      <c r="E384" s="7" t="s">
        <v>1286</v>
      </c>
      <c r="F384" s="7" t="s">
        <v>1287</v>
      </c>
      <c r="G384" s="7" t="s">
        <v>1288</v>
      </c>
      <c r="H384" s="7"/>
      <c r="I384" s="7" t="s">
        <v>621</v>
      </c>
      <c r="J384" s="7" t="s">
        <v>1289</v>
      </c>
    </row>
    <row r="385" spans="1:10" x14ac:dyDescent="0.3">
      <c r="A385" s="6" t="s">
        <v>1239</v>
      </c>
      <c r="B385" s="7" t="s">
        <v>127</v>
      </c>
      <c r="C385" s="7" t="s">
        <v>589</v>
      </c>
      <c r="D385" s="7" t="s">
        <v>20</v>
      </c>
      <c r="E385" s="7" t="s">
        <v>1240</v>
      </c>
      <c r="F385" s="7" t="s">
        <v>1241</v>
      </c>
      <c r="G385" s="7" t="s">
        <v>1242</v>
      </c>
      <c r="H385" s="7"/>
      <c r="I385" s="7" t="s">
        <v>1243</v>
      </c>
      <c r="J385" s="7" t="s">
        <v>1244</v>
      </c>
    </row>
    <row r="386" spans="1:10" x14ac:dyDescent="0.3">
      <c r="A386" s="6" t="s">
        <v>1298</v>
      </c>
      <c r="B386" s="7" t="s">
        <v>127</v>
      </c>
      <c r="C386" s="7" t="s">
        <v>589</v>
      </c>
      <c r="D386" s="7" t="s">
        <v>20</v>
      </c>
      <c r="E386" s="7" t="s">
        <v>1299</v>
      </c>
      <c r="F386" s="7" t="s">
        <v>1300</v>
      </c>
      <c r="G386" s="7" t="s">
        <v>1301</v>
      </c>
      <c r="H386" s="7"/>
      <c r="I386" s="7" t="s">
        <v>328</v>
      </c>
      <c r="J386" s="7" t="s">
        <v>1302</v>
      </c>
    </row>
    <row r="387" spans="1:10" x14ac:dyDescent="0.3">
      <c r="A387" s="6" t="s">
        <v>1271</v>
      </c>
      <c r="B387" s="7" t="s">
        <v>127</v>
      </c>
      <c r="C387" s="7" t="s">
        <v>589</v>
      </c>
      <c r="D387" s="7" t="s">
        <v>20</v>
      </c>
      <c r="E387" s="7" t="s">
        <v>1272</v>
      </c>
      <c r="F387" s="7" t="s">
        <v>1273</v>
      </c>
      <c r="G387" s="7" t="s">
        <v>1274</v>
      </c>
      <c r="H387" s="7"/>
      <c r="I387" s="7" t="s">
        <v>279</v>
      </c>
      <c r="J387" s="7" t="s">
        <v>1275</v>
      </c>
    </row>
    <row r="388" spans="1:10" x14ac:dyDescent="0.3">
      <c r="A388" s="6" t="s">
        <v>1319</v>
      </c>
      <c r="B388" s="7" t="s">
        <v>127</v>
      </c>
      <c r="C388" s="7" t="s">
        <v>589</v>
      </c>
      <c r="D388" s="7" t="s">
        <v>20</v>
      </c>
      <c r="E388" s="7" t="s">
        <v>1320</v>
      </c>
      <c r="F388" s="7" t="s">
        <v>516</v>
      </c>
      <c r="G388" s="7" t="s">
        <v>1321</v>
      </c>
      <c r="H388" s="7"/>
      <c r="I388" s="7" t="s">
        <v>1212</v>
      </c>
      <c r="J388" s="7" t="s">
        <v>1308</v>
      </c>
    </row>
    <row r="389" spans="1:10" x14ac:dyDescent="0.3">
      <c r="A389" s="6" t="s">
        <v>1331</v>
      </c>
      <c r="B389" s="7" t="s">
        <v>127</v>
      </c>
      <c r="C389" s="7" t="s">
        <v>589</v>
      </c>
      <c r="D389" s="7" t="s">
        <v>20</v>
      </c>
      <c r="E389" s="7" t="s">
        <v>1327</v>
      </c>
      <c r="F389" s="7" t="s">
        <v>1035</v>
      </c>
      <c r="G389" s="7" t="s">
        <v>1332</v>
      </c>
      <c r="H389" s="7"/>
      <c r="I389" s="7" t="s">
        <v>290</v>
      </c>
      <c r="J389" s="7" t="s">
        <v>1333</v>
      </c>
    </row>
    <row r="390" spans="1:10" x14ac:dyDescent="0.3">
      <c r="A390" s="6" t="s">
        <v>1228</v>
      </c>
      <c r="B390" s="7" t="s">
        <v>127</v>
      </c>
      <c r="C390" s="7" t="s">
        <v>589</v>
      </c>
      <c r="D390" s="7" t="s">
        <v>20</v>
      </c>
      <c r="E390" s="7" t="s">
        <v>1229</v>
      </c>
      <c r="F390" s="7" t="s">
        <v>1230</v>
      </c>
      <c r="G390" s="7" t="s">
        <v>1231</v>
      </c>
      <c r="H390" s="7"/>
      <c r="I390" s="7" t="s">
        <v>1232</v>
      </c>
      <c r="J390" s="7" t="s">
        <v>1233</v>
      </c>
    </row>
    <row r="391" spans="1:10" x14ac:dyDescent="0.3">
      <c r="A391" s="6" t="s">
        <v>2226</v>
      </c>
      <c r="B391" s="7" t="s">
        <v>127</v>
      </c>
      <c r="C391" s="7" t="s">
        <v>589</v>
      </c>
      <c r="D391" s="7" t="s">
        <v>20</v>
      </c>
      <c r="E391" s="7" t="s">
        <v>2227</v>
      </c>
      <c r="F391" s="7" t="s">
        <v>669</v>
      </c>
      <c r="G391" s="7" t="s">
        <v>2228</v>
      </c>
      <c r="H391" s="7"/>
      <c r="I391" s="7" t="s">
        <v>1233</v>
      </c>
      <c r="J391" s="7" t="s">
        <v>736</v>
      </c>
    </row>
    <row r="392" spans="1:10" x14ac:dyDescent="0.3">
      <c r="A392" s="6" t="s">
        <v>2238</v>
      </c>
      <c r="B392" s="7" t="s">
        <v>127</v>
      </c>
      <c r="C392" s="7" t="s">
        <v>589</v>
      </c>
      <c r="D392" s="7" t="s">
        <v>20</v>
      </c>
      <c r="E392" s="7" t="s">
        <v>2239</v>
      </c>
      <c r="F392" s="7" t="s">
        <v>2240</v>
      </c>
      <c r="G392" s="7" t="s">
        <v>2241</v>
      </c>
      <c r="H392" s="7"/>
      <c r="I392" s="7" t="s">
        <v>265</v>
      </c>
      <c r="J392" s="7" t="s">
        <v>612</v>
      </c>
    </row>
    <row r="393" spans="1:10" x14ac:dyDescent="0.3">
      <c r="A393" s="6" t="s">
        <v>1665</v>
      </c>
      <c r="B393" s="7" t="s">
        <v>127</v>
      </c>
      <c r="C393" s="7" t="s">
        <v>589</v>
      </c>
      <c r="D393" s="7" t="s">
        <v>8</v>
      </c>
      <c r="E393" s="7" t="s">
        <v>515</v>
      </c>
      <c r="F393" s="7" t="s">
        <v>516</v>
      </c>
      <c r="G393" s="7" t="s">
        <v>1666</v>
      </c>
      <c r="H393" s="7"/>
      <c r="I393" s="7" t="s">
        <v>142</v>
      </c>
      <c r="J393" s="7" t="s">
        <v>1233</v>
      </c>
    </row>
    <row r="394" spans="1:10" x14ac:dyDescent="0.3">
      <c r="A394" s="6" t="s">
        <v>708</v>
      </c>
      <c r="B394" s="7" t="s">
        <v>127</v>
      </c>
      <c r="C394" s="7" t="s">
        <v>589</v>
      </c>
      <c r="D394" s="7" t="s">
        <v>10</v>
      </c>
      <c r="E394" s="7" t="s">
        <v>709</v>
      </c>
      <c r="F394" s="7" t="s">
        <v>710</v>
      </c>
      <c r="G394" s="7" t="s">
        <v>711</v>
      </c>
      <c r="H394" s="7">
        <v>0</v>
      </c>
      <c r="I394" s="7" t="s">
        <v>604</v>
      </c>
      <c r="J394" s="7" t="s">
        <v>143</v>
      </c>
    </row>
    <row r="395" spans="1:10" x14ac:dyDescent="0.3">
      <c r="A395" s="6" t="s">
        <v>1787</v>
      </c>
      <c r="B395" s="7" t="s">
        <v>127</v>
      </c>
      <c r="C395" s="7" t="s">
        <v>589</v>
      </c>
      <c r="D395" s="7" t="s">
        <v>10</v>
      </c>
      <c r="E395" s="7" t="s">
        <v>1788</v>
      </c>
      <c r="F395" s="7" t="s">
        <v>1789</v>
      </c>
      <c r="G395" s="7" t="s">
        <v>1790</v>
      </c>
      <c r="H395" s="7">
        <v>1</v>
      </c>
      <c r="I395" s="7" t="s">
        <v>111</v>
      </c>
      <c r="J395" s="7" t="s">
        <v>189</v>
      </c>
    </row>
    <row r="396" spans="1:10" x14ac:dyDescent="0.3">
      <c r="A396" s="6" t="s">
        <v>1816</v>
      </c>
      <c r="B396" s="7" t="s">
        <v>127</v>
      </c>
      <c r="C396" s="7" t="s">
        <v>589</v>
      </c>
      <c r="D396" s="7" t="s">
        <v>10</v>
      </c>
      <c r="E396" s="7" t="s">
        <v>1817</v>
      </c>
      <c r="F396" s="7" t="s">
        <v>1818</v>
      </c>
      <c r="G396" s="7" t="s">
        <v>1819</v>
      </c>
      <c r="H396" s="7">
        <v>7</v>
      </c>
      <c r="I396" s="7" t="s">
        <v>1822</v>
      </c>
      <c r="J396" s="7" t="s">
        <v>1201</v>
      </c>
    </row>
    <row r="397" spans="1:10" x14ac:dyDescent="0.3">
      <c r="A397" s="6" t="s">
        <v>617</v>
      </c>
      <c r="B397" s="7" t="s">
        <v>127</v>
      </c>
      <c r="C397" s="7" t="s">
        <v>589</v>
      </c>
      <c r="D397" s="7" t="s">
        <v>10</v>
      </c>
      <c r="E397" s="7" t="s">
        <v>618</v>
      </c>
      <c r="F397" s="7" t="s">
        <v>619</v>
      </c>
      <c r="G397" s="7" t="s">
        <v>620</v>
      </c>
      <c r="H397" s="7">
        <v>14</v>
      </c>
      <c r="I397" s="7" t="s">
        <v>621</v>
      </c>
      <c r="J397" s="7" t="s">
        <v>622</v>
      </c>
    </row>
    <row r="398" spans="1:10" x14ac:dyDescent="0.3">
      <c r="A398" s="6" t="s">
        <v>641</v>
      </c>
      <c r="B398" s="7" t="s">
        <v>127</v>
      </c>
      <c r="C398" s="7" t="s">
        <v>589</v>
      </c>
      <c r="D398" s="7" t="s">
        <v>10</v>
      </c>
      <c r="E398" s="7" t="s">
        <v>642</v>
      </c>
      <c r="F398" s="7" t="s">
        <v>643</v>
      </c>
      <c r="G398" s="7" t="s">
        <v>644</v>
      </c>
      <c r="H398" s="7">
        <v>41</v>
      </c>
      <c r="I398" s="7" t="s">
        <v>645</v>
      </c>
      <c r="J398" s="7" t="s">
        <v>646</v>
      </c>
    </row>
    <row r="399" spans="1:10" x14ac:dyDescent="0.3">
      <c r="A399" s="6" t="s">
        <v>650</v>
      </c>
      <c r="B399" s="7" t="s">
        <v>127</v>
      </c>
      <c r="C399" s="7" t="s">
        <v>589</v>
      </c>
      <c r="D399" s="7" t="s">
        <v>10</v>
      </c>
      <c r="E399" s="7" t="s">
        <v>651</v>
      </c>
      <c r="F399" s="7" t="s">
        <v>652</v>
      </c>
      <c r="G399" s="7" t="s">
        <v>653</v>
      </c>
      <c r="H399" s="7">
        <v>0</v>
      </c>
      <c r="I399" s="7" t="s">
        <v>270</v>
      </c>
      <c r="J399" s="7" t="s">
        <v>189</v>
      </c>
    </row>
    <row r="400" spans="1:10" x14ac:dyDescent="0.3">
      <c r="A400" s="6" t="s">
        <v>613</v>
      </c>
      <c r="B400" s="7" t="s">
        <v>127</v>
      </c>
      <c r="C400" s="7" t="s">
        <v>589</v>
      </c>
      <c r="D400" s="7" t="s">
        <v>10</v>
      </c>
      <c r="E400" s="7" t="s">
        <v>614</v>
      </c>
      <c r="F400" s="7" t="s">
        <v>615</v>
      </c>
      <c r="G400" s="7" t="s">
        <v>616</v>
      </c>
      <c r="H400" s="7">
        <v>13</v>
      </c>
      <c r="I400" s="7" t="s">
        <v>546</v>
      </c>
      <c r="J400" s="7" t="s">
        <v>404</v>
      </c>
    </row>
    <row r="401" spans="1:10" x14ac:dyDescent="0.3">
      <c r="A401" s="6" t="s">
        <v>594</v>
      </c>
      <c r="B401" s="7" t="s">
        <v>127</v>
      </c>
      <c r="C401" s="7" t="s">
        <v>589</v>
      </c>
      <c r="D401" s="7" t="s">
        <v>10</v>
      </c>
      <c r="E401" s="7" t="s">
        <v>595</v>
      </c>
      <c r="F401" s="7" t="s">
        <v>596</v>
      </c>
      <c r="G401" s="7" t="s">
        <v>597</v>
      </c>
      <c r="H401" s="7">
        <v>34</v>
      </c>
      <c r="I401" s="7" t="s">
        <v>598</v>
      </c>
      <c r="J401" s="7" t="s">
        <v>599</v>
      </c>
    </row>
    <row r="402" spans="1:10" x14ac:dyDescent="0.3">
      <c r="A402" s="6" t="s">
        <v>654</v>
      </c>
      <c r="B402" s="7" t="s">
        <v>127</v>
      </c>
      <c r="C402" s="7" t="s">
        <v>589</v>
      </c>
      <c r="D402" s="7" t="s">
        <v>10</v>
      </c>
      <c r="E402" s="7" t="s">
        <v>651</v>
      </c>
      <c r="F402" s="7" t="s">
        <v>652</v>
      </c>
      <c r="G402" s="7" t="s">
        <v>655</v>
      </c>
      <c r="H402" s="7">
        <v>0</v>
      </c>
      <c r="I402" s="7" t="s">
        <v>255</v>
      </c>
      <c r="J402" s="7" t="s">
        <v>612</v>
      </c>
    </row>
    <row r="403" spans="1:10" x14ac:dyDescent="0.3">
      <c r="A403" s="6" t="s">
        <v>697</v>
      </c>
      <c r="B403" s="7" t="s">
        <v>127</v>
      </c>
      <c r="C403" s="7" t="s">
        <v>589</v>
      </c>
      <c r="D403" s="7" t="s">
        <v>10</v>
      </c>
      <c r="E403" s="7" t="s">
        <v>698</v>
      </c>
      <c r="F403" s="7" t="s">
        <v>699</v>
      </c>
      <c r="G403" s="7" t="s">
        <v>700</v>
      </c>
      <c r="H403" s="7">
        <v>103</v>
      </c>
      <c r="I403" s="7" t="s">
        <v>625</v>
      </c>
      <c r="J403" s="7" t="s">
        <v>701</v>
      </c>
    </row>
    <row r="404" spans="1:10" x14ac:dyDescent="0.3">
      <c r="A404" s="6" t="s">
        <v>712</v>
      </c>
      <c r="B404" s="7" t="s">
        <v>127</v>
      </c>
      <c r="C404" s="7" t="s">
        <v>589</v>
      </c>
      <c r="D404" s="7" t="s">
        <v>10</v>
      </c>
      <c r="E404" s="7" t="s">
        <v>713</v>
      </c>
      <c r="F404" s="7" t="s">
        <v>714</v>
      </c>
      <c r="G404" s="7" t="s">
        <v>715</v>
      </c>
      <c r="H404" s="7">
        <v>0</v>
      </c>
      <c r="I404" s="7" t="s">
        <v>417</v>
      </c>
      <c r="J404" s="7" t="s">
        <v>612</v>
      </c>
    </row>
    <row r="405" spans="1:10" x14ac:dyDescent="0.3">
      <c r="A405" s="6" t="s">
        <v>662</v>
      </c>
      <c r="B405" s="7" t="s">
        <v>127</v>
      </c>
      <c r="C405" s="7" t="s">
        <v>589</v>
      </c>
      <c r="D405" s="7" t="s">
        <v>10</v>
      </c>
      <c r="E405" s="7" t="s">
        <v>663</v>
      </c>
      <c r="F405" s="7" t="s">
        <v>664</v>
      </c>
      <c r="G405" s="7" t="s">
        <v>665</v>
      </c>
      <c r="H405" s="7">
        <v>7</v>
      </c>
      <c r="I405" s="7" t="s">
        <v>407</v>
      </c>
      <c r="J405" s="7" t="s">
        <v>666</v>
      </c>
    </row>
    <row r="406" spans="1:10" x14ac:dyDescent="0.3">
      <c r="A406" s="6" t="s">
        <v>626</v>
      </c>
      <c r="B406" s="7" t="s">
        <v>127</v>
      </c>
      <c r="C406" s="7" t="s">
        <v>589</v>
      </c>
      <c r="D406" s="7" t="s">
        <v>10</v>
      </c>
      <c r="E406" s="7" t="s">
        <v>627</v>
      </c>
      <c r="F406" s="7" t="s">
        <v>628</v>
      </c>
      <c r="G406" s="7" t="s">
        <v>629</v>
      </c>
      <c r="H406" s="7">
        <v>10</v>
      </c>
      <c r="I406" s="7" t="s">
        <v>630</v>
      </c>
      <c r="J406" s="7" t="s">
        <v>404</v>
      </c>
    </row>
    <row r="407" spans="1:10" x14ac:dyDescent="0.3">
      <c r="A407" s="6" t="s">
        <v>1793</v>
      </c>
      <c r="B407" s="7" t="s">
        <v>127</v>
      </c>
      <c r="C407" s="7" t="s">
        <v>589</v>
      </c>
      <c r="D407" s="7" t="s">
        <v>10</v>
      </c>
      <c r="E407" s="7" t="s">
        <v>627</v>
      </c>
      <c r="F407" s="7" t="s">
        <v>628</v>
      </c>
      <c r="G407" s="7" t="s">
        <v>1794</v>
      </c>
      <c r="H407" s="7">
        <v>9</v>
      </c>
      <c r="I407" s="7" t="s">
        <v>1062</v>
      </c>
      <c r="J407" s="7" t="s">
        <v>404</v>
      </c>
    </row>
    <row r="408" spans="1:10" x14ac:dyDescent="0.3">
      <c r="A408" s="6" t="s">
        <v>667</v>
      </c>
      <c r="B408" s="7" t="s">
        <v>127</v>
      </c>
      <c r="C408" s="7" t="s">
        <v>589</v>
      </c>
      <c r="D408" s="7" t="s">
        <v>10</v>
      </c>
      <c r="E408" s="7" t="s">
        <v>668</v>
      </c>
      <c r="F408" s="7" t="s">
        <v>669</v>
      </c>
      <c r="G408" s="7" t="s">
        <v>670</v>
      </c>
      <c r="H408" s="7">
        <v>0</v>
      </c>
      <c r="I408" s="7" t="s">
        <v>308</v>
      </c>
      <c r="J408" s="7" t="s">
        <v>671</v>
      </c>
    </row>
    <row r="409" spans="1:10" x14ac:dyDescent="0.3">
      <c r="A409" s="6" t="s">
        <v>692</v>
      </c>
      <c r="B409" s="7" t="s">
        <v>127</v>
      </c>
      <c r="C409" s="7" t="s">
        <v>589</v>
      </c>
      <c r="D409" s="7" t="s">
        <v>10</v>
      </c>
      <c r="E409" s="7" t="s">
        <v>693</v>
      </c>
      <c r="F409" s="7" t="s">
        <v>694</v>
      </c>
      <c r="G409" s="7" t="s">
        <v>695</v>
      </c>
      <c r="H409" s="7">
        <v>11</v>
      </c>
      <c r="I409" s="7" t="s">
        <v>568</v>
      </c>
      <c r="J409" s="7" t="s">
        <v>696</v>
      </c>
    </row>
    <row r="410" spans="1:10" x14ac:dyDescent="0.3">
      <c r="A410" s="6" t="s">
        <v>702</v>
      </c>
      <c r="B410" s="7" t="s">
        <v>127</v>
      </c>
      <c r="C410" s="7" t="s">
        <v>589</v>
      </c>
      <c r="D410" s="7" t="s">
        <v>10</v>
      </c>
      <c r="E410" s="7" t="s">
        <v>703</v>
      </c>
      <c r="F410" s="7" t="s">
        <v>704</v>
      </c>
      <c r="G410" s="7" t="s">
        <v>705</v>
      </c>
      <c r="H410" s="7">
        <v>6</v>
      </c>
      <c r="I410" s="7" t="s">
        <v>99</v>
      </c>
      <c r="J410" s="7" t="s">
        <v>593</v>
      </c>
    </row>
    <row r="411" spans="1:10" x14ac:dyDescent="0.3">
      <c r="A411" s="6" t="s">
        <v>636</v>
      </c>
      <c r="B411" s="7" t="s">
        <v>127</v>
      </c>
      <c r="C411" s="7" t="s">
        <v>589</v>
      </c>
      <c r="D411" s="7" t="s">
        <v>10</v>
      </c>
      <c r="E411" s="7" t="s">
        <v>637</v>
      </c>
      <c r="F411" s="7" t="s">
        <v>638</v>
      </c>
      <c r="G411" s="7" t="s">
        <v>639</v>
      </c>
      <c r="H411" s="7">
        <v>0</v>
      </c>
      <c r="I411" s="7" t="s">
        <v>568</v>
      </c>
      <c r="J411" s="7" t="s">
        <v>640</v>
      </c>
    </row>
    <row r="412" spans="1:10" x14ac:dyDescent="0.3">
      <c r="A412" s="6" t="s">
        <v>1797</v>
      </c>
      <c r="B412" s="7" t="s">
        <v>127</v>
      </c>
      <c r="C412" s="7" t="s">
        <v>589</v>
      </c>
      <c r="D412" s="7" t="s">
        <v>10</v>
      </c>
      <c r="E412" s="7" t="s">
        <v>651</v>
      </c>
      <c r="F412" s="7" t="s">
        <v>652</v>
      </c>
      <c r="G412" s="7" t="s">
        <v>1798</v>
      </c>
      <c r="H412" s="7">
        <v>4</v>
      </c>
      <c r="I412" s="7" t="s">
        <v>318</v>
      </c>
      <c r="J412" s="7" t="s">
        <v>1801</v>
      </c>
    </row>
    <row r="413" spans="1:10" x14ac:dyDescent="0.3">
      <c r="A413" s="6" t="s">
        <v>672</v>
      </c>
      <c r="B413" s="7" t="s">
        <v>127</v>
      </c>
      <c r="C413" s="7" t="s">
        <v>589</v>
      </c>
      <c r="D413" s="7" t="s">
        <v>10</v>
      </c>
      <c r="E413" s="7" t="s">
        <v>673</v>
      </c>
      <c r="F413" s="7" t="s">
        <v>674</v>
      </c>
      <c r="G413" s="7" t="s">
        <v>675</v>
      </c>
      <c r="H413" s="7">
        <v>9</v>
      </c>
      <c r="I413" s="7" t="s">
        <v>196</v>
      </c>
      <c r="J413" s="7" t="s">
        <v>676</v>
      </c>
    </row>
    <row r="414" spans="1:10" x14ac:dyDescent="0.3">
      <c r="A414" s="6" t="s">
        <v>677</v>
      </c>
      <c r="B414" s="7" t="s">
        <v>127</v>
      </c>
      <c r="C414" s="7" t="s">
        <v>589</v>
      </c>
      <c r="D414" s="7" t="s">
        <v>10</v>
      </c>
      <c r="E414" s="7" t="s">
        <v>673</v>
      </c>
      <c r="F414" s="7" t="s">
        <v>674</v>
      </c>
      <c r="G414" s="7" t="s">
        <v>678</v>
      </c>
      <c r="H414" s="7">
        <v>27</v>
      </c>
      <c r="I414" s="7" t="s">
        <v>196</v>
      </c>
      <c r="J414" s="7" t="s">
        <v>676</v>
      </c>
    </row>
    <row r="415" spans="1:10" x14ac:dyDescent="0.3">
      <c r="A415" s="6" t="s">
        <v>631</v>
      </c>
      <c r="B415" s="7" t="s">
        <v>127</v>
      </c>
      <c r="C415" s="7" t="s">
        <v>589</v>
      </c>
      <c r="D415" s="7" t="s">
        <v>10</v>
      </c>
      <c r="E415" s="7" t="s">
        <v>632</v>
      </c>
      <c r="F415" s="7" t="s">
        <v>633</v>
      </c>
      <c r="G415" s="7" t="s">
        <v>634</v>
      </c>
      <c r="H415" s="7">
        <v>6</v>
      </c>
      <c r="I415" s="7" t="s">
        <v>160</v>
      </c>
      <c r="J415" s="7" t="s">
        <v>635</v>
      </c>
    </row>
    <row r="416" spans="1:10" x14ac:dyDescent="0.3">
      <c r="A416" s="6" t="s">
        <v>1536</v>
      </c>
      <c r="B416" s="7" t="s">
        <v>127</v>
      </c>
      <c r="C416" s="7" t="s">
        <v>589</v>
      </c>
      <c r="D416" s="7" t="s">
        <v>27</v>
      </c>
      <c r="E416" s="7" t="s">
        <v>1537</v>
      </c>
      <c r="F416" s="7" t="s">
        <v>1538</v>
      </c>
      <c r="G416" s="7" t="s">
        <v>1539</v>
      </c>
      <c r="H416" s="7">
        <v>0</v>
      </c>
      <c r="I416" s="7" t="s">
        <v>1540</v>
      </c>
      <c r="J416" s="7" t="s">
        <v>192</v>
      </c>
    </row>
    <row r="417" spans="1:10" x14ac:dyDescent="0.3">
      <c r="A417" s="6" t="s">
        <v>1465</v>
      </c>
      <c r="B417" s="7" t="s">
        <v>127</v>
      </c>
      <c r="C417" s="7" t="s">
        <v>589</v>
      </c>
      <c r="D417" s="7" t="s">
        <v>27</v>
      </c>
      <c r="E417" s="7" t="s">
        <v>1466</v>
      </c>
      <c r="F417" s="7" t="s">
        <v>1467</v>
      </c>
      <c r="G417" s="7" t="s">
        <v>1468</v>
      </c>
      <c r="H417" s="7">
        <v>12</v>
      </c>
      <c r="I417" s="7" t="s">
        <v>604</v>
      </c>
      <c r="J417" s="7" t="s">
        <v>166</v>
      </c>
    </row>
    <row r="418" spans="1:10" x14ac:dyDescent="0.3">
      <c r="A418" s="6" t="s">
        <v>1548</v>
      </c>
      <c r="B418" s="7" t="s">
        <v>127</v>
      </c>
      <c r="C418" s="7" t="s">
        <v>589</v>
      </c>
      <c r="D418" s="7" t="s">
        <v>27</v>
      </c>
      <c r="E418" s="7" t="s">
        <v>1545</v>
      </c>
      <c r="F418" s="7" t="s">
        <v>1546</v>
      </c>
      <c r="G418" s="7" t="s">
        <v>1549</v>
      </c>
      <c r="H418" s="7">
        <v>10</v>
      </c>
      <c r="I418" s="7" t="s">
        <v>1550</v>
      </c>
      <c r="J418" s="7" t="s">
        <v>612</v>
      </c>
    </row>
    <row r="419" spans="1:10" x14ac:dyDescent="0.3">
      <c r="A419" s="6" t="s">
        <v>1626</v>
      </c>
      <c r="B419" s="7" t="s">
        <v>127</v>
      </c>
      <c r="C419" s="7" t="s">
        <v>589</v>
      </c>
      <c r="D419" s="7" t="s">
        <v>27</v>
      </c>
      <c r="E419" s="7" t="s">
        <v>1627</v>
      </c>
      <c r="F419" s="7" t="s">
        <v>1628</v>
      </c>
      <c r="G419" s="7" t="s">
        <v>1629</v>
      </c>
      <c r="H419" s="7">
        <v>3</v>
      </c>
      <c r="I419" s="7" t="s">
        <v>1630</v>
      </c>
      <c r="J419" s="7" t="s">
        <v>781</v>
      </c>
    </row>
    <row r="420" spans="1:10" x14ac:dyDescent="0.3">
      <c r="A420" s="6" t="s">
        <v>1551</v>
      </c>
      <c r="B420" s="7" t="s">
        <v>127</v>
      </c>
      <c r="C420" s="7" t="s">
        <v>589</v>
      </c>
      <c r="D420" s="7" t="s">
        <v>27</v>
      </c>
      <c r="E420" s="7" t="s">
        <v>1545</v>
      </c>
      <c r="F420" s="7" t="s">
        <v>1546</v>
      </c>
      <c r="G420" s="7" t="s">
        <v>1552</v>
      </c>
      <c r="H420" s="7">
        <v>6</v>
      </c>
      <c r="I420" s="7" t="s">
        <v>1553</v>
      </c>
      <c r="J420" s="7" t="s">
        <v>612</v>
      </c>
    </row>
    <row r="421" spans="1:10" x14ac:dyDescent="0.3">
      <c r="A421" s="6" t="s">
        <v>1642</v>
      </c>
      <c r="B421" s="7" t="s">
        <v>127</v>
      </c>
      <c r="C421" s="7" t="s">
        <v>589</v>
      </c>
      <c r="D421" s="7" t="s">
        <v>27</v>
      </c>
      <c r="E421" s="7" t="s">
        <v>709</v>
      </c>
      <c r="F421" s="7" t="s">
        <v>710</v>
      </c>
      <c r="G421" s="7" t="s">
        <v>1643</v>
      </c>
      <c r="H421" s="7">
        <v>7</v>
      </c>
      <c r="I421" s="7" t="s">
        <v>1212</v>
      </c>
      <c r="J421" s="7" t="s">
        <v>149</v>
      </c>
    </row>
    <row r="422" spans="1:10" x14ac:dyDescent="0.3">
      <c r="A422" s="6" t="s">
        <v>1525</v>
      </c>
      <c r="B422" s="7" t="s">
        <v>127</v>
      </c>
      <c r="C422" s="7" t="s">
        <v>589</v>
      </c>
      <c r="D422" s="7" t="s">
        <v>27</v>
      </c>
      <c r="E422" s="7" t="s">
        <v>1526</v>
      </c>
      <c r="F422" s="7" t="s">
        <v>1527</v>
      </c>
      <c r="G422" s="7" t="s">
        <v>1528</v>
      </c>
      <c r="H422" s="7">
        <v>6</v>
      </c>
      <c r="I422" s="7" t="s">
        <v>1212</v>
      </c>
      <c r="J422" s="7" t="s">
        <v>189</v>
      </c>
    </row>
    <row r="423" spans="1:10" x14ac:dyDescent="0.3">
      <c r="A423" s="6" t="s">
        <v>1534</v>
      </c>
      <c r="B423" s="7" t="s">
        <v>127</v>
      </c>
      <c r="C423" s="7" t="s">
        <v>589</v>
      </c>
      <c r="D423" s="7" t="s">
        <v>27</v>
      </c>
      <c r="E423" s="7" t="s">
        <v>1530</v>
      </c>
      <c r="F423" s="7" t="s">
        <v>1531</v>
      </c>
      <c r="G423" s="7" t="s">
        <v>1535</v>
      </c>
      <c r="H423" s="7">
        <v>7</v>
      </c>
      <c r="I423" s="7" t="s">
        <v>69</v>
      </c>
      <c r="J423" s="7" t="s">
        <v>404</v>
      </c>
    </row>
    <row r="424" spans="1:10" x14ac:dyDescent="0.3">
      <c r="A424" s="6" t="s">
        <v>1593</v>
      </c>
      <c r="B424" s="7" t="s">
        <v>127</v>
      </c>
      <c r="C424" s="7" t="s">
        <v>589</v>
      </c>
      <c r="D424" s="7" t="s">
        <v>27</v>
      </c>
      <c r="E424" s="7" t="s">
        <v>1594</v>
      </c>
      <c r="F424" s="7" t="s">
        <v>1595</v>
      </c>
      <c r="G424" s="7" t="s">
        <v>1596</v>
      </c>
      <c r="H424" s="7">
        <v>8</v>
      </c>
      <c r="I424" s="7" t="s">
        <v>1212</v>
      </c>
      <c r="J424" s="7" t="s">
        <v>404</v>
      </c>
    </row>
    <row r="425" spans="1:10" x14ac:dyDescent="0.3">
      <c r="A425" s="6" t="s">
        <v>1469</v>
      </c>
      <c r="B425" s="7" t="s">
        <v>127</v>
      </c>
      <c r="C425" s="7" t="s">
        <v>589</v>
      </c>
      <c r="D425" s="7" t="s">
        <v>27</v>
      </c>
      <c r="E425" s="7" t="s">
        <v>1466</v>
      </c>
      <c r="F425" s="7" t="s">
        <v>1467</v>
      </c>
      <c r="G425" s="7" t="s">
        <v>1470</v>
      </c>
      <c r="H425" s="7">
        <v>5</v>
      </c>
      <c r="I425" s="7" t="s">
        <v>645</v>
      </c>
      <c r="J425" s="7" t="s">
        <v>1471</v>
      </c>
    </row>
    <row r="426" spans="1:10" x14ac:dyDescent="0.3">
      <c r="A426" s="6" t="s">
        <v>1477</v>
      </c>
      <c r="B426" s="7" t="s">
        <v>127</v>
      </c>
      <c r="C426" s="7" t="s">
        <v>589</v>
      </c>
      <c r="D426" s="7" t="s">
        <v>27</v>
      </c>
      <c r="E426" s="7" t="s">
        <v>1473</v>
      </c>
      <c r="F426" s="7" t="s">
        <v>1474</v>
      </c>
      <c r="G426" s="7" t="s">
        <v>1478</v>
      </c>
      <c r="H426" s="7">
        <v>8</v>
      </c>
      <c r="I426" s="7" t="s">
        <v>879</v>
      </c>
      <c r="J426" s="7" t="s">
        <v>1479</v>
      </c>
    </row>
    <row r="427" spans="1:10" x14ac:dyDescent="0.3">
      <c r="A427" s="6" t="s">
        <v>1508</v>
      </c>
      <c r="B427" s="7" t="s">
        <v>127</v>
      </c>
      <c r="C427" s="7" t="s">
        <v>589</v>
      </c>
      <c r="D427" s="7" t="s">
        <v>27</v>
      </c>
      <c r="E427" s="7" t="s">
        <v>1509</v>
      </c>
      <c r="F427" s="7" t="s">
        <v>283</v>
      </c>
      <c r="G427" s="7" t="s">
        <v>1510</v>
      </c>
      <c r="H427" s="7">
        <v>15</v>
      </c>
      <c r="I427" s="7" t="s">
        <v>1511</v>
      </c>
      <c r="J427" s="7" t="s">
        <v>1512</v>
      </c>
    </row>
    <row r="428" spans="1:10" x14ac:dyDescent="0.3">
      <c r="A428" s="6" t="s">
        <v>1607</v>
      </c>
      <c r="B428" s="7" t="s">
        <v>127</v>
      </c>
      <c r="C428" s="7" t="s">
        <v>589</v>
      </c>
      <c r="D428" s="7" t="s">
        <v>27</v>
      </c>
      <c r="E428" s="7" t="s">
        <v>1608</v>
      </c>
      <c r="F428" s="7" t="s">
        <v>1609</v>
      </c>
      <c r="G428" s="7" t="s">
        <v>1610</v>
      </c>
      <c r="H428" s="7">
        <v>2</v>
      </c>
      <c r="I428" s="7" t="s">
        <v>339</v>
      </c>
      <c r="J428" s="7" t="s">
        <v>1333</v>
      </c>
    </row>
    <row r="429" spans="1:10" x14ac:dyDescent="0.3">
      <c r="A429" s="6" t="s">
        <v>1488</v>
      </c>
      <c r="B429" s="7" t="s">
        <v>127</v>
      </c>
      <c r="C429" s="7" t="s">
        <v>589</v>
      </c>
      <c r="D429" s="7" t="s">
        <v>27</v>
      </c>
      <c r="E429" s="7" t="s">
        <v>1485</v>
      </c>
      <c r="F429" s="7" t="s">
        <v>1486</v>
      </c>
      <c r="G429" s="7" t="s">
        <v>1489</v>
      </c>
      <c r="H429" s="7">
        <v>9</v>
      </c>
      <c r="I429" s="7" t="s">
        <v>290</v>
      </c>
      <c r="J429" s="7" t="s">
        <v>1333</v>
      </c>
    </row>
    <row r="430" spans="1:10" x14ac:dyDescent="0.3">
      <c r="A430" s="6" t="s">
        <v>1519</v>
      </c>
      <c r="B430" s="7" t="s">
        <v>127</v>
      </c>
      <c r="C430" s="7" t="s">
        <v>589</v>
      </c>
      <c r="D430" s="7" t="s">
        <v>27</v>
      </c>
      <c r="E430" s="7" t="s">
        <v>1520</v>
      </c>
      <c r="F430" s="7" t="s">
        <v>1521</v>
      </c>
      <c r="G430" s="7" t="s">
        <v>1522</v>
      </c>
      <c r="H430" s="7">
        <v>16</v>
      </c>
      <c r="I430" s="7" t="s">
        <v>1523</v>
      </c>
      <c r="J430" s="7" t="s">
        <v>1524</v>
      </c>
    </row>
    <row r="431" spans="1:10" x14ac:dyDescent="0.3">
      <c r="A431" s="6" t="s">
        <v>2351</v>
      </c>
      <c r="B431" s="7" t="s">
        <v>127</v>
      </c>
      <c r="C431" s="7" t="s">
        <v>589</v>
      </c>
      <c r="D431" s="7" t="s">
        <v>27</v>
      </c>
      <c r="E431" s="7" t="s">
        <v>1497</v>
      </c>
      <c r="F431" s="7" t="s">
        <v>638</v>
      </c>
      <c r="G431" s="7" t="s">
        <v>2352</v>
      </c>
      <c r="H431" s="7">
        <v>7</v>
      </c>
      <c r="I431" s="7" t="s">
        <v>793</v>
      </c>
      <c r="J431" s="7" t="s">
        <v>640</v>
      </c>
    </row>
    <row r="432" spans="1:10" x14ac:dyDescent="0.3">
      <c r="A432" s="6" t="s">
        <v>1572</v>
      </c>
      <c r="B432" s="7" t="s">
        <v>127</v>
      </c>
      <c r="C432" s="7" t="s">
        <v>589</v>
      </c>
      <c r="D432" s="7" t="s">
        <v>27</v>
      </c>
      <c r="E432" s="7" t="s">
        <v>1573</v>
      </c>
      <c r="F432" s="7" t="s">
        <v>1574</v>
      </c>
      <c r="G432" s="7" t="s">
        <v>1575</v>
      </c>
      <c r="H432" s="7">
        <v>8</v>
      </c>
      <c r="I432" s="7" t="s">
        <v>407</v>
      </c>
      <c r="J432" s="7" t="s">
        <v>666</v>
      </c>
    </row>
    <row r="433" spans="1:10" x14ac:dyDescent="0.3">
      <c r="A433" s="6" t="s">
        <v>1605</v>
      </c>
      <c r="B433" s="7" t="s">
        <v>127</v>
      </c>
      <c r="C433" s="7" t="s">
        <v>589</v>
      </c>
      <c r="D433" s="7" t="s">
        <v>27</v>
      </c>
      <c r="E433" s="7" t="s">
        <v>1341</v>
      </c>
      <c r="F433" s="7" t="s">
        <v>516</v>
      </c>
      <c r="G433" s="7" t="s">
        <v>1606</v>
      </c>
      <c r="H433" s="7">
        <v>20</v>
      </c>
      <c r="I433" s="7" t="s">
        <v>407</v>
      </c>
      <c r="J433" s="7" t="s">
        <v>408</v>
      </c>
    </row>
    <row r="434" spans="1:10" x14ac:dyDescent="0.3">
      <c r="A434" s="6" t="s">
        <v>1496</v>
      </c>
      <c r="B434" s="7" t="s">
        <v>127</v>
      </c>
      <c r="C434" s="7" t="s">
        <v>589</v>
      </c>
      <c r="D434" s="7" t="s">
        <v>27</v>
      </c>
      <c r="E434" s="7" t="s">
        <v>1497</v>
      </c>
      <c r="F434" s="7" t="s">
        <v>638</v>
      </c>
      <c r="G434" s="7" t="s">
        <v>1498</v>
      </c>
      <c r="H434" s="7">
        <v>4</v>
      </c>
      <c r="I434" s="7" t="s">
        <v>934</v>
      </c>
      <c r="J434" s="7" t="s">
        <v>945</v>
      </c>
    </row>
    <row r="435" spans="1:10" x14ac:dyDescent="0.3">
      <c r="A435" s="6" t="s">
        <v>1576</v>
      </c>
      <c r="B435" s="7" t="s">
        <v>127</v>
      </c>
      <c r="C435" s="7" t="s">
        <v>589</v>
      </c>
      <c r="D435" s="7" t="s">
        <v>27</v>
      </c>
      <c r="E435" s="7" t="s">
        <v>1577</v>
      </c>
      <c r="F435" s="7"/>
      <c r="G435" s="7" t="s">
        <v>1578</v>
      </c>
      <c r="H435" s="7">
        <v>3</v>
      </c>
      <c r="I435" s="7" t="s">
        <v>780</v>
      </c>
      <c r="J435" s="7" t="s">
        <v>304</v>
      </c>
    </row>
    <row r="436" spans="1:10" x14ac:dyDescent="0.3">
      <c r="A436" s="6" t="s">
        <v>1611</v>
      </c>
      <c r="B436" s="7" t="s">
        <v>127</v>
      </c>
      <c r="C436" s="7" t="s">
        <v>589</v>
      </c>
      <c r="D436" s="7" t="s">
        <v>27</v>
      </c>
      <c r="E436" s="7" t="s">
        <v>1608</v>
      </c>
      <c r="F436" s="7" t="s">
        <v>1609</v>
      </c>
      <c r="G436" s="7" t="s">
        <v>1612</v>
      </c>
      <c r="H436" s="7">
        <v>1</v>
      </c>
      <c r="I436" s="7" t="s">
        <v>939</v>
      </c>
      <c r="J436" s="7" t="s">
        <v>1613</v>
      </c>
    </row>
    <row r="437" spans="1:10" x14ac:dyDescent="0.3">
      <c r="A437" s="6" t="s">
        <v>1614</v>
      </c>
      <c r="B437" s="7" t="s">
        <v>127</v>
      </c>
      <c r="C437" s="7" t="s">
        <v>589</v>
      </c>
      <c r="D437" s="7" t="s">
        <v>27</v>
      </c>
      <c r="E437" s="7" t="s">
        <v>1608</v>
      </c>
      <c r="F437" s="7" t="s">
        <v>1609</v>
      </c>
      <c r="G437" s="7" t="s">
        <v>1615</v>
      </c>
      <c r="H437" s="7">
        <v>8</v>
      </c>
      <c r="I437" s="7" t="s">
        <v>196</v>
      </c>
      <c r="J437" s="7" t="s">
        <v>197</v>
      </c>
    </row>
    <row r="438" spans="1:10" x14ac:dyDescent="0.3">
      <c r="A438" s="6" t="s">
        <v>1490</v>
      </c>
      <c r="B438" s="7" t="s">
        <v>127</v>
      </c>
      <c r="C438" s="7" t="s">
        <v>589</v>
      </c>
      <c r="D438" s="7" t="s">
        <v>27</v>
      </c>
      <c r="E438" s="7" t="s">
        <v>1485</v>
      </c>
      <c r="F438" s="7" t="s">
        <v>1486</v>
      </c>
      <c r="G438" s="7" t="s">
        <v>1491</v>
      </c>
      <c r="H438" s="7">
        <v>6</v>
      </c>
      <c r="I438" s="7" t="s">
        <v>1492</v>
      </c>
      <c r="J438" s="7" t="s">
        <v>696</v>
      </c>
    </row>
    <row r="439" spans="1:10" x14ac:dyDescent="0.3">
      <c r="A439" s="6" t="s">
        <v>1460</v>
      </c>
      <c r="B439" s="7" t="s">
        <v>127</v>
      </c>
      <c r="C439" s="7" t="s">
        <v>589</v>
      </c>
      <c r="D439" s="7" t="s">
        <v>26</v>
      </c>
      <c r="E439" s="7" t="s">
        <v>1461</v>
      </c>
      <c r="F439" s="7" t="s">
        <v>1462</v>
      </c>
      <c r="G439" s="7" t="s">
        <v>1463</v>
      </c>
      <c r="H439" s="7">
        <v>3</v>
      </c>
      <c r="I439" s="7" t="s">
        <v>1464</v>
      </c>
      <c r="J439" s="7" t="s">
        <v>593</v>
      </c>
    </row>
    <row r="440" spans="1:10" x14ac:dyDescent="0.3">
      <c r="A440" s="6" t="s">
        <v>2337</v>
      </c>
      <c r="B440" s="7" t="s">
        <v>127</v>
      </c>
      <c r="C440" s="7" t="s">
        <v>589</v>
      </c>
      <c r="D440" s="7" t="s">
        <v>26</v>
      </c>
      <c r="E440" s="7" t="s">
        <v>1461</v>
      </c>
      <c r="F440" s="7" t="s">
        <v>1462</v>
      </c>
      <c r="G440" s="7" t="s">
        <v>2338</v>
      </c>
      <c r="H440" s="7">
        <v>4</v>
      </c>
      <c r="I440" s="7" t="s">
        <v>2340</v>
      </c>
      <c r="J440" s="7" t="s">
        <v>2336</v>
      </c>
    </row>
    <row r="441" spans="1:10" x14ac:dyDescent="0.3">
      <c r="A441" s="6" t="s">
        <v>2288</v>
      </c>
      <c r="B441" s="7" t="s">
        <v>127</v>
      </c>
      <c r="C441" s="7" t="s">
        <v>589</v>
      </c>
      <c r="D441" s="7" t="s">
        <v>26</v>
      </c>
      <c r="E441" s="7" t="s">
        <v>2289</v>
      </c>
      <c r="F441" s="7" t="s">
        <v>2290</v>
      </c>
      <c r="G441" s="7" t="s">
        <v>2291</v>
      </c>
      <c r="H441" s="7">
        <v>2</v>
      </c>
      <c r="I441" s="7" t="s">
        <v>111</v>
      </c>
      <c r="J441" s="7" t="s">
        <v>1218</v>
      </c>
    </row>
    <row r="442" spans="1:10" x14ac:dyDescent="0.3">
      <c r="A442" s="6" t="s">
        <v>1447</v>
      </c>
      <c r="B442" s="7" t="s">
        <v>127</v>
      </c>
      <c r="C442" s="7" t="s">
        <v>589</v>
      </c>
      <c r="D442" s="7" t="s">
        <v>26</v>
      </c>
      <c r="E442" s="7" t="s">
        <v>1448</v>
      </c>
      <c r="F442" s="7" t="s">
        <v>1449</v>
      </c>
      <c r="G442" s="7" t="s">
        <v>1450</v>
      </c>
      <c r="H442" s="7">
        <v>9</v>
      </c>
      <c r="I442" s="7" t="s">
        <v>170</v>
      </c>
      <c r="J442" s="7" t="s">
        <v>1451</v>
      </c>
    </row>
    <row r="443" spans="1:10" x14ac:dyDescent="0.3">
      <c r="A443" s="6" t="s">
        <v>1372</v>
      </c>
      <c r="B443" s="7" t="s">
        <v>127</v>
      </c>
      <c r="C443" s="7" t="s">
        <v>589</v>
      </c>
      <c r="D443" s="7" t="s">
        <v>26</v>
      </c>
      <c r="E443" s="7" t="s">
        <v>1373</v>
      </c>
      <c r="F443" s="7" t="s">
        <v>615</v>
      </c>
      <c r="G443" s="7" t="s">
        <v>1374</v>
      </c>
      <c r="H443" s="7">
        <v>20</v>
      </c>
      <c r="I443" s="7" t="s">
        <v>131</v>
      </c>
      <c r="J443" s="7" t="s">
        <v>955</v>
      </c>
    </row>
    <row r="444" spans="1:10" x14ac:dyDescent="0.3">
      <c r="A444" s="6" t="s">
        <v>1454</v>
      </c>
      <c r="B444" s="7" t="s">
        <v>127</v>
      </c>
      <c r="C444" s="7" t="s">
        <v>589</v>
      </c>
      <c r="D444" s="7" t="s">
        <v>26</v>
      </c>
      <c r="E444" s="7" t="s">
        <v>1455</v>
      </c>
      <c r="F444" s="7" t="s">
        <v>704</v>
      </c>
      <c r="G444" s="7" t="s">
        <v>1456</v>
      </c>
      <c r="H444" s="7">
        <v>2</v>
      </c>
      <c r="I444" s="7" t="s">
        <v>1457</v>
      </c>
      <c r="J444" s="7" t="s">
        <v>998</v>
      </c>
    </row>
    <row r="445" spans="1:10" x14ac:dyDescent="0.3">
      <c r="A445" s="6" t="s">
        <v>1383</v>
      </c>
      <c r="B445" s="7" t="s">
        <v>127</v>
      </c>
      <c r="C445" s="7" t="s">
        <v>589</v>
      </c>
      <c r="D445" s="7" t="s">
        <v>26</v>
      </c>
      <c r="E445" s="7" t="s">
        <v>1384</v>
      </c>
      <c r="F445" s="7" t="s">
        <v>1385</v>
      </c>
      <c r="G445" s="7" t="s">
        <v>1386</v>
      </c>
      <c r="H445" s="7">
        <v>20</v>
      </c>
      <c r="I445" s="7" t="s">
        <v>394</v>
      </c>
      <c r="J445" s="7" t="s">
        <v>612</v>
      </c>
    </row>
    <row r="446" spans="1:10" x14ac:dyDescent="0.3">
      <c r="A446" s="6" t="s">
        <v>2270</v>
      </c>
      <c r="B446" s="7" t="s">
        <v>127</v>
      </c>
      <c r="C446" s="7" t="s">
        <v>589</v>
      </c>
      <c r="D446" s="7" t="s">
        <v>26</v>
      </c>
      <c r="E446" s="7" t="s">
        <v>2271</v>
      </c>
      <c r="F446" s="7" t="s">
        <v>2272</v>
      </c>
      <c r="G446" s="7" t="s">
        <v>2273</v>
      </c>
      <c r="H446" s="7">
        <v>4</v>
      </c>
      <c r="I446" s="7" t="s">
        <v>328</v>
      </c>
      <c r="J446" s="7" t="s">
        <v>2278</v>
      </c>
    </row>
    <row r="447" spans="1:10" x14ac:dyDescent="0.3">
      <c r="A447" s="6" t="s">
        <v>1379</v>
      </c>
      <c r="B447" s="7" t="s">
        <v>127</v>
      </c>
      <c r="C447" s="7" t="s">
        <v>589</v>
      </c>
      <c r="D447" s="7" t="s">
        <v>26</v>
      </c>
      <c r="E447" s="7" t="s">
        <v>1380</v>
      </c>
      <c r="F447" s="7" t="s">
        <v>1381</v>
      </c>
      <c r="G447" s="7" t="s">
        <v>1382</v>
      </c>
      <c r="H447" s="7">
        <v>6</v>
      </c>
      <c r="I447" s="7" t="s">
        <v>604</v>
      </c>
      <c r="J447" s="7" t="s">
        <v>294</v>
      </c>
    </row>
    <row r="448" spans="1:10" x14ac:dyDescent="0.3">
      <c r="A448" s="6" t="s">
        <v>1434</v>
      </c>
      <c r="B448" s="7" t="s">
        <v>127</v>
      </c>
      <c r="C448" s="7" t="s">
        <v>589</v>
      </c>
      <c r="D448" s="7" t="s">
        <v>26</v>
      </c>
      <c r="E448" s="7" t="s">
        <v>1435</v>
      </c>
      <c r="F448" s="7" t="s">
        <v>1436</v>
      </c>
      <c r="G448" s="7" t="s">
        <v>1437</v>
      </c>
      <c r="H448" s="7">
        <v>7</v>
      </c>
      <c r="I448" s="7" t="s">
        <v>1438</v>
      </c>
      <c r="J448" s="7" t="s">
        <v>1439</v>
      </c>
    </row>
    <row r="449" spans="1:10" x14ac:dyDescent="0.3">
      <c r="A449" s="6" t="s">
        <v>1391</v>
      </c>
      <c r="B449" s="7" t="s">
        <v>127</v>
      </c>
      <c r="C449" s="7" t="s">
        <v>589</v>
      </c>
      <c r="D449" s="7" t="s">
        <v>26</v>
      </c>
      <c r="E449" s="7" t="s">
        <v>1392</v>
      </c>
      <c r="F449" s="7" t="s">
        <v>1393</v>
      </c>
      <c r="G449" s="7" t="s">
        <v>1394</v>
      </c>
      <c r="H449" s="7">
        <v>12</v>
      </c>
      <c r="I449" s="7" t="s">
        <v>69</v>
      </c>
      <c r="J449" s="7" t="s">
        <v>696</v>
      </c>
    </row>
    <row r="450" spans="1:10" x14ac:dyDescent="0.3">
      <c r="A450" s="6" t="s">
        <v>1395</v>
      </c>
      <c r="B450" s="7" t="s">
        <v>127</v>
      </c>
      <c r="C450" s="7" t="s">
        <v>589</v>
      </c>
      <c r="D450" s="7" t="s">
        <v>26</v>
      </c>
      <c r="E450" s="7" t="s">
        <v>1392</v>
      </c>
      <c r="F450" s="7" t="s">
        <v>1393</v>
      </c>
      <c r="G450" s="7" t="s">
        <v>1396</v>
      </c>
      <c r="H450" s="7">
        <v>12</v>
      </c>
      <c r="I450" s="7" t="s">
        <v>69</v>
      </c>
      <c r="J450" s="7" t="s">
        <v>423</v>
      </c>
    </row>
    <row r="451" spans="1:10" x14ac:dyDescent="0.3">
      <c r="A451" s="6" t="s">
        <v>2298</v>
      </c>
      <c r="B451" s="7" t="s">
        <v>127</v>
      </c>
      <c r="C451" s="7" t="s">
        <v>589</v>
      </c>
      <c r="D451" s="7" t="s">
        <v>26</v>
      </c>
      <c r="E451" s="7" t="s">
        <v>1388</v>
      </c>
      <c r="F451" s="7" t="s">
        <v>1389</v>
      </c>
      <c r="G451" s="7" t="s">
        <v>2299</v>
      </c>
      <c r="H451" s="7">
        <v>1</v>
      </c>
      <c r="I451" s="7" t="s">
        <v>1684</v>
      </c>
      <c r="J451" s="7" t="s">
        <v>2269</v>
      </c>
    </row>
    <row r="452" spans="1:10" x14ac:dyDescent="0.3">
      <c r="A452" s="6" t="s">
        <v>1368</v>
      </c>
      <c r="B452" s="7" t="s">
        <v>127</v>
      </c>
      <c r="C452" s="7" t="s">
        <v>589</v>
      </c>
      <c r="D452" s="7" t="s">
        <v>26</v>
      </c>
      <c r="E452" s="7" t="s">
        <v>1369</v>
      </c>
      <c r="F452" s="7" t="s">
        <v>607</v>
      </c>
      <c r="G452" s="7" t="s">
        <v>1370</v>
      </c>
      <c r="H452" s="7">
        <v>24</v>
      </c>
      <c r="I452" s="7" t="s">
        <v>1212</v>
      </c>
      <c r="J452" s="7" t="s">
        <v>1371</v>
      </c>
    </row>
    <row r="453" spans="1:10" x14ac:dyDescent="0.3">
      <c r="A453" s="6" t="s">
        <v>2301</v>
      </c>
      <c r="B453" s="7" t="s">
        <v>127</v>
      </c>
      <c r="C453" s="7" t="s">
        <v>589</v>
      </c>
      <c r="D453" s="7" t="s">
        <v>26</v>
      </c>
      <c r="E453" s="7" t="s">
        <v>1388</v>
      </c>
      <c r="F453" s="7" t="s">
        <v>1389</v>
      </c>
      <c r="G453" s="7" t="s">
        <v>2302</v>
      </c>
      <c r="H453" s="7">
        <v>4</v>
      </c>
      <c r="I453" s="7" t="s">
        <v>290</v>
      </c>
      <c r="J453" s="7" t="s">
        <v>2304</v>
      </c>
    </row>
    <row r="454" spans="1:10" x14ac:dyDescent="0.3">
      <c r="A454" s="6" t="s">
        <v>2328</v>
      </c>
      <c r="B454" s="7" t="s">
        <v>127</v>
      </c>
      <c r="C454" s="7" t="s">
        <v>589</v>
      </c>
      <c r="D454" s="7" t="s">
        <v>26</v>
      </c>
      <c r="E454" s="7" t="s">
        <v>1435</v>
      </c>
      <c r="F454" s="7" t="s">
        <v>1436</v>
      </c>
      <c r="G454" s="7" t="s">
        <v>2329</v>
      </c>
      <c r="H454" s="7">
        <v>7</v>
      </c>
      <c r="I454" s="7" t="s">
        <v>69</v>
      </c>
      <c r="J454" s="7" t="s">
        <v>2304</v>
      </c>
    </row>
    <row r="455" spans="1:10" x14ac:dyDescent="0.3">
      <c r="A455" s="6" t="s">
        <v>1423</v>
      </c>
      <c r="B455" s="7" t="s">
        <v>127</v>
      </c>
      <c r="C455" s="7" t="s">
        <v>589</v>
      </c>
      <c r="D455" s="7" t="s">
        <v>26</v>
      </c>
      <c r="E455" s="7" t="s">
        <v>1424</v>
      </c>
      <c r="F455" s="7" t="s">
        <v>1425</v>
      </c>
      <c r="G455" s="7" t="s">
        <v>1426</v>
      </c>
      <c r="H455" s="7">
        <v>33</v>
      </c>
      <c r="I455" s="7" t="s">
        <v>308</v>
      </c>
      <c r="J455" s="7" t="s">
        <v>774</v>
      </c>
    </row>
    <row r="456" spans="1:10" x14ac:dyDescent="0.3">
      <c r="A456" s="6" t="s">
        <v>1458</v>
      </c>
      <c r="B456" s="7" t="s">
        <v>127</v>
      </c>
      <c r="C456" s="7" t="s">
        <v>589</v>
      </c>
      <c r="D456" s="7" t="s">
        <v>26</v>
      </c>
      <c r="E456" s="7" t="s">
        <v>1455</v>
      </c>
      <c r="F456" s="7" t="s">
        <v>704</v>
      </c>
      <c r="G456" s="7" t="s">
        <v>1459</v>
      </c>
      <c r="H456" s="7">
        <v>15</v>
      </c>
      <c r="I456" s="7" t="s">
        <v>290</v>
      </c>
      <c r="J456" s="7" t="s">
        <v>1333</v>
      </c>
    </row>
    <row r="457" spans="1:10" x14ac:dyDescent="0.3">
      <c r="A457" s="6" t="s">
        <v>1387</v>
      </c>
      <c r="B457" s="7" t="s">
        <v>127</v>
      </c>
      <c r="C457" s="7" t="s">
        <v>589</v>
      </c>
      <c r="D457" s="7" t="s">
        <v>26</v>
      </c>
      <c r="E457" s="7" t="s">
        <v>1388</v>
      </c>
      <c r="F457" s="7" t="s">
        <v>1389</v>
      </c>
      <c r="G457" s="7" t="s">
        <v>1390</v>
      </c>
      <c r="H457" s="7">
        <v>12</v>
      </c>
      <c r="I457" s="7" t="s">
        <v>250</v>
      </c>
      <c r="J457" s="7" t="s">
        <v>370</v>
      </c>
    </row>
    <row r="458" spans="1:10" x14ac:dyDescent="0.3">
      <c r="A458" s="6" t="s">
        <v>1440</v>
      </c>
      <c r="B458" s="7" t="s">
        <v>127</v>
      </c>
      <c r="C458" s="7" t="s">
        <v>589</v>
      </c>
      <c r="D458" s="7" t="s">
        <v>26</v>
      </c>
      <c r="E458" s="7" t="s">
        <v>1435</v>
      </c>
      <c r="F458" s="7" t="s">
        <v>1436</v>
      </c>
      <c r="G458" s="7" t="s">
        <v>1441</v>
      </c>
      <c r="H458" s="7">
        <v>6</v>
      </c>
      <c r="I458" s="7" t="s">
        <v>1442</v>
      </c>
      <c r="J458" s="7" t="s">
        <v>901</v>
      </c>
    </row>
    <row r="459" spans="1:10" x14ac:dyDescent="0.3">
      <c r="A459" s="6" t="s">
        <v>1412</v>
      </c>
      <c r="B459" s="7" t="s">
        <v>127</v>
      </c>
      <c r="C459" s="7" t="s">
        <v>589</v>
      </c>
      <c r="D459" s="7" t="s">
        <v>26</v>
      </c>
      <c r="E459" s="7" t="s">
        <v>1413</v>
      </c>
      <c r="F459" s="7" t="s">
        <v>1414</v>
      </c>
      <c r="G459" s="7" t="s">
        <v>1415</v>
      </c>
      <c r="H459" s="7">
        <v>41</v>
      </c>
      <c r="I459" s="7" t="s">
        <v>1416</v>
      </c>
      <c r="J459" s="7" t="s">
        <v>599</v>
      </c>
    </row>
    <row r="460" spans="1:10" x14ac:dyDescent="0.3">
      <c r="A460" s="6" t="s">
        <v>1417</v>
      </c>
      <c r="B460" s="7" t="s">
        <v>127</v>
      </c>
      <c r="C460" s="7" t="s">
        <v>589</v>
      </c>
      <c r="D460" s="7" t="s">
        <v>26</v>
      </c>
      <c r="E460" s="7" t="s">
        <v>1418</v>
      </c>
      <c r="F460" s="7" t="s">
        <v>1419</v>
      </c>
      <c r="G460" s="7" t="s">
        <v>1420</v>
      </c>
      <c r="H460" s="7">
        <v>24</v>
      </c>
      <c r="I460" s="7" t="s">
        <v>196</v>
      </c>
      <c r="J460" s="7" t="s">
        <v>199</v>
      </c>
    </row>
    <row r="461" spans="1:10" x14ac:dyDescent="0.3">
      <c r="A461" s="6" t="s">
        <v>2279</v>
      </c>
      <c r="B461" s="7" t="s">
        <v>127</v>
      </c>
      <c r="C461" s="7" t="s">
        <v>589</v>
      </c>
      <c r="D461" s="7" t="s">
        <v>26</v>
      </c>
      <c r="E461" s="7" t="s">
        <v>2280</v>
      </c>
      <c r="F461" s="7" t="s">
        <v>2281</v>
      </c>
      <c r="G461" s="7" t="s">
        <v>2282</v>
      </c>
      <c r="H461" s="7">
        <v>52</v>
      </c>
      <c r="I461" s="7" t="s">
        <v>423</v>
      </c>
      <c r="J461" s="7" t="s">
        <v>246</v>
      </c>
    </row>
    <row r="462" spans="1:10" x14ac:dyDescent="0.3">
      <c r="A462" s="6" t="s">
        <v>2319</v>
      </c>
      <c r="B462" s="7" t="s">
        <v>127</v>
      </c>
      <c r="C462" s="7" t="s">
        <v>589</v>
      </c>
      <c r="D462" s="7" t="s">
        <v>26</v>
      </c>
      <c r="E462" s="7" t="s">
        <v>2320</v>
      </c>
      <c r="F462" s="7" t="s">
        <v>2321</v>
      </c>
      <c r="G462" s="7" t="s">
        <v>2322</v>
      </c>
      <c r="H462" s="7">
        <v>7</v>
      </c>
      <c r="I462" s="7" t="s">
        <v>343</v>
      </c>
      <c r="J462" s="7" t="s">
        <v>2324</v>
      </c>
    </row>
    <row r="463" spans="1:10" x14ac:dyDescent="0.3">
      <c r="A463" s="6" t="s">
        <v>1644</v>
      </c>
      <c r="B463" s="7" t="s">
        <v>127</v>
      </c>
      <c r="C463" s="7" t="s">
        <v>589</v>
      </c>
      <c r="D463" s="7" t="s">
        <v>30</v>
      </c>
      <c r="E463" s="7" t="s">
        <v>1341</v>
      </c>
      <c r="F463" s="7" t="s">
        <v>516</v>
      </c>
      <c r="G463" s="7" t="s">
        <v>1645</v>
      </c>
      <c r="H463" s="7">
        <v>4</v>
      </c>
      <c r="I463" s="7" t="s">
        <v>1280</v>
      </c>
      <c r="J463" s="7" t="s">
        <v>1646</v>
      </c>
    </row>
    <row r="464" spans="1:10" x14ac:dyDescent="0.3">
      <c r="A464" s="6" t="s">
        <v>1647</v>
      </c>
      <c r="B464" s="7" t="s">
        <v>127</v>
      </c>
      <c r="C464" s="7" t="s">
        <v>589</v>
      </c>
      <c r="D464" s="7" t="s">
        <v>30</v>
      </c>
      <c r="E464" s="7" t="s">
        <v>1648</v>
      </c>
      <c r="F464" s="7" t="s">
        <v>1035</v>
      </c>
      <c r="G464" s="7" t="s">
        <v>1649</v>
      </c>
      <c r="H464" s="7">
        <v>3</v>
      </c>
      <c r="I464" s="7" t="s">
        <v>1650</v>
      </c>
      <c r="J464" s="7" t="s">
        <v>1651</v>
      </c>
    </row>
    <row r="465" spans="1:10" x14ac:dyDescent="0.3">
      <c r="A465" s="6" t="s">
        <v>2456</v>
      </c>
      <c r="B465" s="7" t="s">
        <v>127</v>
      </c>
      <c r="C465" s="7" t="s">
        <v>589</v>
      </c>
      <c r="D465" s="7" t="s">
        <v>30</v>
      </c>
      <c r="E465" s="7" t="s">
        <v>1537</v>
      </c>
      <c r="F465" s="7" t="s">
        <v>2457</v>
      </c>
      <c r="G465" s="7" t="s">
        <v>2458</v>
      </c>
      <c r="H465" s="7">
        <v>8</v>
      </c>
      <c r="I465" s="7" t="s">
        <v>2061</v>
      </c>
      <c r="J465" s="7" t="s">
        <v>2462</v>
      </c>
    </row>
    <row r="466" spans="1:10" x14ac:dyDescent="0.3">
      <c r="A466" s="6" t="s">
        <v>610</v>
      </c>
      <c r="B466" s="7" t="s">
        <v>127</v>
      </c>
      <c r="C466" s="7" t="s">
        <v>589</v>
      </c>
      <c r="D466" s="7" t="s">
        <v>10</v>
      </c>
      <c r="E466" s="7" t="s">
        <v>163</v>
      </c>
      <c r="F466" s="7" t="s">
        <v>607</v>
      </c>
      <c r="G466" s="7" t="s">
        <v>611</v>
      </c>
      <c r="H466" s="7">
        <v>36</v>
      </c>
      <c r="I466" s="7" t="s">
        <v>394</v>
      </c>
      <c r="J466" s="7" t="s">
        <v>612</v>
      </c>
    </row>
    <row r="467" spans="1:10" x14ac:dyDescent="0.3">
      <c r="A467" s="6" t="s">
        <v>2263</v>
      </c>
      <c r="B467" s="7" t="s">
        <v>127</v>
      </c>
      <c r="C467" s="7" t="s">
        <v>1365</v>
      </c>
      <c r="D467" s="7" t="s">
        <v>24</v>
      </c>
      <c r="E467" s="7" t="s">
        <v>515</v>
      </c>
      <c r="F467" s="7" t="s">
        <v>516</v>
      </c>
      <c r="G467" s="7" t="s">
        <v>2264</v>
      </c>
      <c r="H467" s="7"/>
      <c r="I467" s="7" t="s">
        <v>2268</v>
      </c>
      <c r="J467" s="7" t="s">
        <v>2269</v>
      </c>
    </row>
    <row r="468" spans="1:10" x14ac:dyDescent="0.3">
      <c r="A468" s="6" t="s">
        <v>1597</v>
      </c>
      <c r="B468" s="7" t="s">
        <v>127</v>
      </c>
      <c r="C468" s="7" t="s">
        <v>589</v>
      </c>
      <c r="D468" s="7" t="s">
        <v>27</v>
      </c>
      <c r="E468" s="7" t="s">
        <v>1598</v>
      </c>
      <c r="F468" s="7" t="s">
        <v>1311</v>
      </c>
      <c r="G468" s="7" t="s">
        <v>1599</v>
      </c>
      <c r="H468" s="7">
        <v>12</v>
      </c>
      <c r="I468" s="7" t="s">
        <v>1313</v>
      </c>
      <c r="J468" s="7" t="s">
        <v>612</v>
      </c>
    </row>
    <row r="469" spans="1:10" x14ac:dyDescent="0.3">
      <c r="A469" s="6" t="s">
        <v>1513</v>
      </c>
      <c r="B469" s="7" t="s">
        <v>127</v>
      </c>
      <c r="C469" s="7" t="s">
        <v>589</v>
      </c>
      <c r="D469" s="7" t="s">
        <v>27</v>
      </c>
      <c r="E469" s="7" t="s">
        <v>1514</v>
      </c>
      <c r="F469" s="7" t="s">
        <v>1515</v>
      </c>
      <c r="G469" s="7" t="s">
        <v>1516</v>
      </c>
      <c r="H469" s="7">
        <v>10</v>
      </c>
      <c r="I469" s="7" t="s">
        <v>1517</v>
      </c>
      <c r="J469" s="7" t="s">
        <v>1518</v>
      </c>
    </row>
    <row r="470" spans="1:10" x14ac:dyDescent="0.3">
      <c r="A470" s="6" t="s">
        <v>679</v>
      </c>
      <c r="B470" s="7" t="s">
        <v>127</v>
      </c>
      <c r="C470" s="7" t="s">
        <v>589</v>
      </c>
      <c r="D470" s="7" t="s">
        <v>10</v>
      </c>
      <c r="E470" s="7" t="s">
        <v>680</v>
      </c>
      <c r="F470" s="7" t="s">
        <v>681</v>
      </c>
      <c r="G470" s="7" t="s">
        <v>112</v>
      </c>
      <c r="H470" s="7">
        <v>0</v>
      </c>
      <c r="I470" s="7" t="s">
        <v>682</v>
      </c>
      <c r="J470" s="7" t="s">
        <v>683</v>
      </c>
    </row>
    <row r="471" spans="1:10" x14ac:dyDescent="0.3">
      <c r="A471" s="6" t="s">
        <v>1290</v>
      </c>
      <c r="B471" s="7" t="s">
        <v>127</v>
      </c>
      <c r="C471" s="7" t="s">
        <v>589</v>
      </c>
      <c r="D471" s="7" t="s">
        <v>20</v>
      </c>
      <c r="E471" s="7" t="s">
        <v>1291</v>
      </c>
      <c r="F471" s="7"/>
      <c r="G471" s="7" t="s">
        <v>112</v>
      </c>
      <c r="H471" s="7"/>
      <c r="I471" s="7" t="s">
        <v>487</v>
      </c>
      <c r="J471" s="7" t="s">
        <v>683</v>
      </c>
    </row>
    <row r="472" spans="1:10" x14ac:dyDescent="0.3">
      <c r="A472" s="6" t="s">
        <v>1259</v>
      </c>
      <c r="B472" s="7" t="s">
        <v>127</v>
      </c>
      <c r="C472" s="7" t="s">
        <v>589</v>
      </c>
      <c r="D472" s="7" t="s">
        <v>20</v>
      </c>
      <c r="E472" s="7" t="s">
        <v>1260</v>
      </c>
      <c r="F472" s="7" t="s">
        <v>723</v>
      </c>
      <c r="G472" s="7" t="s">
        <v>84</v>
      </c>
      <c r="H472" s="7"/>
      <c r="I472" s="7" t="s">
        <v>87</v>
      </c>
      <c r="J472" s="7" t="s">
        <v>725</v>
      </c>
    </row>
    <row r="473" spans="1:10" x14ac:dyDescent="0.3">
      <c r="A473" s="6" t="s">
        <v>1345</v>
      </c>
      <c r="B473" s="7" t="s">
        <v>127</v>
      </c>
      <c r="C473" s="7" t="s">
        <v>589</v>
      </c>
      <c r="D473" s="7" t="s">
        <v>22</v>
      </c>
      <c r="E473" s="7" t="s">
        <v>722</v>
      </c>
      <c r="F473" s="7" t="s">
        <v>723</v>
      </c>
      <c r="G473" s="7" t="s">
        <v>724</v>
      </c>
      <c r="H473" s="7"/>
      <c r="I473" s="7" t="s">
        <v>87</v>
      </c>
      <c r="J473" s="7" t="s">
        <v>725</v>
      </c>
    </row>
    <row r="474" spans="1:10" x14ac:dyDescent="0.3">
      <c r="A474" s="6" t="s">
        <v>721</v>
      </c>
      <c r="B474" s="7" t="s">
        <v>127</v>
      </c>
      <c r="C474" s="7" t="s">
        <v>589</v>
      </c>
      <c r="D474" s="7" t="s">
        <v>11</v>
      </c>
      <c r="E474" s="7" t="s">
        <v>722</v>
      </c>
      <c r="F474" s="7" t="s">
        <v>723</v>
      </c>
      <c r="G474" s="7" t="s">
        <v>724</v>
      </c>
      <c r="H474" s="7"/>
      <c r="I474" s="7" t="s">
        <v>87</v>
      </c>
      <c r="J474" s="7" t="s">
        <v>725</v>
      </c>
    </row>
    <row r="475" spans="1:10" x14ac:dyDescent="0.3">
      <c r="A475" s="6" t="s">
        <v>1334</v>
      </c>
      <c r="B475" s="7" t="s">
        <v>127</v>
      </c>
      <c r="C475" s="7" t="s">
        <v>589</v>
      </c>
      <c r="D475" s="7" t="s">
        <v>21</v>
      </c>
      <c r="E475" s="7" t="s">
        <v>1335</v>
      </c>
      <c r="F475" s="7" t="s">
        <v>1336</v>
      </c>
      <c r="G475" s="7" t="s">
        <v>1337</v>
      </c>
      <c r="H475" s="7">
        <v>38</v>
      </c>
      <c r="I475" s="7" t="s">
        <v>1338</v>
      </c>
      <c r="J475" s="7" t="s">
        <v>1339</v>
      </c>
    </row>
    <row r="476" spans="1:10" x14ac:dyDescent="0.3">
      <c r="A476" s="6" t="s">
        <v>1340</v>
      </c>
      <c r="B476" s="7" t="s">
        <v>127</v>
      </c>
      <c r="C476" s="7" t="s">
        <v>589</v>
      </c>
      <c r="D476" s="7" t="s">
        <v>21</v>
      </c>
      <c r="E476" s="7" t="s">
        <v>1341</v>
      </c>
      <c r="F476" s="7" t="s">
        <v>1342</v>
      </c>
      <c r="G476" s="7" t="s">
        <v>1343</v>
      </c>
      <c r="H476" s="7">
        <v>8</v>
      </c>
      <c r="I476" s="7" t="s">
        <v>764</v>
      </c>
      <c r="J476" s="7" t="s">
        <v>1344</v>
      </c>
    </row>
    <row r="477" spans="1:10" x14ac:dyDescent="0.3">
      <c r="A477" s="6" t="s">
        <v>2201</v>
      </c>
      <c r="B477" s="7" t="s">
        <v>127</v>
      </c>
      <c r="C477" s="7" t="s">
        <v>589</v>
      </c>
      <c r="D477" s="7" t="s">
        <v>18</v>
      </c>
      <c r="E477" s="7" t="s">
        <v>515</v>
      </c>
      <c r="F477" s="7" t="s">
        <v>516</v>
      </c>
      <c r="G477" s="7" t="s">
        <v>2202</v>
      </c>
      <c r="H477" s="7"/>
      <c r="I477" s="7" t="s">
        <v>170</v>
      </c>
      <c r="J477" s="7" t="s">
        <v>2205</v>
      </c>
    </row>
    <row r="478" spans="1:10" x14ac:dyDescent="0.3">
      <c r="A478" s="6" t="s">
        <v>1357</v>
      </c>
      <c r="B478" s="7" t="s">
        <v>127</v>
      </c>
      <c r="C478" s="7" t="s">
        <v>589</v>
      </c>
      <c r="D478" s="7" t="s">
        <v>22</v>
      </c>
      <c r="E478" s="7" t="s">
        <v>1034</v>
      </c>
      <c r="F478" s="7" t="s">
        <v>1035</v>
      </c>
      <c r="G478" s="7" t="s">
        <v>1358</v>
      </c>
      <c r="H478" s="7"/>
      <c r="I478" s="7" t="s">
        <v>1359</v>
      </c>
      <c r="J478" s="7" t="s">
        <v>1360</v>
      </c>
    </row>
    <row r="479" spans="1:10" x14ac:dyDescent="0.3">
      <c r="A479" s="6" t="s">
        <v>1276</v>
      </c>
      <c r="B479" s="7" t="s">
        <v>127</v>
      </c>
      <c r="C479" s="7" t="s">
        <v>589</v>
      </c>
      <c r="D479" s="7" t="s">
        <v>20</v>
      </c>
      <c r="E479" s="7" t="s">
        <v>1277</v>
      </c>
      <c r="F479" s="7" t="s">
        <v>1278</v>
      </c>
      <c r="G479" s="7" t="s">
        <v>1279</v>
      </c>
      <c r="H479" s="7"/>
      <c r="I479" s="7" t="s">
        <v>1280</v>
      </c>
      <c r="J479" s="7" t="s">
        <v>781</v>
      </c>
    </row>
    <row r="480" spans="1:10" x14ac:dyDescent="0.3">
      <c r="A480" s="6" t="s">
        <v>1322</v>
      </c>
      <c r="B480" s="7" t="s">
        <v>127</v>
      </c>
      <c r="C480" s="7" t="s">
        <v>589</v>
      </c>
      <c r="D480" s="7" t="s">
        <v>20</v>
      </c>
      <c r="E480" s="7" t="s">
        <v>1323</v>
      </c>
      <c r="F480" s="7" t="s">
        <v>1324</v>
      </c>
      <c r="G480" s="7" t="s">
        <v>1325</v>
      </c>
      <c r="H480" s="7"/>
      <c r="I480" s="7" t="s">
        <v>1280</v>
      </c>
      <c r="J480" s="7" t="s">
        <v>781</v>
      </c>
    </row>
    <row r="481" spans="1:10" x14ac:dyDescent="0.3">
      <c r="A481" s="6" t="s">
        <v>1281</v>
      </c>
      <c r="B481" s="7" t="s">
        <v>127</v>
      </c>
      <c r="C481" s="7" t="s">
        <v>589</v>
      </c>
      <c r="D481" s="7" t="s">
        <v>20</v>
      </c>
      <c r="E481" s="7" t="s">
        <v>1282</v>
      </c>
      <c r="F481" s="7" t="s">
        <v>1283</v>
      </c>
      <c r="G481" s="7" t="s">
        <v>1284</v>
      </c>
      <c r="H481" s="7"/>
      <c r="I481" s="7" t="s">
        <v>1280</v>
      </c>
      <c r="J481" s="7" t="s">
        <v>781</v>
      </c>
    </row>
    <row r="482" spans="1:10" x14ac:dyDescent="0.3">
      <c r="A482" s="6" t="s">
        <v>1245</v>
      </c>
      <c r="B482" s="7" t="s">
        <v>127</v>
      </c>
      <c r="C482" s="7" t="s">
        <v>589</v>
      </c>
      <c r="D482" s="7" t="s">
        <v>20</v>
      </c>
      <c r="E482" s="7" t="s">
        <v>1246</v>
      </c>
      <c r="F482" s="7" t="s">
        <v>1247</v>
      </c>
      <c r="G482" s="7" t="s">
        <v>1248</v>
      </c>
      <c r="H482" s="7"/>
      <c r="I482" s="7" t="s">
        <v>1249</v>
      </c>
      <c r="J482" s="7" t="s">
        <v>1081</v>
      </c>
    </row>
    <row r="483" spans="1:10" x14ac:dyDescent="0.3">
      <c r="A483" s="6" t="s">
        <v>1351</v>
      </c>
      <c r="B483" s="7" t="s">
        <v>127</v>
      </c>
      <c r="C483" s="7" t="s">
        <v>589</v>
      </c>
      <c r="D483" s="7" t="s">
        <v>22</v>
      </c>
      <c r="E483" s="7" t="s">
        <v>515</v>
      </c>
      <c r="F483" s="7" t="s">
        <v>516</v>
      </c>
      <c r="G483" s="7" t="s">
        <v>1352</v>
      </c>
      <c r="H483" s="7"/>
      <c r="I483" s="7" t="s">
        <v>165</v>
      </c>
      <c r="J483" s="7" t="s">
        <v>143</v>
      </c>
    </row>
    <row r="484" spans="1:10" x14ac:dyDescent="0.3">
      <c r="A484" s="6" t="s">
        <v>2257</v>
      </c>
      <c r="B484" s="7" t="s">
        <v>127</v>
      </c>
      <c r="C484" s="7" t="s">
        <v>589</v>
      </c>
      <c r="D484" s="7" t="s">
        <v>23</v>
      </c>
      <c r="E484" s="7" t="s">
        <v>2258</v>
      </c>
      <c r="F484" s="7" t="s">
        <v>2259</v>
      </c>
      <c r="G484" s="7" t="s">
        <v>2260</v>
      </c>
      <c r="H484" s="7"/>
      <c r="I484" s="7" t="s">
        <v>324</v>
      </c>
      <c r="J484" s="7" t="s">
        <v>294</v>
      </c>
    </row>
    <row r="485" spans="1:10" x14ac:dyDescent="0.3">
      <c r="A485" s="6" t="s">
        <v>1303</v>
      </c>
      <c r="B485" s="7" t="s">
        <v>127</v>
      </c>
      <c r="C485" s="7" t="s">
        <v>589</v>
      </c>
      <c r="D485" s="7" t="s">
        <v>20</v>
      </c>
      <c r="E485" s="7" t="s">
        <v>1304</v>
      </c>
      <c r="F485" s="7" t="s">
        <v>1305</v>
      </c>
      <c r="G485" s="7" t="s">
        <v>1306</v>
      </c>
      <c r="H485" s="7"/>
      <c r="I485" s="7" t="s">
        <v>1307</v>
      </c>
      <c r="J485" s="7" t="s">
        <v>1308</v>
      </c>
    </row>
    <row r="486" spans="1:10" x14ac:dyDescent="0.3">
      <c r="A486" s="6" t="s">
        <v>1250</v>
      </c>
      <c r="B486" s="7" t="s">
        <v>127</v>
      </c>
      <c r="C486" s="7" t="s">
        <v>589</v>
      </c>
      <c r="D486" s="7" t="s">
        <v>20</v>
      </c>
      <c r="E486" s="7" t="s">
        <v>1251</v>
      </c>
      <c r="F486" s="7" t="s">
        <v>633</v>
      </c>
      <c r="G486" s="7" t="s">
        <v>1252</v>
      </c>
      <c r="H486" s="7"/>
      <c r="I486" s="7" t="s">
        <v>1253</v>
      </c>
      <c r="J486" s="7" t="s">
        <v>404</v>
      </c>
    </row>
    <row r="487" spans="1:10" x14ac:dyDescent="0.3">
      <c r="A487" s="6" t="s">
        <v>706</v>
      </c>
      <c r="B487" s="7" t="s">
        <v>127</v>
      </c>
      <c r="C487" s="7" t="s">
        <v>589</v>
      </c>
      <c r="D487" s="7" t="s">
        <v>10</v>
      </c>
      <c r="E487" s="7" t="s">
        <v>703</v>
      </c>
      <c r="F487" s="7" t="s">
        <v>704</v>
      </c>
      <c r="G487" s="7" t="s">
        <v>707</v>
      </c>
      <c r="H487" s="7">
        <v>9</v>
      </c>
      <c r="I487" s="7" t="s">
        <v>324</v>
      </c>
      <c r="J487" s="7" t="s">
        <v>294</v>
      </c>
    </row>
    <row r="488" spans="1:10" x14ac:dyDescent="0.3">
      <c r="A488" s="6" t="s">
        <v>1631</v>
      </c>
      <c r="B488" s="7" t="s">
        <v>127</v>
      </c>
      <c r="C488" s="7" t="s">
        <v>589</v>
      </c>
      <c r="D488" s="7" t="s">
        <v>27</v>
      </c>
      <c r="E488" s="7" t="s">
        <v>1627</v>
      </c>
      <c r="F488" s="7" t="s">
        <v>1628</v>
      </c>
      <c r="G488" s="7" t="s">
        <v>1632</v>
      </c>
      <c r="H488" s="7">
        <v>6</v>
      </c>
      <c r="I488" s="7" t="s">
        <v>64</v>
      </c>
      <c r="J488" s="7" t="s">
        <v>1633</v>
      </c>
    </row>
    <row r="489" spans="1:10" x14ac:dyDescent="0.3">
      <c r="A489" s="6" t="s">
        <v>1583</v>
      </c>
      <c r="B489" s="7" t="s">
        <v>127</v>
      </c>
      <c r="C489" s="7" t="s">
        <v>589</v>
      </c>
      <c r="D489" s="7" t="s">
        <v>27</v>
      </c>
      <c r="E489" s="7" t="s">
        <v>1584</v>
      </c>
      <c r="F489" s="7" t="s">
        <v>1585</v>
      </c>
      <c r="G489" s="7" t="s">
        <v>1586</v>
      </c>
      <c r="H489" s="7">
        <v>170</v>
      </c>
      <c r="I489" s="7" t="s">
        <v>992</v>
      </c>
      <c r="J489" s="7" t="s">
        <v>1587</v>
      </c>
    </row>
    <row r="490" spans="1:10" x14ac:dyDescent="0.3">
      <c r="A490" s="6" t="s">
        <v>1541</v>
      </c>
      <c r="B490" s="7" t="s">
        <v>127</v>
      </c>
      <c r="C490" s="7" t="s">
        <v>589</v>
      </c>
      <c r="D490" s="7" t="s">
        <v>27</v>
      </c>
      <c r="E490" s="7" t="s">
        <v>1537</v>
      </c>
      <c r="F490" s="7" t="s">
        <v>1538</v>
      </c>
      <c r="G490" s="7" t="s">
        <v>1542</v>
      </c>
      <c r="H490" s="7">
        <v>7</v>
      </c>
      <c r="I490" s="7" t="s">
        <v>279</v>
      </c>
      <c r="J490" s="7" t="s">
        <v>1543</v>
      </c>
    </row>
    <row r="491" spans="1:10" x14ac:dyDescent="0.3">
      <c r="A491" s="6" t="s">
        <v>1579</v>
      </c>
      <c r="B491" s="7" t="s">
        <v>127</v>
      </c>
      <c r="C491" s="7" t="s">
        <v>589</v>
      </c>
      <c r="D491" s="7" t="s">
        <v>27</v>
      </c>
      <c r="E491" s="7" t="s">
        <v>1580</v>
      </c>
      <c r="F491" s="7" t="s">
        <v>1581</v>
      </c>
      <c r="G491" s="7" t="s">
        <v>1582</v>
      </c>
      <c r="H491" s="7">
        <v>64</v>
      </c>
      <c r="I491" s="7" t="s">
        <v>541</v>
      </c>
      <c r="J491" s="7" t="s">
        <v>189</v>
      </c>
    </row>
    <row r="492" spans="1:10" x14ac:dyDescent="0.3">
      <c r="A492" s="6" t="s">
        <v>1503</v>
      </c>
      <c r="B492" s="7" t="s">
        <v>127</v>
      </c>
      <c r="C492" s="7" t="s">
        <v>589</v>
      </c>
      <c r="D492" s="7" t="s">
        <v>27</v>
      </c>
      <c r="E492" s="7" t="s">
        <v>1504</v>
      </c>
      <c r="F492" s="7" t="s">
        <v>1505</v>
      </c>
      <c r="G492" s="7" t="s">
        <v>1506</v>
      </c>
      <c r="H492" s="7">
        <v>7</v>
      </c>
      <c r="I492" s="7" t="s">
        <v>487</v>
      </c>
      <c r="J492" s="7" t="s">
        <v>1507</v>
      </c>
    </row>
    <row r="493" spans="1:10" x14ac:dyDescent="0.3">
      <c r="A493" s="6" t="s">
        <v>2305</v>
      </c>
      <c r="B493" s="7" t="s">
        <v>127</v>
      </c>
      <c r="C493" s="7" t="s">
        <v>589</v>
      </c>
      <c r="D493" s="7" t="s">
        <v>26</v>
      </c>
      <c r="E493" s="7" t="s">
        <v>2306</v>
      </c>
      <c r="F493" s="7" t="s">
        <v>2307</v>
      </c>
      <c r="G493" s="7" t="s">
        <v>2308</v>
      </c>
      <c r="H493" s="7">
        <v>23</v>
      </c>
      <c r="I493" s="7" t="s">
        <v>2311</v>
      </c>
      <c r="J493" s="7" t="s">
        <v>404</v>
      </c>
    </row>
    <row r="494" spans="1:10" x14ac:dyDescent="0.3">
      <c r="A494" s="6" t="s">
        <v>1397</v>
      </c>
      <c r="B494" s="7" t="s">
        <v>127</v>
      </c>
      <c r="C494" s="7" t="s">
        <v>589</v>
      </c>
      <c r="D494" s="7" t="s">
        <v>26</v>
      </c>
      <c r="E494" s="7" t="s">
        <v>1392</v>
      </c>
      <c r="F494" s="7" t="s">
        <v>1393</v>
      </c>
      <c r="G494" s="7" t="s">
        <v>1398</v>
      </c>
      <c r="H494" s="7">
        <v>1</v>
      </c>
      <c r="I494" s="7" t="s">
        <v>328</v>
      </c>
      <c r="J494" s="7" t="s">
        <v>371</v>
      </c>
    </row>
    <row r="495" spans="1:10" x14ac:dyDescent="0.3">
      <c r="A495" s="6" t="s">
        <v>2331</v>
      </c>
      <c r="B495" s="7" t="s">
        <v>127</v>
      </c>
      <c r="C495" s="7" t="s">
        <v>589</v>
      </c>
      <c r="D495" s="7" t="s">
        <v>26</v>
      </c>
      <c r="E495" s="7" t="s">
        <v>2332</v>
      </c>
      <c r="F495" s="7" t="s">
        <v>2333</v>
      </c>
      <c r="G495" s="7" t="s">
        <v>2334</v>
      </c>
      <c r="H495" s="7">
        <v>28</v>
      </c>
      <c r="I495" s="7" t="s">
        <v>2336</v>
      </c>
      <c r="J495" s="7" t="s">
        <v>955</v>
      </c>
    </row>
    <row r="496" spans="1:10" x14ac:dyDescent="0.3">
      <c r="A496" s="6" t="s">
        <v>1452</v>
      </c>
      <c r="B496" s="7" t="s">
        <v>127</v>
      </c>
      <c r="C496" s="7" t="s">
        <v>589</v>
      </c>
      <c r="D496" s="7" t="s">
        <v>26</v>
      </c>
      <c r="E496" s="7" t="s">
        <v>1448</v>
      </c>
      <c r="F496" s="7" t="s">
        <v>1449</v>
      </c>
      <c r="G496" s="7" t="s">
        <v>1453</v>
      </c>
      <c r="H496" s="7">
        <v>27</v>
      </c>
      <c r="I496" s="7" t="s">
        <v>577</v>
      </c>
      <c r="J496" s="7" t="s">
        <v>294</v>
      </c>
    </row>
    <row r="497" spans="1:10" x14ac:dyDescent="0.3">
      <c r="A497" s="6" t="s">
        <v>1639</v>
      </c>
      <c r="B497" s="7" t="s">
        <v>127</v>
      </c>
      <c r="C497" s="7" t="s">
        <v>589</v>
      </c>
      <c r="D497" s="7" t="s">
        <v>27</v>
      </c>
      <c r="E497" s="7" t="s">
        <v>1640</v>
      </c>
      <c r="F497" s="7" t="s">
        <v>1188</v>
      </c>
      <c r="G497" s="7" t="s">
        <v>1641</v>
      </c>
      <c r="H497" s="7">
        <v>49</v>
      </c>
      <c r="I497" s="7" t="s">
        <v>1134</v>
      </c>
      <c r="J497" s="7" t="s">
        <v>189</v>
      </c>
    </row>
    <row r="498" spans="1:10" x14ac:dyDescent="0.3">
      <c r="A498" s="6" t="s">
        <v>1234</v>
      </c>
      <c r="B498" s="7" t="s">
        <v>127</v>
      </c>
      <c r="C498" s="7" t="s">
        <v>589</v>
      </c>
      <c r="D498" s="7" t="s">
        <v>20</v>
      </c>
      <c r="E498" s="7" t="s">
        <v>1235</v>
      </c>
      <c r="F498" s="7" t="s">
        <v>591</v>
      </c>
      <c r="G498" s="7" t="s">
        <v>1236</v>
      </c>
      <c r="H498" s="7"/>
      <c r="I498" s="7" t="s">
        <v>1237</v>
      </c>
      <c r="J498" s="7" t="s">
        <v>1238</v>
      </c>
    </row>
    <row r="499" spans="1:10" x14ac:dyDescent="0.3">
      <c r="A499" s="6" t="s">
        <v>1361</v>
      </c>
      <c r="B499" s="7" t="s">
        <v>127</v>
      </c>
      <c r="C499" s="7" t="s">
        <v>589</v>
      </c>
      <c r="D499" s="7" t="s">
        <v>22</v>
      </c>
      <c r="E499" s="7" t="s">
        <v>1034</v>
      </c>
      <c r="F499" s="7" t="s">
        <v>1035</v>
      </c>
      <c r="G499" s="7" t="s">
        <v>1362</v>
      </c>
      <c r="H499" s="7"/>
      <c r="I499" s="7" t="s">
        <v>1363</v>
      </c>
      <c r="J499" s="7" t="s">
        <v>885</v>
      </c>
    </row>
    <row r="500" spans="1:10" x14ac:dyDescent="0.3">
      <c r="A500" s="6" t="s">
        <v>1210</v>
      </c>
      <c r="B500" s="7" t="s">
        <v>127</v>
      </c>
      <c r="C500" s="7" t="s">
        <v>589</v>
      </c>
      <c r="D500" s="7" t="s">
        <v>17</v>
      </c>
      <c r="E500" s="7" t="s">
        <v>515</v>
      </c>
      <c r="F500" s="7" t="s">
        <v>516</v>
      </c>
      <c r="G500" s="7" t="s">
        <v>1211</v>
      </c>
      <c r="H500" s="7"/>
      <c r="I500" s="7" t="s">
        <v>1212</v>
      </c>
      <c r="J500" s="7" t="s">
        <v>1213</v>
      </c>
    </row>
    <row r="501" spans="1:10" x14ac:dyDescent="0.3">
      <c r="A501" s="6" t="s">
        <v>1770</v>
      </c>
      <c r="B501" s="7" t="s">
        <v>127</v>
      </c>
      <c r="C501" s="7" t="s">
        <v>589</v>
      </c>
      <c r="D501" s="7" t="s">
        <v>10</v>
      </c>
      <c r="E501" s="7" t="s">
        <v>1771</v>
      </c>
      <c r="F501" s="7" t="s">
        <v>1772</v>
      </c>
      <c r="G501" s="7" t="s">
        <v>1773</v>
      </c>
      <c r="H501" s="7">
        <v>13</v>
      </c>
      <c r="I501" s="7" t="s">
        <v>403</v>
      </c>
      <c r="J501" s="7"/>
    </row>
    <row r="502" spans="1:10" x14ac:dyDescent="0.3">
      <c r="A502" s="6" t="s">
        <v>1554</v>
      </c>
      <c r="B502" s="7" t="s">
        <v>127</v>
      </c>
      <c r="C502" s="7" t="s">
        <v>589</v>
      </c>
      <c r="D502" s="7" t="s">
        <v>27</v>
      </c>
      <c r="E502" s="7" t="s">
        <v>1555</v>
      </c>
      <c r="F502" s="7" t="s">
        <v>1556</v>
      </c>
      <c r="G502" s="7" t="s">
        <v>1557</v>
      </c>
      <c r="H502" s="7">
        <v>10</v>
      </c>
      <c r="I502" s="7" t="s">
        <v>78</v>
      </c>
      <c r="J502" s="7" t="s">
        <v>1558</v>
      </c>
    </row>
    <row r="503" spans="1:10" x14ac:dyDescent="0.3">
      <c r="A503" s="6" t="s">
        <v>1480</v>
      </c>
      <c r="B503" s="7" t="s">
        <v>127</v>
      </c>
      <c r="C503" s="7" t="s">
        <v>589</v>
      </c>
      <c r="D503" s="7" t="s">
        <v>27</v>
      </c>
      <c r="E503" s="7" t="s">
        <v>1481</v>
      </c>
      <c r="F503" s="7" t="s">
        <v>1482</v>
      </c>
      <c r="G503" s="7" t="s">
        <v>1483</v>
      </c>
      <c r="H503" s="7">
        <v>18</v>
      </c>
      <c r="I503" s="7" t="s">
        <v>196</v>
      </c>
      <c r="J503" s="7" t="s">
        <v>505</v>
      </c>
    </row>
    <row r="504" spans="1:10" x14ac:dyDescent="0.3">
      <c r="A504" s="6" t="s">
        <v>1399</v>
      </c>
      <c r="B504" s="7" t="s">
        <v>127</v>
      </c>
      <c r="C504" s="7" t="s">
        <v>589</v>
      </c>
      <c r="D504" s="7" t="s">
        <v>26</v>
      </c>
      <c r="E504" s="7" t="s">
        <v>1392</v>
      </c>
      <c r="F504" s="7" t="s">
        <v>1393</v>
      </c>
      <c r="G504" s="7" t="s">
        <v>1400</v>
      </c>
      <c r="H504" s="7">
        <v>7</v>
      </c>
      <c r="I504" s="7" t="s">
        <v>328</v>
      </c>
      <c r="J504" s="7" t="s">
        <v>1401</v>
      </c>
    </row>
    <row r="505" spans="1:10" x14ac:dyDescent="0.3">
      <c r="A505" s="6" t="s">
        <v>1407</v>
      </c>
      <c r="B505" s="7" t="s">
        <v>127</v>
      </c>
      <c r="C505" s="7" t="s">
        <v>589</v>
      </c>
      <c r="D505" s="7" t="s">
        <v>26</v>
      </c>
      <c r="E505" s="7" t="s">
        <v>1408</v>
      </c>
      <c r="F505" s="7" t="s">
        <v>1409</v>
      </c>
      <c r="G505" s="7" t="s">
        <v>1410</v>
      </c>
      <c r="H505" s="7">
        <v>4</v>
      </c>
      <c r="I505" s="7" t="s">
        <v>1411</v>
      </c>
      <c r="J505" s="7" t="s">
        <v>199</v>
      </c>
    </row>
    <row r="506" spans="1:10" x14ac:dyDescent="0.3">
      <c r="A506" s="6" t="s">
        <v>2284</v>
      </c>
      <c r="B506" s="7" t="s">
        <v>127</v>
      </c>
      <c r="C506" s="7" t="s">
        <v>589</v>
      </c>
      <c r="D506" s="7" t="s">
        <v>26</v>
      </c>
      <c r="E506" s="7" t="s">
        <v>1380</v>
      </c>
      <c r="F506" s="7" t="s">
        <v>1381</v>
      </c>
      <c r="G506" s="7" t="s">
        <v>2285</v>
      </c>
      <c r="H506" s="7">
        <v>44</v>
      </c>
      <c r="I506" s="7" t="s">
        <v>2287</v>
      </c>
      <c r="J506" s="7" t="s">
        <v>199</v>
      </c>
    </row>
    <row r="507" spans="1:10" x14ac:dyDescent="0.3">
      <c r="A507" s="6" t="s">
        <v>623</v>
      </c>
      <c r="B507" s="7" t="s">
        <v>127</v>
      </c>
      <c r="C507" s="7" t="s">
        <v>589</v>
      </c>
      <c r="D507" s="7" t="s">
        <v>10</v>
      </c>
      <c r="E507" s="7" t="s">
        <v>618</v>
      </c>
      <c r="F507" s="7" t="s">
        <v>619</v>
      </c>
      <c r="G507" s="7" t="s">
        <v>624</v>
      </c>
      <c r="H507" s="7">
        <v>46</v>
      </c>
      <c r="I507" s="7" t="s">
        <v>625</v>
      </c>
      <c r="J507" s="7" t="s">
        <v>622</v>
      </c>
    </row>
    <row r="508" spans="1:10" x14ac:dyDescent="0.3">
      <c r="A508" s="6" t="s">
        <v>1402</v>
      </c>
      <c r="B508" s="7" t="s">
        <v>127</v>
      </c>
      <c r="C508" s="7" t="s">
        <v>589</v>
      </c>
      <c r="D508" s="7" t="s">
        <v>26</v>
      </c>
      <c r="E508" s="7" t="s">
        <v>1403</v>
      </c>
      <c r="F508" s="7" t="s">
        <v>1404</v>
      </c>
      <c r="G508" s="7" t="s">
        <v>1405</v>
      </c>
      <c r="H508" s="7">
        <v>23</v>
      </c>
      <c r="I508" s="7" t="s">
        <v>328</v>
      </c>
      <c r="J508" s="7" t="s">
        <v>1406</v>
      </c>
    </row>
    <row r="509" spans="1:10" x14ac:dyDescent="0.3">
      <c r="A509" s="6" t="s">
        <v>2294</v>
      </c>
      <c r="B509" s="7" t="s">
        <v>127</v>
      </c>
      <c r="C509" s="7" t="s">
        <v>589</v>
      </c>
      <c r="D509" s="7" t="s">
        <v>26</v>
      </c>
      <c r="E509" s="7" t="s">
        <v>1384</v>
      </c>
      <c r="F509" s="7" t="s">
        <v>1385</v>
      </c>
      <c r="G509" s="7" t="s">
        <v>2295</v>
      </c>
      <c r="H509" s="7">
        <v>23</v>
      </c>
      <c r="I509" s="7" t="s">
        <v>232</v>
      </c>
      <c r="J509" s="7" t="s">
        <v>2297</v>
      </c>
    </row>
    <row r="510" spans="1:10" x14ac:dyDescent="0.3">
      <c r="A510" s="6" t="s">
        <v>2463</v>
      </c>
      <c r="B510" s="7" t="s">
        <v>2464</v>
      </c>
      <c r="C510" s="7" t="s">
        <v>2465</v>
      </c>
      <c r="D510" s="7" t="s">
        <v>31</v>
      </c>
      <c r="E510" s="7" t="s">
        <v>2466</v>
      </c>
      <c r="F510" s="7" t="s">
        <v>1035</v>
      </c>
      <c r="G510" s="7" t="s">
        <v>2467</v>
      </c>
      <c r="H510" s="7">
        <v>3</v>
      </c>
      <c r="I510" s="7" t="s">
        <v>2471</v>
      </c>
      <c r="J510" s="7" t="s">
        <v>1150</v>
      </c>
    </row>
    <row r="511" spans="1:10" x14ac:dyDescent="0.3">
      <c r="A511" s="6" t="s">
        <v>689</v>
      </c>
      <c r="B511" s="7" t="s">
        <v>127</v>
      </c>
      <c r="C511" s="7" t="s">
        <v>589</v>
      </c>
      <c r="D511" s="7" t="s">
        <v>10</v>
      </c>
      <c r="E511" s="7" t="s">
        <v>690</v>
      </c>
      <c r="F511" s="7" t="s">
        <v>516</v>
      </c>
      <c r="G511" s="7" t="s">
        <v>691</v>
      </c>
      <c r="H511" s="7">
        <v>4</v>
      </c>
      <c r="I511" s="7" t="s">
        <v>324</v>
      </c>
      <c r="J511" s="7" t="s">
        <v>294</v>
      </c>
    </row>
    <row r="512" spans="1:10" x14ac:dyDescent="0.3">
      <c r="A512" s="6" t="s">
        <v>588</v>
      </c>
      <c r="B512" s="7" t="s">
        <v>127</v>
      </c>
      <c r="C512" s="7" t="s">
        <v>589</v>
      </c>
      <c r="D512" s="7" t="s">
        <v>10</v>
      </c>
      <c r="E512" s="7" t="s">
        <v>590</v>
      </c>
      <c r="F512" s="7" t="s">
        <v>591</v>
      </c>
      <c r="G512" s="7" t="s">
        <v>592</v>
      </c>
      <c r="H512" s="7">
        <v>5</v>
      </c>
      <c r="I512" s="7" t="s">
        <v>99</v>
      </c>
      <c r="J512" s="7" t="s">
        <v>593</v>
      </c>
    </row>
    <row r="513" spans="1:10" x14ac:dyDescent="0.3">
      <c r="A513" s="6" t="s">
        <v>1616</v>
      </c>
      <c r="B513" s="7" t="s">
        <v>127</v>
      </c>
      <c r="C513" s="7" t="s">
        <v>589</v>
      </c>
      <c r="D513" s="7" t="s">
        <v>27</v>
      </c>
      <c r="E513" s="7" t="s">
        <v>1617</v>
      </c>
      <c r="F513" s="7" t="s">
        <v>1618</v>
      </c>
      <c r="G513" s="7" t="s">
        <v>1619</v>
      </c>
      <c r="H513" s="7">
        <v>3</v>
      </c>
      <c r="I513" s="7" t="s">
        <v>1620</v>
      </c>
      <c r="J513" s="7" t="s">
        <v>1621</v>
      </c>
    </row>
    <row r="514" spans="1:10" x14ac:dyDescent="0.3">
      <c r="A514" s="6" t="s">
        <v>1206</v>
      </c>
      <c r="B514" s="7" t="s">
        <v>127</v>
      </c>
      <c r="C514" s="7" t="s">
        <v>589</v>
      </c>
      <c r="D514" s="7" t="s">
        <v>14</v>
      </c>
      <c r="E514" s="7" t="s">
        <v>1207</v>
      </c>
      <c r="F514" s="7" t="s">
        <v>1208</v>
      </c>
      <c r="G514" s="7" t="s">
        <v>1209</v>
      </c>
      <c r="H514" s="7">
        <v>15</v>
      </c>
      <c r="I514" s="7" t="s">
        <v>285</v>
      </c>
      <c r="J514" s="7" t="s">
        <v>1131</v>
      </c>
    </row>
    <row r="515" spans="1:10" x14ac:dyDescent="0.3">
      <c r="A515" s="6" t="s">
        <v>1427</v>
      </c>
      <c r="B515" s="7" t="s">
        <v>127</v>
      </c>
      <c r="C515" s="7" t="s">
        <v>589</v>
      </c>
      <c r="D515" s="7" t="s">
        <v>26</v>
      </c>
      <c r="E515" s="7" t="s">
        <v>1428</v>
      </c>
      <c r="F515" s="7" t="s">
        <v>415</v>
      </c>
      <c r="G515" s="7" t="s">
        <v>1429</v>
      </c>
      <c r="H515" s="7">
        <v>4</v>
      </c>
      <c r="I515" s="7" t="s">
        <v>270</v>
      </c>
      <c r="J515" s="7" t="s">
        <v>189</v>
      </c>
    </row>
    <row r="516" spans="1:10" x14ac:dyDescent="0.3">
      <c r="A516" s="6" t="s">
        <v>2451</v>
      </c>
      <c r="B516" s="7" t="s">
        <v>127</v>
      </c>
      <c r="C516" s="7" t="s">
        <v>589</v>
      </c>
      <c r="D516" s="7" t="s">
        <v>29</v>
      </c>
      <c r="E516" s="7" t="s">
        <v>515</v>
      </c>
      <c r="F516" s="7" t="s">
        <v>516</v>
      </c>
      <c r="G516" s="7" t="s">
        <v>2452</v>
      </c>
      <c r="H516" s="7"/>
      <c r="I516" s="7" t="s">
        <v>1769</v>
      </c>
      <c r="J516" s="7" t="s">
        <v>343</v>
      </c>
    </row>
    <row r="517" spans="1:10" x14ac:dyDescent="0.3">
      <c r="A517" s="6" t="s">
        <v>1867</v>
      </c>
      <c r="B517" s="7" t="s">
        <v>127</v>
      </c>
      <c r="C517" s="7" t="s">
        <v>727</v>
      </c>
      <c r="D517" s="7" t="s">
        <v>12</v>
      </c>
      <c r="E517" s="7" t="s">
        <v>1024</v>
      </c>
      <c r="F517" s="7" t="s">
        <v>1025</v>
      </c>
      <c r="G517" s="7" t="s">
        <v>1868</v>
      </c>
      <c r="H517" s="7">
        <v>1</v>
      </c>
      <c r="I517" s="7" t="s">
        <v>1871</v>
      </c>
      <c r="J517" s="7" t="s">
        <v>1872</v>
      </c>
    </row>
    <row r="518" spans="1:10" x14ac:dyDescent="0.3">
      <c r="A518" s="6" t="s">
        <v>2253</v>
      </c>
      <c r="B518" s="7" t="s">
        <v>127</v>
      </c>
      <c r="C518" s="7" t="s">
        <v>589</v>
      </c>
      <c r="D518" s="7" t="s">
        <v>22</v>
      </c>
      <c r="E518" s="7" t="s">
        <v>1347</v>
      </c>
      <c r="F518" s="7" t="s">
        <v>1204</v>
      </c>
      <c r="G518" s="7" t="s">
        <v>2254</v>
      </c>
      <c r="H518" s="7"/>
      <c r="I518" s="7" t="s">
        <v>2256</v>
      </c>
      <c r="J518" s="7" t="s">
        <v>542</v>
      </c>
    </row>
    <row r="519" spans="1:10" x14ac:dyDescent="0.3">
      <c r="A519" s="6" t="s">
        <v>2496</v>
      </c>
      <c r="B519" s="7" t="s">
        <v>1215</v>
      </c>
      <c r="C519" s="7" t="s">
        <v>1045</v>
      </c>
      <c r="D519" s="7" t="s">
        <v>19</v>
      </c>
      <c r="E519" s="7" t="s">
        <v>2497</v>
      </c>
      <c r="F519" s="7" t="s">
        <v>2498</v>
      </c>
      <c r="G519" s="7" t="s">
        <v>2499</v>
      </c>
      <c r="H519" s="7">
        <v>12</v>
      </c>
      <c r="I519" s="7"/>
      <c r="J519" s="7"/>
    </row>
    <row r="520" spans="1:10" x14ac:dyDescent="0.3">
      <c r="A520" s="6" t="s">
        <v>2245</v>
      </c>
      <c r="B520" s="7" t="s">
        <v>127</v>
      </c>
      <c r="C520" s="7" t="s">
        <v>589</v>
      </c>
      <c r="D520" s="7" t="s">
        <v>20</v>
      </c>
      <c r="E520" s="7" t="s">
        <v>2246</v>
      </c>
      <c r="F520" s="7" t="s">
        <v>2247</v>
      </c>
      <c r="G520" s="7" t="s">
        <v>2247</v>
      </c>
      <c r="H520" s="7"/>
      <c r="I520" s="7" t="s">
        <v>2249</v>
      </c>
      <c r="J520" s="7" t="s">
        <v>666</v>
      </c>
    </row>
    <row r="521" spans="1:10" x14ac:dyDescent="0.3">
      <c r="A521" s="6" t="s">
        <v>2091</v>
      </c>
      <c r="B521" s="7" t="s">
        <v>1945</v>
      </c>
      <c r="C521" s="7" t="s">
        <v>1946</v>
      </c>
      <c r="D521" s="7" t="s">
        <v>15</v>
      </c>
      <c r="E521" s="7" t="s">
        <v>2092</v>
      </c>
      <c r="F521" s="7" t="s">
        <v>2093</v>
      </c>
      <c r="G521" s="7" t="s">
        <v>2094</v>
      </c>
      <c r="H521" s="7">
        <v>2</v>
      </c>
      <c r="I521" s="7" t="s">
        <v>2096</v>
      </c>
      <c r="J521" s="7" t="s">
        <v>189</v>
      </c>
    </row>
    <row r="522" spans="1:10" x14ac:dyDescent="0.3">
      <c r="A522" s="6" t="s">
        <v>1254</v>
      </c>
      <c r="B522" s="7" t="s">
        <v>127</v>
      </c>
      <c r="C522" s="7" t="s">
        <v>589</v>
      </c>
      <c r="D522" s="7" t="s">
        <v>20</v>
      </c>
      <c r="E522" s="7" t="s">
        <v>1255</v>
      </c>
      <c r="F522" s="7" t="s">
        <v>1256</v>
      </c>
      <c r="G522" s="7" t="s">
        <v>1257</v>
      </c>
      <c r="H522" s="7"/>
      <c r="I522" s="7" t="s">
        <v>1258</v>
      </c>
      <c r="J522" s="7" t="s">
        <v>189</v>
      </c>
    </row>
    <row r="523" spans="1:10" x14ac:dyDescent="0.3">
      <c r="A523" s="6" t="s">
        <v>1493</v>
      </c>
      <c r="B523" s="7" t="s">
        <v>127</v>
      </c>
      <c r="C523" s="7" t="s">
        <v>589</v>
      </c>
      <c r="D523" s="7" t="s">
        <v>27</v>
      </c>
      <c r="E523" s="7" t="s">
        <v>1485</v>
      </c>
      <c r="F523" s="7" t="s">
        <v>1486</v>
      </c>
      <c r="G523" s="7" t="s">
        <v>1494</v>
      </c>
      <c r="H523" s="7">
        <v>8</v>
      </c>
      <c r="I523" s="7" t="s">
        <v>1495</v>
      </c>
      <c r="J523" s="7" t="s">
        <v>612</v>
      </c>
    </row>
    <row r="524" spans="1:10" x14ac:dyDescent="0.3">
      <c r="A524" s="6" t="s">
        <v>1563</v>
      </c>
      <c r="B524" s="7" t="s">
        <v>127</v>
      </c>
      <c r="C524" s="7" t="s">
        <v>589</v>
      </c>
      <c r="D524" s="7" t="s">
        <v>27</v>
      </c>
      <c r="E524" s="7" t="s">
        <v>1564</v>
      </c>
      <c r="F524" s="7" t="s">
        <v>1565</v>
      </c>
      <c r="G524" s="7" t="s">
        <v>1566</v>
      </c>
      <c r="H524" s="7">
        <v>12</v>
      </c>
      <c r="I524" s="7" t="s">
        <v>208</v>
      </c>
      <c r="J524" s="7" t="s">
        <v>612</v>
      </c>
    </row>
    <row r="525" spans="1:10" x14ac:dyDescent="0.3">
      <c r="A525" s="6" t="s">
        <v>2362</v>
      </c>
      <c r="B525" s="7" t="s">
        <v>127</v>
      </c>
      <c r="C525" s="7" t="s">
        <v>589</v>
      </c>
      <c r="D525" s="7" t="s">
        <v>27</v>
      </c>
      <c r="E525" s="7" t="s">
        <v>2363</v>
      </c>
      <c r="F525" s="7" t="s">
        <v>2364</v>
      </c>
      <c r="G525" s="7" t="s">
        <v>2365</v>
      </c>
      <c r="H525" s="7">
        <v>3</v>
      </c>
      <c r="I525" s="7" t="s">
        <v>811</v>
      </c>
      <c r="J525" s="7" t="s">
        <v>505</v>
      </c>
    </row>
    <row r="526" spans="1:10" x14ac:dyDescent="0.3">
      <c r="A526" s="6" t="s">
        <v>1499</v>
      </c>
      <c r="B526" s="7" t="s">
        <v>127</v>
      </c>
      <c r="C526" s="7" t="s">
        <v>589</v>
      </c>
      <c r="D526" s="7" t="s">
        <v>27</v>
      </c>
      <c r="E526" s="7" t="s">
        <v>1500</v>
      </c>
      <c r="F526" s="7" t="s">
        <v>1501</v>
      </c>
      <c r="G526" s="7" t="s">
        <v>1502</v>
      </c>
      <c r="H526" s="7">
        <v>2</v>
      </c>
      <c r="I526" s="7" t="s">
        <v>176</v>
      </c>
      <c r="J526" s="7" t="s">
        <v>856</v>
      </c>
    </row>
    <row r="527" spans="1:10" x14ac:dyDescent="0.3">
      <c r="A527" s="6" t="s">
        <v>2168</v>
      </c>
      <c r="B527" s="7" t="s">
        <v>1945</v>
      </c>
      <c r="C527" s="7" t="s">
        <v>1946</v>
      </c>
      <c r="D527" s="7" t="s">
        <v>15</v>
      </c>
      <c r="E527" s="7" t="s">
        <v>2162</v>
      </c>
      <c r="F527" s="7" t="s">
        <v>2163</v>
      </c>
      <c r="G527" s="7" t="s">
        <v>2169</v>
      </c>
      <c r="H527" s="7">
        <v>7</v>
      </c>
      <c r="I527" s="7" t="s">
        <v>2172</v>
      </c>
      <c r="J527" s="7" t="s">
        <v>553</v>
      </c>
    </row>
    <row r="528" spans="1:10" x14ac:dyDescent="0.3">
      <c r="A528" s="6" t="s">
        <v>1443</v>
      </c>
      <c r="B528" s="7" t="s">
        <v>127</v>
      </c>
      <c r="C528" s="7" t="s">
        <v>589</v>
      </c>
      <c r="D528" s="7" t="s">
        <v>26</v>
      </c>
      <c r="E528" s="7" t="s">
        <v>1444</v>
      </c>
      <c r="F528" s="7" t="s">
        <v>1445</v>
      </c>
      <c r="G528" s="7" t="s">
        <v>1446</v>
      </c>
      <c r="H528" s="7">
        <v>3</v>
      </c>
      <c r="I528" s="7" t="s">
        <v>154</v>
      </c>
      <c r="J528" s="7" t="s">
        <v>612</v>
      </c>
    </row>
    <row r="529" spans="1:10" x14ac:dyDescent="0.3">
      <c r="A529" s="6" t="s">
        <v>2173</v>
      </c>
      <c r="B529" s="7" t="s">
        <v>1945</v>
      </c>
      <c r="C529" s="7" t="s">
        <v>1946</v>
      </c>
      <c r="D529" s="7" t="s">
        <v>15</v>
      </c>
      <c r="E529" s="7" t="s">
        <v>2162</v>
      </c>
      <c r="F529" s="7" t="s">
        <v>2163</v>
      </c>
      <c r="G529" s="7" t="s">
        <v>2174</v>
      </c>
      <c r="H529" s="7">
        <v>7</v>
      </c>
      <c r="I529" s="7" t="s">
        <v>2167</v>
      </c>
      <c r="J529" s="7" t="s">
        <v>640</v>
      </c>
    </row>
    <row r="530" spans="1:10" x14ac:dyDescent="0.3">
      <c r="A530" s="6" t="s">
        <v>2153</v>
      </c>
      <c r="B530" s="7" t="s">
        <v>1945</v>
      </c>
      <c r="C530" s="7" t="s">
        <v>1946</v>
      </c>
      <c r="D530" s="7" t="s">
        <v>15</v>
      </c>
      <c r="E530" s="7" t="s">
        <v>2148</v>
      </c>
      <c r="F530" s="7" t="s">
        <v>2149</v>
      </c>
      <c r="G530" s="7" t="s">
        <v>2154</v>
      </c>
      <c r="H530" s="7">
        <v>0</v>
      </c>
      <c r="I530" s="7" t="s">
        <v>773</v>
      </c>
      <c r="J530" s="7" t="s">
        <v>2156</v>
      </c>
    </row>
    <row r="531" spans="1:10" x14ac:dyDescent="0.3">
      <c r="A531" s="6" t="s">
        <v>2157</v>
      </c>
      <c r="B531" s="7" t="s">
        <v>1945</v>
      </c>
      <c r="C531" s="7" t="s">
        <v>1946</v>
      </c>
      <c r="D531" s="7" t="s">
        <v>15</v>
      </c>
      <c r="E531" s="7" t="s">
        <v>2148</v>
      </c>
      <c r="F531" s="7" t="s">
        <v>2149</v>
      </c>
      <c r="G531" s="7" t="s">
        <v>2158</v>
      </c>
      <c r="H531" s="7">
        <v>1</v>
      </c>
      <c r="I531" s="7" t="s">
        <v>2160</v>
      </c>
      <c r="J531" s="7" t="s">
        <v>527</v>
      </c>
    </row>
    <row r="532" spans="1:10" x14ac:dyDescent="0.3">
      <c r="A532" s="6" t="s">
        <v>2097</v>
      </c>
      <c r="B532" s="7" t="s">
        <v>1945</v>
      </c>
      <c r="C532" s="7" t="s">
        <v>1946</v>
      </c>
      <c r="D532" s="7" t="s">
        <v>15</v>
      </c>
      <c r="E532" s="7" t="s">
        <v>2092</v>
      </c>
      <c r="F532" s="7" t="s">
        <v>2093</v>
      </c>
      <c r="G532" s="7" t="s">
        <v>2098</v>
      </c>
      <c r="H532" s="7">
        <v>2</v>
      </c>
      <c r="I532" s="7" t="s">
        <v>270</v>
      </c>
      <c r="J532" s="7" t="s">
        <v>319</v>
      </c>
    </row>
    <row r="533" spans="1:10" x14ac:dyDescent="0.3">
      <c r="A533" s="6" t="s">
        <v>2368</v>
      </c>
      <c r="B533" s="7" t="s">
        <v>127</v>
      </c>
      <c r="C533" s="7" t="s">
        <v>589</v>
      </c>
      <c r="D533" s="7" t="s">
        <v>27</v>
      </c>
      <c r="E533" s="7" t="s">
        <v>2369</v>
      </c>
      <c r="F533" s="7" t="s">
        <v>2370</v>
      </c>
      <c r="G533" s="7" t="s">
        <v>2371</v>
      </c>
      <c r="H533" s="7">
        <v>4</v>
      </c>
      <c r="I533" s="7" t="s">
        <v>303</v>
      </c>
      <c r="J533" s="7" t="s">
        <v>294</v>
      </c>
    </row>
  </sheetData>
  <hyperlinks>
    <hyperlink ref="A1" location="'Dashboard-R'!A1" display="⬅️ Dashboard Principal"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59"/>
  <sheetViews>
    <sheetView showGridLines="0" showRowColHeaders="0" workbookViewId="0"/>
  </sheetViews>
  <sheetFormatPr baseColWidth="10" defaultColWidth="8.88671875" defaultRowHeight="14.4" x14ac:dyDescent="0.3"/>
  <cols>
    <col min="1" max="12" width="23" customWidth="1"/>
  </cols>
  <sheetData>
    <row r="1" spans="1:10" ht="30" customHeight="1" x14ac:dyDescent="0.3">
      <c r="A1" s="1" t="s">
        <v>0</v>
      </c>
      <c r="B1" s="2"/>
      <c r="C1" s="2"/>
      <c r="D1" s="2"/>
      <c r="E1" s="2"/>
      <c r="F1" s="2"/>
      <c r="G1" s="2"/>
      <c r="H1" s="2"/>
      <c r="I1" s="2"/>
      <c r="J1" s="3" t="s">
        <v>1</v>
      </c>
    </row>
    <row r="2" spans="1:10" ht="25.05" customHeight="1" x14ac:dyDescent="0.3">
      <c r="A2" s="4" t="s">
        <v>117</v>
      </c>
      <c r="B2" s="5" t="s">
        <v>118</v>
      </c>
      <c r="C2" s="5" t="s">
        <v>119</v>
      </c>
      <c r="D2" s="5" t="s">
        <v>120</v>
      </c>
      <c r="E2" s="5" t="s">
        <v>121</v>
      </c>
      <c r="F2" s="5" t="s">
        <v>122</v>
      </c>
      <c r="G2" s="5" t="s">
        <v>44</v>
      </c>
      <c r="H2" s="5" t="s">
        <v>123</v>
      </c>
      <c r="I2" s="5" t="s">
        <v>124</v>
      </c>
      <c r="J2" s="5" t="s">
        <v>125</v>
      </c>
    </row>
    <row r="3" spans="1:10" x14ac:dyDescent="0.3">
      <c r="A3" s="6" t="s">
        <v>1665</v>
      </c>
      <c r="B3" s="7" t="s">
        <v>127</v>
      </c>
      <c r="C3" s="7" t="s">
        <v>589</v>
      </c>
      <c r="D3" s="7" t="s">
        <v>8</v>
      </c>
      <c r="E3" s="7" t="s">
        <v>515</v>
      </c>
      <c r="F3" s="7" t="s">
        <v>516</v>
      </c>
      <c r="G3" s="7" t="s">
        <v>1666</v>
      </c>
      <c r="H3" s="7"/>
      <c r="I3" s="7" t="s">
        <v>142</v>
      </c>
      <c r="J3" s="7" t="s">
        <v>1233</v>
      </c>
    </row>
    <row r="4" spans="1:10" ht="15" x14ac:dyDescent="0.3">
      <c r="A4" s="10"/>
      <c r="B4" s="11"/>
      <c r="C4" s="11"/>
      <c r="D4" s="11" t="s">
        <v>2533</v>
      </c>
      <c r="E4" s="11" t="s">
        <v>2534</v>
      </c>
      <c r="F4" s="11"/>
      <c r="G4" s="11" t="s">
        <v>2535</v>
      </c>
      <c r="H4" s="11">
        <v>0</v>
      </c>
      <c r="I4" s="11"/>
      <c r="J4" s="11"/>
    </row>
    <row r="5" spans="1:10" x14ac:dyDescent="0.3">
      <c r="A5" s="6" t="s">
        <v>252</v>
      </c>
      <c r="B5" s="7" t="s">
        <v>127</v>
      </c>
      <c r="C5" s="7" t="s">
        <v>128</v>
      </c>
      <c r="D5" s="7" t="s">
        <v>9</v>
      </c>
      <c r="E5" s="7" t="s">
        <v>253</v>
      </c>
      <c r="F5" s="7"/>
      <c r="G5" s="7" t="s">
        <v>254</v>
      </c>
      <c r="H5" s="7">
        <v>10</v>
      </c>
      <c r="I5" s="7" t="s">
        <v>255</v>
      </c>
      <c r="J5" s="7" t="s">
        <v>256</v>
      </c>
    </row>
    <row r="6" spans="1:10" x14ac:dyDescent="0.3">
      <c r="A6" s="6" t="s">
        <v>1708</v>
      </c>
      <c r="B6" s="7" t="s">
        <v>127</v>
      </c>
      <c r="C6" s="7" t="s">
        <v>128</v>
      </c>
      <c r="D6" s="7" t="s">
        <v>9</v>
      </c>
      <c r="E6" s="7" t="s">
        <v>1709</v>
      </c>
      <c r="F6" s="7"/>
      <c r="G6" s="7" t="s">
        <v>1710</v>
      </c>
      <c r="H6" s="7">
        <v>26</v>
      </c>
      <c r="I6" s="7" t="s">
        <v>513</v>
      </c>
      <c r="J6" s="7" t="s">
        <v>1318</v>
      </c>
    </row>
    <row r="7" spans="1:10" x14ac:dyDescent="0.3">
      <c r="A7" s="6" t="s">
        <v>1714</v>
      </c>
      <c r="B7" s="7" t="s">
        <v>127</v>
      </c>
      <c r="C7" s="7" t="s">
        <v>128</v>
      </c>
      <c r="D7" s="7" t="s">
        <v>9</v>
      </c>
      <c r="E7" s="7" t="s">
        <v>1715</v>
      </c>
      <c r="F7" s="7"/>
      <c r="G7" s="7" t="s">
        <v>1716</v>
      </c>
      <c r="H7" s="7">
        <v>2</v>
      </c>
      <c r="I7" s="7" t="s">
        <v>487</v>
      </c>
      <c r="J7" s="7" t="s">
        <v>998</v>
      </c>
    </row>
    <row r="8" spans="1:10" x14ac:dyDescent="0.3">
      <c r="A8" s="6" t="s">
        <v>1719</v>
      </c>
      <c r="B8" s="7" t="s">
        <v>127</v>
      </c>
      <c r="C8" s="7" t="s">
        <v>128</v>
      </c>
      <c r="D8" s="7" t="s">
        <v>9</v>
      </c>
      <c r="E8" s="7" t="s">
        <v>1720</v>
      </c>
      <c r="F8" s="7" t="s">
        <v>1721</v>
      </c>
      <c r="G8" s="7" t="s">
        <v>1722</v>
      </c>
      <c r="H8" s="7">
        <v>15</v>
      </c>
      <c r="I8" s="7" t="s">
        <v>496</v>
      </c>
      <c r="J8" s="7" t="s">
        <v>189</v>
      </c>
    </row>
    <row r="9" spans="1:10" x14ac:dyDescent="0.3">
      <c r="A9" s="6" t="s">
        <v>1724</v>
      </c>
      <c r="B9" s="7" t="s">
        <v>127</v>
      </c>
      <c r="C9" s="7" t="s">
        <v>128</v>
      </c>
      <c r="D9" s="7" t="s">
        <v>9</v>
      </c>
      <c r="E9" s="7" t="s">
        <v>1725</v>
      </c>
      <c r="F9" s="7"/>
      <c r="G9" s="7" t="s">
        <v>1726</v>
      </c>
      <c r="H9" s="7">
        <v>4</v>
      </c>
      <c r="I9" s="7" t="s">
        <v>403</v>
      </c>
      <c r="J9" s="7" t="s">
        <v>189</v>
      </c>
    </row>
    <row r="10" spans="1:10" x14ac:dyDescent="0.3">
      <c r="A10" s="6" t="s">
        <v>247</v>
      </c>
      <c r="B10" s="7" t="s">
        <v>127</v>
      </c>
      <c r="C10" s="7" t="s">
        <v>128</v>
      </c>
      <c r="D10" s="7" t="s">
        <v>9</v>
      </c>
      <c r="E10" s="7" t="s">
        <v>248</v>
      </c>
      <c r="F10" s="7"/>
      <c r="G10" s="7" t="s">
        <v>249</v>
      </c>
      <c r="H10" s="7">
        <v>6</v>
      </c>
      <c r="I10" s="7" t="s">
        <v>250</v>
      </c>
      <c r="J10" s="7" t="s">
        <v>251</v>
      </c>
    </row>
    <row r="11" spans="1:10" x14ac:dyDescent="0.3">
      <c r="A11" s="6" t="s">
        <v>261</v>
      </c>
      <c r="B11" s="7" t="s">
        <v>127</v>
      </c>
      <c r="C11" s="7" t="s">
        <v>128</v>
      </c>
      <c r="D11" s="7" t="s">
        <v>9</v>
      </c>
      <c r="E11" s="7" t="s">
        <v>262</v>
      </c>
      <c r="F11" s="7" t="s">
        <v>263</v>
      </c>
      <c r="G11" s="7" t="s">
        <v>264</v>
      </c>
      <c r="H11" s="7">
        <v>6</v>
      </c>
      <c r="I11" s="7" t="s">
        <v>265</v>
      </c>
      <c r="J11" s="7" t="s">
        <v>266</v>
      </c>
    </row>
    <row r="12" spans="1:10" x14ac:dyDescent="0.3">
      <c r="A12" s="6" t="s">
        <v>257</v>
      </c>
      <c r="B12" s="7" t="s">
        <v>127</v>
      </c>
      <c r="C12" s="7" t="s">
        <v>128</v>
      </c>
      <c r="D12" s="7" t="s">
        <v>9</v>
      </c>
      <c r="E12" s="7" t="s">
        <v>253</v>
      </c>
      <c r="F12" s="7"/>
      <c r="G12" s="7" t="s">
        <v>258</v>
      </c>
      <c r="H12" s="7">
        <v>25</v>
      </c>
      <c r="I12" s="7" t="s">
        <v>259</v>
      </c>
      <c r="J12" s="7" t="s">
        <v>260</v>
      </c>
    </row>
    <row r="13" spans="1:10" x14ac:dyDescent="0.3">
      <c r="A13" s="6" t="s">
        <v>267</v>
      </c>
      <c r="B13" s="7" t="s">
        <v>127</v>
      </c>
      <c r="C13" s="7" t="s">
        <v>128</v>
      </c>
      <c r="D13" s="7" t="s">
        <v>9</v>
      </c>
      <c r="E13" s="7" t="s">
        <v>268</v>
      </c>
      <c r="F13" s="7"/>
      <c r="G13" s="7" t="s">
        <v>269</v>
      </c>
      <c r="H13" s="7">
        <v>5</v>
      </c>
      <c r="I13" s="7" t="s">
        <v>270</v>
      </c>
      <c r="J13" s="7" t="s">
        <v>271</v>
      </c>
    </row>
    <row r="14" spans="1:10" x14ac:dyDescent="0.3">
      <c r="A14" s="6" t="s">
        <v>277</v>
      </c>
      <c r="B14" s="7" t="s">
        <v>127</v>
      </c>
      <c r="C14" s="7" t="s">
        <v>128</v>
      </c>
      <c r="D14" s="7" t="s">
        <v>9</v>
      </c>
      <c r="E14" s="7" t="s">
        <v>273</v>
      </c>
      <c r="F14" s="7" t="s">
        <v>274</v>
      </c>
      <c r="G14" s="7" t="s">
        <v>278</v>
      </c>
      <c r="H14" s="7">
        <v>6</v>
      </c>
      <c r="I14" s="7" t="s">
        <v>279</v>
      </c>
      <c r="J14" s="7" t="s">
        <v>280</v>
      </c>
    </row>
    <row r="15" spans="1:10" x14ac:dyDescent="0.3">
      <c r="A15" s="6" t="s">
        <v>272</v>
      </c>
      <c r="B15" s="7" t="s">
        <v>127</v>
      </c>
      <c r="C15" s="7" t="s">
        <v>128</v>
      </c>
      <c r="D15" s="7" t="s">
        <v>9</v>
      </c>
      <c r="E15" s="7" t="s">
        <v>273</v>
      </c>
      <c r="F15" s="7" t="s">
        <v>274</v>
      </c>
      <c r="G15" s="7" t="s">
        <v>275</v>
      </c>
      <c r="H15" s="7">
        <v>2</v>
      </c>
      <c r="I15" s="7" t="s">
        <v>99</v>
      </c>
      <c r="J15" s="7" t="s">
        <v>276</v>
      </c>
    </row>
    <row r="16" spans="1:10" x14ac:dyDescent="0.3">
      <c r="A16" s="6" t="s">
        <v>281</v>
      </c>
      <c r="B16" s="7" t="s">
        <v>127</v>
      </c>
      <c r="C16" s="7" t="s">
        <v>128</v>
      </c>
      <c r="D16" s="7" t="s">
        <v>9</v>
      </c>
      <c r="E16" s="7" t="s">
        <v>282</v>
      </c>
      <c r="F16" s="7" t="s">
        <v>283</v>
      </c>
      <c r="G16" s="7" t="s">
        <v>284</v>
      </c>
      <c r="H16" s="7">
        <v>5</v>
      </c>
      <c r="I16" s="7" t="s">
        <v>285</v>
      </c>
      <c r="J16" s="7" t="s">
        <v>286</v>
      </c>
    </row>
    <row r="17" spans="1:10" x14ac:dyDescent="0.3">
      <c r="A17" s="6" t="s">
        <v>287</v>
      </c>
      <c r="B17" s="7" t="s">
        <v>127</v>
      </c>
      <c r="C17" s="7" t="s">
        <v>128</v>
      </c>
      <c r="D17" s="7" t="s">
        <v>9</v>
      </c>
      <c r="E17" s="7" t="s">
        <v>288</v>
      </c>
      <c r="F17" s="7"/>
      <c r="G17" s="7" t="s">
        <v>289</v>
      </c>
      <c r="H17" s="7">
        <v>20</v>
      </c>
      <c r="I17" s="7" t="s">
        <v>290</v>
      </c>
      <c r="J17" s="7" t="s">
        <v>189</v>
      </c>
    </row>
    <row r="18" spans="1:10" x14ac:dyDescent="0.3">
      <c r="A18" s="6" t="s">
        <v>1730</v>
      </c>
      <c r="B18" s="7" t="s">
        <v>127</v>
      </c>
      <c r="C18" s="7" t="s">
        <v>128</v>
      </c>
      <c r="D18" s="7" t="s">
        <v>9</v>
      </c>
      <c r="E18" s="7" t="s">
        <v>1731</v>
      </c>
      <c r="F18" s="7" t="s">
        <v>1204</v>
      </c>
      <c r="G18" s="7" t="s">
        <v>1732</v>
      </c>
      <c r="H18" s="7">
        <v>3</v>
      </c>
      <c r="I18" s="7" t="s">
        <v>1736</v>
      </c>
      <c r="J18" s="7" t="s">
        <v>189</v>
      </c>
    </row>
    <row r="19" spans="1:10" x14ac:dyDescent="0.3">
      <c r="A19" s="6" t="s">
        <v>291</v>
      </c>
      <c r="B19" s="7" t="s">
        <v>127</v>
      </c>
      <c r="C19" s="7" t="s">
        <v>128</v>
      </c>
      <c r="D19" s="7" t="s">
        <v>9</v>
      </c>
      <c r="E19" s="7" t="s">
        <v>292</v>
      </c>
      <c r="F19" s="7"/>
      <c r="G19" s="7" t="s">
        <v>293</v>
      </c>
      <c r="H19" s="7">
        <v>3</v>
      </c>
      <c r="I19" s="7" t="s">
        <v>82</v>
      </c>
      <c r="J19" s="7" t="s">
        <v>294</v>
      </c>
    </row>
    <row r="20" spans="1:10" x14ac:dyDescent="0.3">
      <c r="A20" s="6" t="s">
        <v>301</v>
      </c>
      <c r="B20" s="7" t="s">
        <v>127</v>
      </c>
      <c r="C20" s="7" t="s">
        <v>128</v>
      </c>
      <c r="D20" s="7" t="s">
        <v>9</v>
      </c>
      <c r="E20" s="7" t="s">
        <v>296</v>
      </c>
      <c r="F20" s="7" t="s">
        <v>297</v>
      </c>
      <c r="G20" s="7" t="s">
        <v>302</v>
      </c>
      <c r="H20" s="7">
        <v>5</v>
      </c>
      <c r="I20" s="7" t="s">
        <v>303</v>
      </c>
      <c r="J20" s="7" t="s">
        <v>304</v>
      </c>
    </row>
    <row r="21" spans="1:10" x14ac:dyDescent="0.3">
      <c r="A21" s="6" t="s">
        <v>295</v>
      </c>
      <c r="B21" s="7" t="s">
        <v>127</v>
      </c>
      <c r="C21" s="7" t="s">
        <v>128</v>
      </c>
      <c r="D21" s="7" t="s">
        <v>9</v>
      </c>
      <c r="E21" s="7" t="s">
        <v>296</v>
      </c>
      <c r="F21" s="7" t="s">
        <v>297</v>
      </c>
      <c r="G21" s="7" t="s">
        <v>298</v>
      </c>
      <c r="H21" s="7">
        <v>8</v>
      </c>
      <c r="I21" s="7" t="s">
        <v>299</v>
      </c>
      <c r="J21" s="7" t="s">
        <v>300</v>
      </c>
    </row>
    <row r="22" spans="1:10" x14ac:dyDescent="0.3">
      <c r="A22" s="6" t="s">
        <v>1737</v>
      </c>
      <c r="B22" s="7" t="s">
        <v>127</v>
      </c>
      <c r="C22" s="7" t="s">
        <v>128</v>
      </c>
      <c r="D22" s="7" t="s">
        <v>9</v>
      </c>
      <c r="E22" s="7" t="s">
        <v>1738</v>
      </c>
      <c r="F22" s="7" t="s">
        <v>1739</v>
      </c>
      <c r="G22" s="7" t="s">
        <v>1740</v>
      </c>
      <c r="H22" s="7">
        <v>2</v>
      </c>
      <c r="I22" s="7" t="s">
        <v>423</v>
      </c>
      <c r="J22" s="7" t="s">
        <v>736</v>
      </c>
    </row>
    <row r="23" spans="1:10" x14ac:dyDescent="0.3">
      <c r="A23" s="6" t="s">
        <v>315</v>
      </c>
      <c r="B23" s="7" t="s">
        <v>127</v>
      </c>
      <c r="C23" s="7" t="s">
        <v>128</v>
      </c>
      <c r="D23" s="7" t="s">
        <v>9</v>
      </c>
      <c r="E23" s="7" t="s">
        <v>316</v>
      </c>
      <c r="F23" s="7"/>
      <c r="G23" s="7" t="s">
        <v>317</v>
      </c>
      <c r="H23" s="7">
        <v>12</v>
      </c>
      <c r="I23" s="7" t="s">
        <v>318</v>
      </c>
      <c r="J23" s="7" t="s">
        <v>319</v>
      </c>
    </row>
    <row r="24" spans="1:10" x14ac:dyDescent="0.3">
      <c r="A24" s="6" t="s">
        <v>305</v>
      </c>
      <c r="B24" s="7" t="s">
        <v>127</v>
      </c>
      <c r="C24" s="7" t="s">
        <v>128</v>
      </c>
      <c r="D24" s="7" t="s">
        <v>9</v>
      </c>
      <c r="E24" s="7" t="s">
        <v>306</v>
      </c>
      <c r="F24" s="7"/>
      <c r="G24" s="7" t="s">
        <v>307</v>
      </c>
      <c r="H24" s="7">
        <v>3</v>
      </c>
      <c r="I24" s="7" t="s">
        <v>308</v>
      </c>
      <c r="J24" s="7" t="s">
        <v>309</v>
      </c>
    </row>
    <row r="25" spans="1:10" x14ac:dyDescent="0.3">
      <c r="A25" s="6" t="s">
        <v>310</v>
      </c>
      <c r="B25" s="7" t="s">
        <v>127</v>
      </c>
      <c r="C25" s="7" t="s">
        <v>128</v>
      </c>
      <c r="D25" s="7" t="s">
        <v>9</v>
      </c>
      <c r="E25" s="7" t="s">
        <v>311</v>
      </c>
      <c r="F25" s="7"/>
      <c r="G25" s="7" t="s">
        <v>312</v>
      </c>
      <c r="H25" s="7">
        <v>2</v>
      </c>
      <c r="I25" s="7" t="s">
        <v>313</v>
      </c>
      <c r="J25" s="7" t="s">
        <v>314</v>
      </c>
    </row>
    <row r="26" spans="1:10" x14ac:dyDescent="0.3">
      <c r="A26" s="6" t="s">
        <v>320</v>
      </c>
      <c r="B26" s="7" t="s">
        <v>127</v>
      </c>
      <c r="C26" s="7" t="s">
        <v>128</v>
      </c>
      <c r="D26" s="7" t="s">
        <v>9</v>
      </c>
      <c r="E26" s="7" t="s">
        <v>321</v>
      </c>
      <c r="F26" s="7" t="s">
        <v>322</v>
      </c>
      <c r="G26" s="7" t="s">
        <v>323</v>
      </c>
      <c r="H26" s="7">
        <v>2</v>
      </c>
      <c r="I26" s="7" t="s">
        <v>324</v>
      </c>
      <c r="J26" s="7" t="s">
        <v>189</v>
      </c>
    </row>
    <row r="27" spans="1:10" x14ac:dyDescent="0.3">
      <c r="A27" s="6" t="s">
        <v>325</v>
      </c>
      <c r="B27" s="7" t="s">
        <v>127</v>
      </c>
      <c r="C27" s="7" t="s">
        <v>128</v>
      </c>
      <c r="D27" s="7" t="s">
        <v>9</v>
      </c>
      <c r="E27" s="7" t="s">
        <v>326</v>
      </c>
      <c r="F27" s="7"/>
      <c r="G27" s="7" t="s">
        <v>327</v>
      </c>
      <c r="H27" s="7">
        <v>5</v>
      </c>
      <c r="I27" s="7" t="s">
        <v>328</v>
      </c>
      <c r="J27" s="7" t="s">
        <v>143</v>
      </c>
    </row>
    <row r="28" spans="1:10" x14ac:dyDescent="0.3">
      <c r="A28" s="6" t="s">
        <v>329</v>
      </c>
      <c r="B28" s="7" t="s">
        <v>127</v>
      </c>
      <c r="C28" s="7" t="s">
        <v>128</v>
      </c>
      <c r="D28" s="7" t="s">
        <v>9</v>
      </c>
      <c r="E28" s="7" t="s">
        <v>330</v>
      </c>
      <c r="F28" s="7"/>
      <c r="G28" s="7" t="s">
        <v>331</v>
      </c>
      <c r="H28" s="7">
        <v>4</v>
      </c>
      <c r="I28" s="7" t="s">
        <v>270</v>
      </c>
      <c r="J28" s="7" t="s">
        <v>319</v>
      </c>
    </row>
    <row r="29" spans="1:10" x14ac:dyDescent="0.3">
      <c r="A29" s="6" t="s">
        <v>337</v>
      </c>
      <c r="B29" s="7" t="s">
        <v>127</v>
      </c>
      <c r="C29" s="7" t="s">
        <v>128</v>
      </c>
      <c r="D29" s="7" t="s">
        <v>9</v>
      </c>
      <c r="E29" s="7" t="s">
        <v>333</v>
      </c>
      <c r="F29" s="7" t="s">
        <v>334</v>
      </c>
      <c r="G29" s="7" t="s">
        <v>338</v>
      </c>
      <c r="H29" s="7">
        <v>7</v>
      </c>
      <c r="I29" s="7" t="s">
        <v>339</v>
      </c>
      <c r="J29" s="7" t="s">
        <v>340</v>
      </c>
    </row>
    <row r="30" spans="1:10" x14ac:dyDescent="0.3">
      <c r="A30" s="6" t="s">
        <v>353</v>
      </c>
      <c r="B30" s="7" t="s">
        <v>127</v>
      </c>
      <c r="C30" s="7" t="s">
        <v>128</v>
      </c>
      <c r="D30" s="7" t="s">
        <v>9</v>
      </c>
      <c r="E30" s="7" t="s">
        <v>333</v>
      </c>
      <c r="F30" s="7" t="s">
        <v>334</v>
      </c>
      <c r="G30" s="7" t="s">
        <v>354</v>
      </c>
      <c r="H30" s="7">
        <v>10</v>
      </c>
      <c r="I30" s="7" t="s">
        <v>355</v>
      </c>
      <c r="J30" s="7" t="s">
        <v>356</v>
      </c>
    </row>
    <row r="31" spans="1:10" x14ac:dyDescent="0.3">
      <c r="A31" s="6" t="s">
        <v>349</v>
      </c>
      <c r="B31" s="7" t="s">
        <v>127</v>
      </c>
      <c r="C31" s="7" t="s">
        <v>128</v>
      </c>
      <c r="D31" s="7" t="s">
        <v>9</v>
      </c>
      <c r="E31" s="7" t="s">
        <v>333</v>
      </c>
      <c r="F31" s="7" t="s">
        <v>334</v>
      </c>
      <c r="G31" s="7" t="s">
        <v>350</v>
      </c>
      <c r="H31" s="7">
        <v>9</v>
      </c>
      <c r="I31" s="7" t="s">
        <v>154</v>
      </c>
      <c r="J31" s="7" t="s">
        <v>189</v>
      </c>
    </row>
    <row r="32" spans="1:10" x14ac:dyDescent="0.3">
      <c r="A32" s="6" t="s">
        <v>1700</v>
      </c>
      <c r="B32" s="7" t="s">
        <v>127</v>
      </c>
      <c r="C32" s="7" t="s">
        <v>128</v>
      </c>
      <c r="D32" s="7" t="s">
        <v>9</v>
      </c>
      <c r="E32" s="7" t="s">
        <v>1701</v>
      </c>
      <c r="F32" s="7" t="s">
        <v>1702</v>
      </c>
      <c r="G32" s="7" t="s">
        <v>1703</v>
      </c>
      <c r="H32" s="7">
        <v>3</v>
      </c>
      <c r="I32" s="7" t="s">
        <v>1707</v>
      </c>
      <c r="J32" s="7" t="s">
        <v>505</v>
      </c>
    </row>
    <row r="33" spans="1:10" x14ac:dyDescent="0.3">
      <c r="A33" s="6" t="s">
        <v>1694</v>
      </c>
      <c r="B33" s="7" t="s">
        <v>127</v>
      </c>
      <c r="C33" s="7" t="s">
        <v>128</v>
      </c>
      <c r="D33" s="7" t="s">
        <v>9</v>
      </c>
      <c r="E33" s="7" t="s">
        <v>1695</v>
      </c>
      <c r="F33" s="7" t="s">
        <v>1696</v>
      </c>
      <c r="G33" s="7" t="s">
        <v>1697</v>
      </c>
      <c r="H33" s="7">
        <v>3</v>
      </c>
      <c r="I33" s="7" t="s">
        <v>82</v>
      </c>
      <c r="J33" s="7" t="s">
        <v>189</v>
      </c>
    </row>
    <row r="34" spans="1:10" x14ac:dyDescent="0.3">
      <c r="A34" s="6" t="s">
        <v>243</v>
      </c>
      <c r="B34" s="7" t="s">
        <v>127</v>
      </c>
      <c r="C34" s="7" t="s">
        <v>128</v>
      </c>
      <c r="D34" s="7" t="s">
        <v>9</v>
      </c>
      <c r="E34" s="7" t="s">
        <v>244</v>
      </c>
      <c r="F34" s="7"/>
      <c r="G34" s="7" t="s">
        <v>245</v>
      </c>
      <c r="H34" s="7">
        <v>2</v>
      </c>
      <c r="I34" s="7" t="s">
        <v>165</v>
      </c>
      <c r="J34" s="7" t="s">
        <v>246</v>
      </c>
    </row>
    <row r="35" spans="1:10" x14ac:dyDescent="0.3">
      <c r="A35" s="6" t="s">
        <v>234</v>
      </c>
      <c r="B35" s="7" t="s">
        <v>127</v>
      </c>
      <c r="C35" s="7" t="s">
        <v>128</v>
      </c>
      <c r="D35" s="7" t="s">
        <v>9</v>
      </c>
      <c r="E35" s="7" t="s">
        <v>235</v>
      </c>
      <c r="F35" s="7" t="s">
        <v>236</v>
      </c>
      <c r="G35" s="7" t="s">
        <v>237</v>
      </c>
      <c r="H35" s="7">
        <v>14</v>
      </c>
      <c r="I35" s="7" t="s">
        <v>238</v>
      </c>
      <c r="J35" s="7" t="s">
        <v>239</v>
      </c>
    </row>
    <row r="36" spans="1:10" x14ac:dyDescent="0.3">
      <c r="A36" s="6" t="s">
        <v>139</v>
      </c>
      <c r="B36" s="7" t="s">
        <v>127</v>
      </c>
      <c r="C36" s="7" t="s">
        <v>128</v>
      </c>
      <c r="D36" s="7" t="s">
        <v>9</v>
      </c>
      <c r="E36" s="7" t="s">
        <v>140</v>
      </c>
      <c r="F36" s="7"/>
      <c r="G36" s="7" t="s">
        <v>141</v>
      </c>
      <c r="H36" s="7">
        <v>1</v>
      </c>
      <c r="I36" s="7" t="s">
        <v>142</v>
      </c>
      <c r="J36" s="7" t="s">
        <v>143</v>
      </c>
    </row>
    <row r="37" spans="1:10" x14ac:dyDescent="0.3">
      <c r="A37" s="6" t="s">
        <v>1671</v>
      </c>
      <c r="B37" s="7" t="s">
        <v>127</v>
      </c>
      <c r="C37" s="7" t="s">
        <v>128</v>
      </c>
      <c r="D37" s="7" t="s">
        <v>9</v>
      </c>
      <c r="E37" s="7" t="s">
        <v>1672</v>
      </c>
      <c r="F37" s="7"/>
      <c r="G37" s="7" t="s">
        <v>1673</v>
      </c>
      <c r="H37" s="7">
        <v>4</v>
      </c>
      <c r="I37" s="7" t="s">
        <v>1630</v>
      </c>
      <c r="J37" s="7" t="s">
        <v>138</v>
      </c>
    </row>
    <row r="38" spans="1:10" x14ac:dyDescent="0.3">
      <c r="A38" s="6" t="s">
        <v>144</v>
      </c>
      <c r="B38" s="7" t="s">
        <v>127</v>
      </c>
      <c r="C38" s="7" t="s">
        <v>128</v>
      </c>
      <c r="D38" s="7" t="s">
        <v>9</v>
      </c>
      <c r="E38" s="7" t="s">
        <v>145</v>
      </c>
      <c r="F38" s="7" t="s">
        <v>146</v>
      </c>
      <c r="G38" s="7" t="s">
        <v>147</v>
      </c>
      <c r="H38" s="7">
        <v>4</v>
      </c>
      <c r="I38" s="7" t="s">
        <v>148</v>
      </c>
      <c r="J38" s="7" t="s">
        <v>149</v>
      </c>
    </row>
    <row r="39" spans="1:10" x14ac:dyDescent="0.3">
      <c r="A39" s="6" t="s">
        <v>1678</v>
      </c>
      <c r="B39" s="7" t="s">
        <v>127</v>
      </c>
      <c r="C39" s="7" t="s">
        <v>128</v>
      </c>
      <c r="D39" s="7" t="s">
        <v>9</v>
      </c>
      <c r="E39" s="7" t="s">
        <v>1679</v>
      </c>
      <c r="F39" s="7"/>
      <c r="G39" s="7" t="s">
        <v>1680</v>
      </c>
      <c r="H39" s="7">
        <v>3</v>
      </c>
      <c r="I39" s="7" t="s">
        <v>1684</v>
      </c>
      <c r="J39" s="7" t="s">
        <v>319</v>
      </c>
    </row>
    <row r="40" spans="1:10" x14ac:dyDescent="0.3">
      <c r="A40" s="6" t="s">
        <v>150</v>
      </c>
      <c r="B40" s="7" t="s">
        <v>127</v>
      </c>
      <c r="C40" s="7" t="s">
        <v>128</v>
      </c>
      <c r="D40" s="7" t="s">
        <v>9</v>
      </c>
      <c r="E40" s="7" t="s">
        <v>151</v>
      </c>
      <c r="F40" s="7" t="s">
        <v>152</v>
      </c>
      <c r="G40" s="7" t="s">
        <v>153</v>
      </c>
      <c r="H40" s="7">
        <v>6</v>
      </c>
      <c r="I40" s="7" t="s">
        <v>154</v>
      </c>
      <c r="J40" s="7" t="s">
        <v>155</v>
      </c>
    </row>
    <row r="41" spans="1:10" x14ac:dyDescent="0.3">
      <c r="A41" s="6" t="s">
        <v>156</v>
      </c>
      <c r="B41" s="7" t="s">
        <v>127</v>
      </c>
      <c r="C41" s="7" t="s">
        <v>128</v>
      </c>
      <c r="D41" s="7" t="s">
        <v>9</v>
      </c>
      <c r="E41" s="7" t="s">
        <v>157</v>
      </c>
      <c r="F41" s="7" t="s">
        <v>158</v>
      </c>
      <c r="G41" s="7" t="s">
        <v>159</v>
      </c>
      <c r="H41" s="7">
        <v>21</v>
      </c>
      <c r="I41" s="7" t="s">
        <v>160</v>
      </c>
      <c r="J41" s="7" t="s">
        <v>161</v>
      </c>
    </row>
    <row r="42" spans="1:10" x14ac:dyDescent="0.3">
      <c r="A42" s="6" t="s">
        <v>162</v>
      </c>
      <c r="B42" s="7" t="s">
        <v>127</v>
      </c>
      <c r="C42" s="7" t="s">
        <v>128</v>
      </c>
      <c r="D42" s="7" t="s">
        <v>9</v>
      </c>
      <c r="E42" s="7" t="s">
        <v>163</v>
      </c>
      <c r="F42" s="7"/>
      <c r="G42" s="7" t="s">
        <v>164</v>
      </c>
      <c r="H42" s="7">
        <v>89</v>
      </c>
      <c r="I42" s="7" t="s">
        <v>165</v>
      </c>
      <c r="J42" s="7" t="s">
        <v>166</v>
      </c>
    </row>
    <row r="43" spans="1:10" x14ac:dyDescent="0.3">
      <c r="A43" s="6" t="s">
        <v>167</v>
      </c>
      <c r="B43" s="7" t="s">
        <v>127</v>
      </c>
      <c r="C43" s="7" t="s">
        <v>128</v>
      </c>
      <c r="D43" s="7" t="s">
        <v>9</v>
      </c>
      <c r="E43" s="7" t="s">
        <v>168</v>
      </c>
      <c r="F43" s="7"/>
      <c r="G43" s="7" t="s">
        <v>169</v>
      </c>
      <c r="H43" s="7">
        <v>39</v>
      </c>
      <c r="I43" s="7" t="s">
        <v>170</v>
      </c>
      <c r="J43" s="7" t="s">
        <v>171</v>
      </c>
    </row>
    <row r="44" spans="1:10" x14ac:dyDescent="0.3">
      <c r="A44" s="6" t="s">
        <v>177</v>
      </c>
      <c r="B44" s="7" t="s">
        <v>127</v>
      </c>
      <c r="C44" s="7" t="s">
        <v>128</v>
      </c>
      <c r="D44" s="7" t="s">
        <v>9</v>
      </c>
      <c r="E44" s="7" t="s">
        <v>173</v>
      </c>
      <c r="F44" s="7" t="s">
        <v>174</v>
      </c>
      <c r="G44" s="7" t="s">
        <v>178</v>
      </c>
      <c r="H44" s="7">
        <v>11</v>
      </c>
      <c r="I44" s="7" t="s">
        <v>179</v>
      </c>
      <c r="J44" s="7" t="s">
        <v>180</v>
      </c>
    </row>
    <row r="45" spans="1:10" x14ac:dyDescent="0.3">
      <c r="A45" s="6" t="s">
        <v>172</v>
      </c>
      <c r="B45" s="7" t="s">
        <v>127</v>
      </c>
      <c r="C45" s="7" t="s">
        <v>128</v>
      </c>
      <c r="D45" s="7" t="s">
        <v>9</v>
      </c>
      <c r="E45" s="7" t="s">
        <v>173</v>
      </c>
      <c r="F45" s="7" t="s">
        <v>174</v>
      </c>
      <c r="G45" s="7" t="s">
        <v>175</v>
      </c>
      <c r="H45" s="7">
        <v>77</v>
      </c>
      <c r="I45" s="7" t="s">
        <v>176</v>
      </c>
      <c r="J45" s="7" t="s">
        <v>161</v>
      </c>
    </row>
    <row r="46" spans="1:10" x14ac:dyDescent="0.3">
      <c r="A46" s="6" t="s">
        <v>190</v>
      </c>
      <c r="B46" s="7" t="s">
        <v>127</v>
      </c>
      <c r="C46" s="7" t="s">
        <v>128</v>
      </c>
      <c r="D46" s="7" t="s">
        <v>9</v>
      </c>
      <c r="E46" s="7" t="s">
        <v>182</v>
      </c>
      <c r="F46" s="7" t="s">
        <v>183</v>
      </c>
      <c r="G46" s="7" t="s">
        <v>191</v>
      </c>
      <c r="H46" s="7">
        <v>21</v>
      </c>
      <c r="I46" s="7" t="s">
        <v>131</v>
      </c>
      <c r="J46" s="7" t="s">
        <v>192</v>
      </c>
    </row>
    <row r="47" spans="1:10" x14ac:dyDescent="0.3">
      <c r="A47" s="6" t="s">
        <v>181</v>
      </c>
      <c r="B47" s="7" t="s">
        <v>127</v>
      </c>
      <c r="C47" s="7" t="s">
        <v>128</v>
      </c>
      <c r="D47" s="7" t="s">
        <v>9</v>
      </c>
      <c r="E47" s="7" t="s">
        <v>182</v>
      </c>
      <c r="F47" s="7" t="s">
        <v>183</v>
      </c>
      <c r="G47" s="7" t="s">
        <v>184</v>
      </c>
      <c r="H47" s="7">
        <v>16</v>
      </c>
      <c r="I47" s="7" t="s">
        <v>154</v>
      </c>
      <c r="J47" s="7" t="s">
        <v>185</v>
      </c>
    </row>
    <row r="48" spans="1:10" x14ac:dyDescent="0.3">
      <c r="A48" s="6" t="s">
        <v>186</v>
      </c>
      <c r="B48" s="7" t="s">
        <v>127</v>
      </c>
      <c r="C48" s="7" t="s">
        <v>128</v>
      </c>
      <c r="D48" s="7" t="s">
        <v>9</v>
      </c>
      <c r="E48" s="7" t="s">
        <v>182</v>
      </c>
      <c r="F48" s="7" t="s">
        <v>183</v>
      </c>
      <c r="G48" s="7" t="s">
        <v>187</v>
      </c>
      <c r="H48" s="7">
        <v>3</v>
      </c>
      <c r="I48" s="7" t="s">
        <v>188</v>
      </c>
      <c r="J48" s="7" t="s">
        <v>189</v>
      </c>
    </row>
    <row r="49" spans="1:10" x14ac:dyDescent="0.3">
      <c r="A49" s="6" t="s">
        <v>351</v>
      </c>
      <c r="B49" s="7" t="s">
        <v>127</v>
      </c>
      <c r="C49" s="7" t="s">
        <v>128</v>
      </c>
      <c r="D49" s="7" t="s">
        <v>9</v>
      </c>
      <c r="E49" s="7" t="s">
        <v>333</v>
      </c>
      <c r="F49" s="7" t="s">
        <v>334</v>
      </c>
      <c r="G49" s="7" t="s">
        <v>352</v>
      </c>
      <c r="H49" s="7">
        <v>36</v>
      </c>
      <c r="I49" s="7" t="s">
        <v>270</v>
      </c>
      <c r="J49" s="7" t="s">
        <v>319</v>
      </c>
    </row>
    <row r="50" spans="1:10" x14ac:dyDescent="0.3">
      <c r="A50" s="6" t="s">
        <v>198</v>
      </c>
      <c r="B50" s="7" t="s">
        <v>127</v>
      </c>
      <c r="C50" s="7" t="s">
        <v>128</v>
      </c>
      <c r="D50" s="7" t="s">
        <v>9</v>
      </c>
      <c r="E50" s="7" t="s">
        <v>105</v>
      </c>
      <c r="F50" s="7" t="s">
        <v>194</v>
      </c>
      <c r="G50" s="7" t="s">
        <v>104</v>
      </c>
      <c r="H50" s="7">
        <v>50</v>
      </c>
      <c r="I50" s="7" t="s">
        <v>78</v>
      </c>
      <c r="J50" s="7" t="s">
        <v>199</v>
      </c>
    </row>
    <row r="51" spans="1:10" x14ac:dyDescent="0.3">
      <c r="A51" s="6" t="s">
        <v>193</v>
      </c>
      <c r="B51" s="7" t="s">
        <v>127</v>
      </c>
      <c r="C51" s="7" t="s">
        <v>128</v>
      </c>
      <c r="D51" s="7" t="s">
        <v>9</v>
      </c>
      <c r="E51" s="7" t="s">
        <v>105</v>
      </c>
      <c r="F51" s="7" t="s">
        <v>194</v>
      </c>
      <c r="G51" s="7" t="s">
        <v>195</v>
      </c>
      <c r="H51" s="7">
        <v>10</v>
      </c>
      <c r="I51" s="7" t="s">
        <v>196</v>
      </c>
      <c r="J51" s="7" t="s">
        <v>197</v>
      </c>
    </row>
    <row r="52" spans="1:10" x14ac:dyDescent="0.3">
      <c r="A52" s="6" t="s">
        <v>200</v>
      </c>
      <c r="B52" s="7" t="s">
        <v>127</v>
      </c>
      <c r="C52" s="7" t="s">
        <v>128</v>
      </c>
      <c r="D52" s="7" t="s">
        <v>9</v>
      </c>
      <c r="E52" s="7" t="s">
        <v>201</v>
      </c>
      <c r="F52" s="7" t="s">
        <v>202</v>
      </c>
      <c r="G52" s="7" t="s">
        <v>203</v>
      </c>
      <c r="H52" s="7">
        <v>14</v>
      </c>
      <c r="I52" s="7" t="s">
        <v>204</v>
      </c>
      <c r="J52" s="7" t="s">
        <v>161</v>
      </c>
    </row>
    <row r="53" spans="1:10" x14ac:dyDescent="0.3">
      <c r="A53" s="6" t="s">
        <v>205</v>
      </c>
      <c r="B53" s="7" t="s">
        <v>127</v>
      </c>
      <c r="C53" s="7" t="s">
        <v>128</v>
      </c>
      <c r="D53" s="7" t="s">
        <v>9</v>
      </c>
      <c r="E53" s="7" t="s">
        <v>206</v>
      </c>
      <c r="F53" s="7"/>
      <c r="G53" s="7" t="s">
        <v>207</v>
      </c>
      <c r="H53" s="7">
        <v>2</v>
      </c>
      <c r="I53" s="7" t="s">
        <v>208</v>
      </c>
      <c r="J53" s="7" t="s">
        <v>209</v>
      </c>
    </row>
    <row r="54" spans="1:10" x14ac:dyDescent="0.3">
      <c r="A54" s="6" t="s">
        <v>210</v>
      </c>
      <c r="B54" s="7" t="s">
        <v>127</v>
      </c>
      <c r="C54" s="7" t="s">
        <v>128</v>
      </c>
      <c r="D54" s="7" t="s">
        <v>9</v>
      </c>
      <c r="E54" s="7" t="s">
        <v>211</v>
      </c>
      <c r="F54" s="7" t="s">
        <v>212</v>
      </c>
      <c r="G54" s="7" t="s">
        <v>213</v>
      </c>
      <c r="H54" s="7">
        <v>11</v>
      </c>
      <c r="I54" s="7" t="s">
        <v>165</v>
      </c>
      <c r="J54" s="7" t="s">
        <v>143</v>
      </c>
    </row>
    <row r="55" spans="1:10" x14ac:dyDescent="0.3">
      <c r="A55" s="6" t="s">
        <v>1685</v>
      </c>
      <c r="B55" s="7" t="s">
        <v>127</v>
      </c>
      <c r="C55" s="7" t="s">
        <v>128</v>
      </c>
      <c r="D55" s="7" t="s">
        <v>9</v>
      </c>
      <c r="E55" s="7" t="s">
        <v>1686</v>
      </c>
      <c r="F55" s="7"/>
      <c r="G55" s="7" t="s">
        <v>1687</v>
      </c>
      <c r="H55" s="7">
        <v>2</v>
      </c>
      <c r="I55" s="7" t="s">
        <v>1692</v>
      </c>
      <c r="J55" s="7" t="s">
        <v>1693</v>
      </c>
    </row>
    <row r="56" spans="1:10" x14ac:dyDescent="0.3">
      <c r="A56" s="6" t="s">
        <v>214</v>
      </c>
      <c r="B56" s="7" t="s">
        <v>127</v>
      </c>
      <c r="C56" s="7" t="s">
        <v>128</v>
      </c>
      <c r="D56" s="7" t="s">
        <v>9</v>
      </c>
      <c r="E56" s="7" t="s">
        <v>215</v>
      </c>
      <c r="F56" s="7" t="s">
        <v>216</v>
      </c>
      <c r="G56" s="7" t="s">
        <v>217</v>
      </c>
      <c r="H56" s="7">
        <v>24</v>
      </c>
      <c r="I56" s="7" t="s">
        <v>78</v>
      </c>
      <c r="J56" s="7" t="s">
        <v>199</v>
      </c>
    </row>
    <row r="57" spans="1:10" x14ac:dyDescent="0.3">
      <c r="A57" s="6" t="s">
        <v>218</v>
      </c>
      <c r="B57" s="7" t="s">
        <v>127</v>
      </c>
      <c r="C57" s="7" t="s">
        <v>128</v>
      </c>
      <c r="D57" s="7" t="s">
        <v>9</v>
      </c>
      <c r="E57" s="7" t="s">
        <v>219</v>
      </c>
      <c r="F57" s="7" t="s">
        <v>220</v>
      </c>
      <c r="G57" s="7" t="s">
        <v>221</v>
      </c>
      <c r="H57" s="7">
        <v>1</v>
      </c>
      <c r="I57" s="7" t="s">
        <v>222</v>
      </c>
      <c r="J57" s="7" t="s">
        <v>189</v>
      </c>
    </row>
    <row r="58" spans="1:10" x14ac:dyDescent="0.3">
      <c r="A58" s="6" t="s">
        <v>225</v>
      </c>
      <c r="B58" s="7" t="s">
        <v>127</v>
      </c>
      <c r="C58" s="7" t="s">
        <v>128</v>
      </c>
      <c r="D58" s="7" t="s">
        <v>9</v>
      </c>
      <c r="E58" s="7" t="s">
        <v>77</v>
      </c>
      <c r="F58" s="7" t="s">
        <v>226</v>
      </c>
      <c r="G58" s="7" t="s">
        <v>227</v>
      </c>
      <c r="H58" s="7">
        <v>8</v>
      </c>
      <c r="I58" s="7" t="s">
        <v>78</v>
      </c>
      <c r="J58" s="7" t="s">
        <v>199</v>
      </c>
    </row>
    <row r="59" spans="1:10" x14ac:dyDescent="0.3">
      <c r="A59" s="6" t="s">
        <v>223</v>
      </c>
      <c r="B59" s="7" t="s">
        <v>127</v>
      </c>
      <c r="C59" s="7" t="s">
        <v>128</v>
      </c>
      <c r="D59" s="7" t="s">
        <v>9</v>
      </c>
      <c r="E59" s="7" t="s">
        <v>77</v>
      </c>
      <c r="F59" s="7" t="s">
        <v>224</v>
      </c>
      <c r="G59" s="7" t="s">
        <v>76</v>
      </c>
      <c r="H59" s="7">
        <v>4</v>
      </c>
      <c r="I59" s="7" t="s">
        <v>78</v>
      </c>
      <c r="J59" s="7" t="s">
        <v>199</v>
      </c>
    </row>
    <row r="60" spans="1:10" x14ac:dyDescent="0.3">
      <c r="A60" s="6" t="s">
        <v>2526</v>
      </c>
      <c r="B60" s="7" t="s">
        <v>127</v>
      </c>
      <c r="C60" s="7" t="s">
        <v>128</v>
      </c>
      <c r="D60" s="7" t="s">
        <v>9</v>
      </c>
      <c r="E60" s="7" t="s">
        <v>77</v>
      </c>
      <c r="F60" s="7" t="s">
        <v>2527</v>
      </c>
      <c r="G60" s="7" t="s">
        <v>76</v>
      </c>
      <c r="H60" s="7">
        <v>1</v>
      </c>
      <c r="I60" s="7" t="s">
        <v>78</v>
      </c>
      <c r="J60" s="7" t="s">
        <v>199</v>
      </c>
    </row>
    <row r="61" spans="1:10" x14ac:dyDescent="0.3">
      <c r="A61" s="6" t="s">
        <v>2528</v>
      </c>
      <c r="B61" s="7" t="s">
        <v>127</v>
      </c>
      <c r="C61" s="7" t="s">
        <v>128</v>
      </c>
      <c r="D61" s="7" t="s">
        <v>9</v>
      </c>
      <c r="E61" s="7" t="s">
        <v>77</v>
      </c>
      <c r="F61" s="7" t="s">
        <v>226</v>
      </c>
      <c r="G61" s="7" t="s">
        <v>76</v>
      </c>
      <c r="H61" s="7">
        <v>100</v>
      </c>
      <c r="I61" s="7" t="s">
        <v>78</v>
      </c>
      <c r="J61" s="7" t="s">
        <v>199</v>
      </c>
    </row>
    <row r="62" spans="1:10" x14ac:dyDescent="0.3">
      <c r="A62" s="6" t="s">
        <v>228</v>
      </c>
      <c r="B62" s="7" t="s">
        <v>127</v>
      </c>
      <c r="C62" s="7" t="s">
        <v>128</v>
      </c>
      <c r="D62" s="7" t="s">
        <v>9</v>
      </c>
      <c r="E62" s="7" t="s">
        <v>229</v>
      </c>
      <c r="F62" s="7" t="s">
        <v>230</v>
      </c>
      <c r="G62" s="7" t="s">
        <v>231</v>
      </c>
      <c r="H62" s="7">
        <v>7</v>
      </c>
      <c r="I62" s="7" t="s">
        <v>232</v>
      </c>
      <c r="J62" s="7" t="s">
        <v>233</v>
      </c>
    </row>
    <row r="63" spans="1:10" x14ac:dyDescent="0.3">
      <c r="A63" s="6" t="s">
        <v>240</v>
      </c>
      <c r="B63" s="7" t="s">
        <v>127</v>
      </c>
      <c r="C63" s="7" t="s">
        <v>128</v>
      </c>
      <c r="D63" s="7" t="s">
        <v>9</v>
      </c>
      <c r="E63" s="7" t="s">
        <v>235</v>
      </c>
      <c r="F63" s="7" t="s">
        <v>236</v>
      </c>
      <c r="G63" s="7" t="s">
        <v>241</v>
      </c>
      <c r="H63" s="7">
        <v>15</v>
      </c>
      <c r="I63" s="7" t="s">
        <v>154</v>
      </c>
      <c r="J63" s="7" t="s">
        <v>242</v>
      </c>
    </row>
    <row r="64" spans="1:10" x14ac:dyDescent="0.3">
      <c r="A64" s="6" t="s">
        <v>2530</v>
      </c>
      <c r="B64" s="7" t="s">
        <v>127</v>
      </c>
      <c r="C64" s="7" t="s">
        <v>128</v>
      </c>
      <c r="D64" s="7" t="s">
        <v>9</v>
      </c>
      <c r="E64" s="7" t="s">
        <v>105</v>
      </c>
      <c r="F64" s="7" t="s">
        <v>2531</v>
      </c>
      <c r="G64" s="7" t="s">
        <v>104</v>
      </c>
      <c r="H64" s="7">
        <v>2</v>
      </c>
      <c r="I64" s="7" t="s">
        <v>2532</v>
      </c>
      <c r="J64" s="7" t="s">
        <v>199</v>
      </c>
    </row>
    <row r="65" spans="1:10" x14ac:dyDescent="0.3">
      <c r="A65" s="6" t="s">
        <v>345</v>
      </c>
      <c r="B65" s="7" t="s">
        <v>127</v>
      </c>
      <c r="C65" s="7" t="s">
        <v>128</v>
      </c>
      <c r="D65" s="7" t="s">
        <v>9</v>
      </c>
      <c r="E65" s="7" t="s">
        <v>333</v>
      </c>
      <c r="F65" s="7" t="s">
        <v>334</v>
      </c>
      <c r="G65" s="7" t="s">
        <v>346</v>
      </c>
      <c r="H65" s="7">
        <v>11</v>
      </c>
      <c r="I65" s="7" t="s">
        <v>347</v>
      </c>
      <c r="J65" s="7" t="s">
        <v>348</v>
      </c>
    </row>
    <row r="66" spans="1:10" x14ac:dyDescent="0.3">
      <c r="A66" s="6" t="s">
        <v>332</v>
      </c>
      <c r="B66" s="7" t="s">
        <v>127</v>
      </c>
      <c r="C66" s="7" t="s">
        <v>128</v>
      </c>
      <c r="D66" s="7" t="s">
        <v>9</v>
      </c>
      <c r="E66" s="7" t="s">
        <v>333</v>
      </c>
      <c r="F66" s="7" t="s">
        <v>334</v>
      </c>
      <c r="G66" s="7" t="s">
        <v>335</v>
      </c>
      <c r="H66" s="7">
        <v>13</v>
      </c>
      <c r="I66" s="7" t="s">
        <v>336</v>
      </c>
      <c r="J66" s="7" t="s">
        <v>161</v>
      </c>
    </row>
    <row r="67" spans="1:10" x14ac:dyDescent="0.3">
      <c r="A67" s="6" t="s">
        <v>341</v>
      </c>
      <c r="B67" s="7" t="s">
        <v>127</v>
      </c>
      <c r="C67" s="7" t="s">
        <v>128</v>
      </c>
      <c r="D67" s="7" t="s">
        <v>9</v>
      </c>
      <c r="E67" s="7" t="s">
        <v>333</v>
      </c>
      <c r="F67" s="7" t="s">
        <v>334</v>
      </c>
      <c r="G67" s="7" t="s">
        <v>342</v>
      </c>
      <c r="H67" s="7">
        <v>12</v>
      </c>
      <c r="I67" s="7" t="s">
        <v>343</v>
      </c>
      <c r="J67" s="7" t="s">
        <v>344</v>
      </c>
    </row>
    <row r="68" spans="1:10" x14ac:dyDescent="0.3">
      <c r="A68" s="6" t="s">
        <v>479</v>
      </c>
      <c r="B68" s="7" t="s">
        <v>127</v>
      </c>
      <c r="C68" s="7" t="s">
        <v>128</v>
      </c>
      <c r="D68" s="7" t="s">
        <v>9</v>
      </c>
      <c r="E68" s="7" t="s">
        <v>480</v>
      </c>
      <c r="F68" s="7"/>
      <c r="G68" s="7" t="s">
        <v>481</v>
      </c>
      <c r="H68" s="7">
        <v>19</v>
      </c>
      <c r="I68" s="7" t="s">
        <v>482</v>
      </c>
      <c r="J68" s="7" t="s">
        <v>483</v>
      </c>
    </row>
    <row r="69" spans="1:10" x14ac:dyDescent="0.3">
      <c r="A69" s="6" t="s">
        <v>484</v>
      </c>
      <c r="B69" s="7" t="s">
        <v>127</v>
      </c>
      <c r="C69" s="7" t="s">
        <v>128</v>
      </c>
      <c r="D69" s="7" t="s">
        <v>9</v>
      </c>
      <c r="E69" s="7" t="s">
        <v>485</v>
      </c>
      <c r="F69" s="7"/>
      <c r="G69" s="7" t="s">
        <v>486</v>
      </c>
      <c r="H69" s="7">
        <v>60</v>
      </c>
      <c r="I69" s="7" t="s">
        <v>487</v>
      </c>
      <c r="J69" s="7" t="s">
        <v>488</v>
      </c>
    </row>
    <row r="70" spans="1:10" x14ac:dyDescent="0.3">
      <c r="A70" s="6" t="s">
        <v>463</v>
      </c>
      <c r="B70" s="7" t="s">
        <v>127</v>
      </c>
      <c r="C70" s="7" t="s">
        <v>128</v>
      </c>
      <c r="D70" s="7" t="s">
        <v>9</v>
      </c>
      <c r="E70" s="7" t="s">
        <v>464</v>
      </c>
      <c r="F70" s="7"/>
      <c r="G70" s="7" t="s">
        <v>465</v>
      </c>
      <c r="H70" s="7">
        <v>2</v>
      </c>
      <c r="I70" s="7" t="s">
        <v>466</v>
      </c>
      <c r="J70" s="7" t="s">
        <v>467</v>
      </c>
    </row>
    <row r="71" spans="1:10" x14ac:dyDescent="0.3">
      <c r="A71" s="6" t="s">
        <v>510</v>
      </c>
      <c r="B71" s="7" t="s">
        <v>127</v>
      </c>
      <c r="C71" s="7" t="s">
        <v>128</v>
      </c>
      <c r="D71" s="7" t="s">
        <v>9</v>
      </c>
      <c r="E71" s="7" t="s">
        <v>511</v>
      </c>
      <c r="F71" s="7"/>
      <c r="G71" s="7" t="s">
        <v>512</v>
      </c>
      <c r="H71" s="7">
        <v>4</v>
      </c>
      <c r="I71" s="7" t="s">
        <v>513</v>
      </c>
      <c r="J71" s="7" t="s">
        <v>424</v>
      </c>
    </row>
    <row r="72" spans="1:10" x14ac:dyDescent="0.3">
      <c r="A72" s="6" t="s">
        <v>514</v>
      </c>
      <c r="B72" s="7" t="s">
        <v>127</v>
      </c>
      <c r="C72" s="7" t="s">
        <v>128</v>
      </c>
      <c r="D72" s="7" t="s">
        <v>9</v>
      </c>
      <c r="E72" s="7" t="s">
        <v>515</v>
      </c>
      <c r="F72" s="7" t="s">
        <v>516</v>
      </c>
      <c r="G72" s="7" t="s">
        <v>517</v>
      </c>
      <c r="H72" s="7">
        <v>2</v>
      </c>
      <c r="I72" s="7" t="s">
        <v>518</v>
      </c>
      <c r="J72" s="7" t="s">
        <v>294</v>
      </c>
    </row>
    <row r="73" spans="1:10" x14ac:dyDescent="0.3">
      <c r="A73" s="6" t="s">
        <v>1759</v>
      </c>
      <c r="B73" s="7" t="s">
        <v>127</v>
      </c>
      <c r="C73" s="7" t="s">
        <v>128</v>
      </c>
      <c r="D73" s="7" t="s">
        <v>9</v>
      </c>
      <c r="E73" s="7" t="s">
        <v>1760</v>
      </c>
      <c r="F73" s="7" t="s">
        <v>1761</v>
      </c>
      <c r="G73" s="7" t="s">
        <v>1762</v>
      </c>
      <c r="H73" s="7">
        <v>6</v>
      </c>
      <c r="I73" s="7" t="s">
        <v>111</v>
      </c>
      <c r="J73" s="7" t="s">
        <v>487</v>
      </c>
    </row>
    <row r="74" spans="1:10" x14ac:dyDescent="0.3">
      <c r="A74" s="6" t="s">
        <v>519</v>
      </c>
      <c r="B74" s="7" t="s">
        <v>127</v>
      </c>
      <c r="C74" s="7" t="s">
        <v>128</v>
      </c>
      <c r="D74" s="7" t="s">
        <v>9</v>
      </c>
      <c r="E74" s="7" t="s">
        <v>520</v>
      </c>
      <c r="F74" s="7"/>
      <c r="G74" s="7" t="s">
        <v>521</v>
      </c>
      <c r="H74" s="7">
        <v>3</v>
      </c>
      <c r="I74" s="7" t="s">
        <v>522</v>
      </c>
      <c r="J74" s="7" t="s">
        <v>523</v>
      </c>
    </row>
    <row r="75" spans="1:10" x14ac:dyDescent="0.3">
      <c r="A75" s="6" t="s">
        <v>524</v>
      </c>
      <c r="B75" s="7" t="s">
        <v>127</v>
      </c>
      <c r="C75" s="7" t="s">
        <v>128</v>
      </c>
      <c r="D75" s="7" t="s">
        <v>9</v>
      </c>
      <c r="E75" s="7" t="s">
        <v>525</v>
      </c>
      <c r="F75" s="7"/>
      <c r="G75" s="7" t="s">
        <v>526</v>
      </c>
      <c r="H75" s="7">
        <v>3</v>
      </c>
      <c r="I75" s="7" t="s">
        <v>527</v>
      </c>
      <c r="J75" s="7" t="s">
        <v>528</v>
      </c>
    </row>
    <row r="76" spans="1:10" x14ac:dyDescent="0.3">
      <c r="A76" s="6" t="s">
        <v>529</v>
      </c>
      <c r="B76" s="7" t="s">
        <v>127</v>
      </c>
      <c r="C76" s="7" t="s">
        <v>128</v>
      </c>
      <c r="D76" s="7" t="s">
        <v>9</v>
      </c>
      <c r="E76" s="7" t="s">
        <v>530</v>
      </c>
      <c r="F76" s="7" t="s">
        <v>531</v>
      </c>
      <c r="G76" s="7" t="s">
        <v>532</v>
      </c>
      <c r="H76" s="7">
        <v>3</v>
      </c>
      <c r="I76" s="7" t="s">
        <v>270</v>
      </c>
      <c r="J76" s="7" t="s">
        <v>189</v>
      </c>
    </row>
    <row r="77" spans="1:10" x14ac:dyDescent="0.3">
      <c r="A77" s="6" t="s">
        <v>533</v>
      </c>
      <c r="B77" s="7" t="s">
        <v>127</v>
      </c>
      <c r="C77" s="7" t="s">
        <v>128</v>
      </c>
      <c r="D77" s="7" t="s">
        <v>9</v>
      </c>
      <c r="E77" s="7" t="s">
        <v>534</v>
      </c>
      <c r="F77" s="7" t="s">
        <v>535</v>
      </c>
      <c r="G77" s="7" t="s">
        <v>536</v>
      </c>
      <c r="H77" s="7">
        <v>5</v>
      </c>
      <c r="I77" s="7" t="s">
        <v>99</v>
      </c>
      <c r="J77" s="7" t="s">
        <v>537</v>
      </c>
    </row>
    <row r="78" spans="1:10" x14ac:dyDescent="0.3">
      <c r="A78" s="6" t="s">
        <v>489</v>
      </c>
      <c r="B78" s="7" t="s">
        <v>127</v>
      </c>
      <c r="C78" s="7" t="s">
        <v>128</v>
      </c>
      <c r="D78" s="7" t="s">
        <v>9</v>
      </c>
      <c r="E78" s="7" t="s">
        <v>490</v>
      </c>
      <c r="F78" s="7"/>
      <c r="G78" s="7" t="s">
        <v>491</v>
      </c>
      <c r="H78" s="7">
        <v>1</v>
      </c>
      <c r="I78" s="7" t="s">
        <v>492</v>
      </c>
      <c r="J78" s="7" t="s">
        <v>280</v>
      </c>
    </row>
    <row r="79" spans="1:10" x14ac:dyDescent="0.3">
      <c r="A79" s="6" t="s">
        <v>493</v>
      </c>
      <c r="B79" s="7" t="s">
        <v>127</v>
      </c>
      <c r="C79" s="7" t="s">
        <v>128</v>
      </c>
      <c r="D79" s="7" t="s">
        <v>9</v>
      </c>
      <c r="E79" s="7" t="s">
        <v>494</v>
      </c>
      <c r="F79" s="7"/>
      <c r="G79" s="7" t="s">
        <v>495</v>
      </c>
      <c r="H79" s="7">
        <v>3</v>
      </c>
      <c r="I79" s="7" t="s">
        <v>496</v>
      </c>
      <c r="J79" s="7" t="s">
        <v>497</v>
      </c>
    </row>
    <row r="80" spans="1:10" x14ac:dyDescent="0.3">
      <c r="A80" s="6" t="s">
        <v>538</v>
      </c>
      <c r="B80" s="7" t="s">
        <v>127</v>
      </c>
      <c r="C80" s="7" t="s">
        <v>128</v>
      </c>
      <c r="D80" s="7" t="s">
        <v>9</v>
      </c>
      <c r="E80" s="7" t="s">
        <v>539</v>
      </c>
      <c r="F80" s="7"/>
      <c r="G80" s="7" t="s">
        <v>540</v>
      </c>
      <c r="H80" s="7">
        <v>5</v>
      </c>
      <c r="I80" s="7" t="s">
        <v>541</v>
      </c>
      <c r="J80" s="7" t="s">
        <v>542</v>
      </c>
    </row>
    <row r="81" spans="1:10" x14ac:dyDescent="0.3">
      <c r="A81" s="6" t="s">
        <v>543</v>
      </c>
      <c r="B81" s="7" t="s">
        <v>127</v>
      </c>
      <c r="C81" s="7" t="s">
        <v>128</v>
      </c>
      <c r="D81" s="7" t="s">
        <v>9</v>
      </c>
      <c r="E81" s="7" t="s">
        <v>544</v>
      </c>
      <c r="F81" s="7"/>
      <c r="G81" s="7" t="s">
        <v>545</v>
      </c>
      <c r="H81" s="7">
        <v>5</v>
      </c>
      <c r="I81" s="7" t="s">
        <v>546</v>
      </c>
      <c r="J81" s="7" t="s">
        <v>547</v>
      </c>
    </row>
    <row r="82" spans="1:10" x14ac:dyDescent="0.3">
      <c r="A82" s="6" t="s">
        <v>548</v>
      </c>
      <c r="B82" s="7" t="s">
        <v>127</v>
      </c>
      <c r="C82" s="7" t="s">
        <v>128</v>
      </c>
      <c r="D82" s="7" t="s">
        <v>9</v>
      </c>
      <c r="E82" s="7" t="s">
        <v>549</v>
      </c>
      <c r="F82" s="7" t="s">
        <v>550</v>
      </c>
      <c r="G82" s="7" t="s">
        <v>551</v>
      </c>
      <c r="H82" s="7">
        <v>4</v>
      </c>
      <c r="I82" s="7" t="s">
        <v>552</v>
      </c>
      <c r="J82" s="7" t="s">
        <v>553</v>
      </c>
    </row>
    <row r="83" spans="1:10" x14ac:dyDescent="0.3">
      <c r="A83" s="6" t="s">
        <v>1765</v>
      </c>
      <c r="B83" s="7" t="s">
        <v>127</v>
      </c>
      <c r="C83" s="7" t="s">
        <v>128</v>
      </c>
      <c r="D83" s="7" t="s">
        <v>9</v>
      </c>
      <c r="E83" s="7" t="s">
        <v>1766</v>
      </c>
      <c r="F83" s="7"/>
      <c r="G83" s="7" t="s">
        <v>1767</v>
      </c>
      <c r="H83" s="7">
        <v>5</v>
      </c>
      <c r="I83" s="7" t="s">
        <v>1769</v>
      </c>
      <c r="J83" s="7" t="s">
        <v>563</v>
      </c>
    </row>
    <row r="84" spans="1:10" x14ac:dyDescent="0.3">
      <c r="A84" s="6" t="s">
        <v>554</v>
      </c>
      <c r="B84" s="7" t="s">
        <v>127</v>
      </c>
      <c r="C84" s="7" t="s">
        <v>128</v>
      </c>
      <c r="D84" s="7" t="s">
        <v>9</v>
      </c>
      <c r="E84" s="7" t="s">
        <v>555</v>
      </c>
      <c r="F84" s="7" t="s">
        <v>556</v>
      </c>
      <c r="G84" s="7" t="s">
        <v>557</v>
      </c>
      <c r="H84" s="7">
        <v>12</v>
      </c>
      <c r="I84" s="7" t="s">
        <v>558</v>
      </c>
      <c r="J84" s="7" t="s">
        <v>300</v>
      </c>
    </row>
    <row r="85" spans="1:10" x14ac:dyDescent="0.3">
      <c r="A85" s="6" t="s">
        <v>498</v>
      </c>
      <c r="B85" s="7" t="s">
        <v>127</v>
      </c>
      <c r="C85" s="7" t="s">
        <v>128</v>
      </c>
      <c r="D85" s="7" t="s">
        <v>9</v>
      </c>
      <c r="E85" s="7" t="s">
        <v>499</v>
      </c>
      <c r="F85" s="7" t="s">
        <v>500</v>
      </c>
      <c r="G85" s="7" t="s">
        <v>501</v>
      </c>
      <c r="H85" s="7">
        <v>5</v>
      </c>
      <c r="I85" s="7" t="s">
        <v>403</v>
      </c>
      <c r="J85" s="7" t="s">
        <v>404</v>
      </c>
    </row>
    <row r="86" spans="1:10" x14ac:dyDescent="0.3">
      <c r="A86" s="6" t="s">
        <v>506</v>
      </c>
      <c r="B86" s="7" t="s">
        <v>127</v>
      </c>
      <c r="C86" s="7" t="s">
        <v>128</v>
      </c>
      <c r="D86" s="7" t="s">
        <v>9</v>
      </c>
      <c r="E86" s="7" t="s">
        <v>499</v>
      </c>
      <c r="F86" s="7" t="s">
        <v>500</v>
      </c>
      <c r="G86" s="7" t="s">
        <v>507</v>
      </c>
      <c r="H86" s="7">
        <v>11</v>
      </c>
      <c r="I86" s="7" t="s">
        <v>508</v>
      </c>
      <c r="J86" s="7" t="s">
        <v>509</v>
      </c>
    </row>
    <row r="87" spans="1:10" x14ac:dyDescent="0.3">
      <c r="A87" s="6" t="s">
        <v>502</v>
      </c>
      <c r="B87" s="7" t="s">
        <v>127</v>
      </c>
      <c r="C87" s="7" t="s">
        <v>128</v>
      </c>
      <c r="D87" s="7" t="s">
        <v>9</v>
      </c>
      <c r="E87" s="7" t="s">
        <v>499</v>
      </c>
      <c r="F87" s="7" t="s">
        <v>500</v>
      </c>
      <c r="G87" s="7" t="s">
        <v>503</v>
      </c>
      <c r="H87" s="7">
        <v>4</v>
      </c>
      <c r="I87" s="7" t="s">
        <v>504</v>
      </c>
      <c r="J87" s="7" t="s">
        <v>505</v>
      </c>
    </row>
    <row r="88" spans="1:10" x14ac:dyDescent="0.3">
      <c r="A88" s="6" t="s">
        <v>564</v>
      </c>
      <c r="B88" s="7" t="s">
        <v>127</v>
      </c>
      <c r="C88" s="7" t="s">
        <v>128</v>
      </c>
      <c r="D88" s="7" t="s">
        <v>9</v>
      </c>
      <c r="E88" s="7" t="s">
        <v>565</v>
      </c>
      <c r="F88" s="7" t="s">
        <v>566</v>
      </c>
      <c r="G88" s="7" t="s">
        <v>567</v>
      </c>
      <c r="H88" s="7">
        <v>8</v>
      </c>
      <c r="I88" s="7" t="s">
        <v>568</v>
      </c>
      <c r="J88" s="7" t="s">
        <v>478</v>
      </c>
    </row>
    <row r="89" spans="1:10" x14ac:dyDescent="0.3">
      <c r="A89" s="6" t="s">
        <v>569</v>
      </c>
      <c r="B89" s="7" t="s">
        <v>127</v>
      </c>
      <c r="C89" s="7" t="s">
        <v>128</v>
      </c>
      <c r="D89" s="7" t="s">
        <v>9</v>
      </c>
      <c r="E89" s="7" t="s">
        <v>570</v>
      </c>
      <c r="F89" s="7" t="s">
        <v>571</v>
      </c>
      <c r="G89" s="7" t="s">
        <v>572</v>
      </c>
      <c r="H89" s="7">
        <v>2</v>
      </c>
      <c r="I89" s="7" t="s">
        <v>573</v>
      </c>
      <c r="J89" s="7" t="s">
        <v>294</v>
      </c>
    </row>
    <row r="90" spans="1:10" x14ac:dyDescent="0.3">
      <c r="A90" s="6" t="s">
        <v>574</v>
      </c>
      <c r="B90" s="7" t="s">
        <v>127</v>
      </c>
      <c r="C90" s="7" t="s">
        <v>128</v>
      </c>
      <c r="D90" s="7" t="s">
        <v>9</v>
      </c>
      <c r="E90" s="7" t="s">
        <v>575</v>
      </c>
      <c r="F90" s="7"/>
      <c r="G90" s="7" t="s">
        <v>576</v>
      </c>
      <c r="H90" s="7">
        <v>21</v>
      </c>
      <c r="I90" s="7" t="s">
        <v>577</v>
      </c>
      <c r="J90" s="7" t="s">
        <v>155</v>
      </c>
    </row>
    <row r="91" spans="1:10" x14ac:dyDescent="0.3">
      <c r="A91" s="6" t="s">
        <v>578</v>
      </c>
      <c r="B91" s="7" t="s">
        <v>127</v>
      </c>
      <c r="C91" s="7" t="s">
        <v>128</v>
      </c>
      <c r="D91" s="7" t="s">
        <v>9</v>
      </c>
      <c r="E91" s="7" t="s">
        <v>579</v>
      </c>
      <c r="F91" s="7"/>
      <c r="G91" s="7" t="s">
        <v>580</v>
      </c>
      <c r="H91" s="7">
        <v>25</v>
      </c>
      <c r="I91" s="7" t="s">
        <v>111</v>
      </c>
      <c r="J91" s="7" t="s">
        <v>294</v>
      </c>
    </row>
    <row r="92" spans="1:10" x14ac:dyDescent="0.3">
      <c r="A92" s="6" t="s">
        <v>559</v>
      </c>
      <c r="B92" s="7" t="s">
        <v>127</v>
      </c>
      <c r="C92" s="7" t="s">
        <v>128</v>
      </c>
      <c r="D92" s="7" t="s">
        <v>9</v>
      </c>
      <c r="E92" s="7" t="s">
        <v>560</v>
      </c>
      <c r="F92" s="7"/>
      <c r="G92" s="7" t="s">
        <v>561</v>
      </c>
      <c r="H92" s="7">
        <v>37</v>
      </c>
      <c r="I92" s="7" t="s">
        <v>562</v>
      </c>
      <c r="J92" s="7" t="s">
        <v>563</v>
      </c>
    </row>
    <row r="93" spans="1:10" x14ac:dyDescent="0.3">
      <c r="A93" s="6" t="s">
        <v>581</v>
      </c>
      <c r="B93" s="7" t="s">
        <v>127</v>
      </c>
      <c r="C93" s="7" t="s">
        <v>128</v>
      </c>
      <c r="D93" s="7" t="s">
        <v>9</v>
      </c>
      <c r="E93" s="7" t="s">
        <v>582</v>
      </c>
      <c r="F93" s="7"/>
      <c r="G93" s="7" t="s">
        <v>583</v>
      </c>
      <c r="H93" s="7">
        <v>50</v>
      </c>
      <c r="I93" s="7" t="s">
        <v>584</v>
      </c>
      <c r="J93" s="7" t="s">
        <v>304</v>
      </c>
    </row>
    <row r="94" spans="1:10" x14ac:dyDescent="0.3">
      <c r="A94" s="6" t="s">
        <v>585</v>
      </c>
      <c r="B94" s="7" t="s">
        <v>127</v>
      </c>
      <c r="C94" s="7" t="s">
        <v>128</v>
      </c>
      <c r="D94" s="7" t="s">
        <v>9</v>
      </c>
      <c r="E94" s="7" t="s">
        <v>586</v>
      </c>
      <c r="F94" s="7"/>
      <c r="G94" s="7" t="s">
        <v>587</v>
      </c>
      <c r="H94" s="7">
        <v>15</v>
      </c>
      <c r="I94" s="7" t="s">
        <v>69</v>
      </c>
      <c r="J94" s="7" t="s">
        <v>161</v>
      </c>
    </row>
    <row r="95" spans="1:10" x14ac:dyDescent="0.3">
      <c r="A95" s="6" t="s">
        <v>474</v>
      </c>
      <c r="B95" s="7" t="s">
        <v>127</v>
      </c>
      <c r="C95" s="7" t="s">
        <v>128</v>
      </c>
      <c r="D95" s="7" t="s">
        <v>9</v>
      </c>
      <c r="E95" s="7" t="s">
        <v>475</v>
      </c>
      <c r="F95" s="7"/>
      <c r="G95" s="7" t="s">
        <v>476</v>
      </c>
      <c r="H95" s="7">
        <v>9</v>
      </c>
      <c r="I95" s="7" t="s">
        <v>477</v>
      </c>
      <c r="J95" s="7" t="s">
        <v>478</v>
      </c>
    </row>
    <row r="96" spans="1:10" x14ac:dyDescent="0.3">
      <c r="A96" s="6" t="s">
        <v>468</v>
      </c>
      <c r="B96" s="7" t="s">
        <v>127</v>
      </c>
      <c r="C96" s="7" t="s">
        <v>128</v>
      </c>
      <c r="D96" s="7" t="s">
        <v>9</v>
      </c>
      <c r="E96" s="7" t="s">
        <v>469</v>
      </c>
      <c r="F96" s="7" t="s">
        <v>470</v>
      </c>
      <c r="G96" s="7" t="s">
        <v>471</v>
      </c>
      <c r="H96" s="7">
        <v>26</v>
      </c>
      <c r="I96" s="7" t="s">
        <v>472</v>
      </c>
      <c r="J96" s="7" t="s">
        <v>473</v>
      </c>
    </row>
    <row r="97" spans="1:10" x14ac:dyDescent="0.3">
      <c r="A97" s="6" t="s">
        <v>458</v>
      </c>
      <c r="B97" s="7" t="s">
        <v>127</v>
      </c>
      <c r="C97" s="7" t="s">
        <v>128</v>
      </c>
      <c r="D97" s="7" t="s">
        <v>9</v>
      </c>
      <c r="E97" s="7" t="s">
        <v>459</v>
      </c>
      <c r="F97" s="7" t="s">
        <v>460</v>
      </c>
      <c r="G97" s="7" t="s">
        <v>461</v>
      </c>
      <c r="H97" s="7">
        <v>15</v>
      </c>
      <c r="I97" s="7" t="s">
        <v>111</v>
      </c>
      <c r="J97" s="7" t="s">
        <v>462</v>
      </c>
    </row>
    <row r="98" spans="1:10" x14ac:dyDescent="0.3">
      <c r="A98" s="6" t="s">
        <v>453</v>
      </c>
      <c r="B98" s="7" t="s">
        <v>127</v>
      </c>
      <c r="C98" s="7" t="s">
        <v>128</v>
      </c>
      <c r="D98" s="7" t="s">
        <v>9</v>
      </c>
      <c r="E98" s="7" t="s">
        <v>454</v>
      </c>
      <c r="F98" s="7" t="s">
        <v>455</v>
      </c>
      <c r="G98" s="7" t="s">
        <v>456</v>
      </c>
      <c r="H98" s="7">
        <v>7</v>
      </c>
      <c r="I98" s="7" t="s">
        <v>160</v>
      </c>
      <c r="J98" s="7" t="s">
        <v>457</v>
      </c>
    </row>
    <row r="99" spans="1:10" x14ac:dyDescent="0.3">
      <c r="A99" s="6" t="s">
        <v>357</v>
      </c>
      <c r="B99" s="7" t="s">
        <v>127</v>
      </c>
      <c r="C99" s="7" t="s">
        <v>128</v>
      </c>
      <c r="D99" s="7" t="s">
        <v>9</v>
      </c>
      <c r="E99" s="7" t="s">
        <v>358</v>
      </c>
      <c r="F99" s="7"/>
      <c r="G99" s="7" t="s">
        <v>359</v>
      </c>
      <c r="H99" s="7">
        <v>1</v>
      </c>
      <c r="I99" s="7" t="s">
        <v>360</v>
      </c>
      <c r="J99" s="7" t="s">
        <v>361</v>
      </c>
    </row>
    <row r="100" spans="1:10" x14ac:dyDescent="0.3">
      <c r="A100" s="6" t="s">
        <v>368</v>
      </c>
      <c r="B100" s="7" t="s">
        <v>127</v>
      </c>
      <c r="C100" s="7" t="s">
        <v>128</v>
      </c>
      <c r="D100" s="7" t="s">
        <v>9</v>
      </c>
      <c r="E100" s="7" t="s">
        <v>363</v>
      </c>
      <c r="F100" s="7" t="s">
        <v>364</v>
      </c>
      <c r="G100" s="7" t="s">
        <v>369</v>
      </c>
      <c r="H100" s="7">
        <v>9</v>
      </c>
      <c r="I100" s="7" t="s">
        <v>370</v>
      </c>
      <c r="J100" s="7" t="s">
        <v>371</v>
      </c>
    </row>
    <row r="101" spans="1:10" x14ac:dyDescent="0.3">
      <c r="A101" s="6" t="s">
        <v>362</v>
      </c>
      <c r="B101" s="7" t="s">
        <v>127</v>
      </c>
      <c r="C101" s="7" t="s">
        <v>128</v>
      </c>
      <c r="D101" s="7" t="s">
        <v>9</v>
      </c>
      <c r="E101" s="7" t="s">
        <v>363</v>
      </c>
      <c r="F101" s="7" t="s">
        <v>364</v>
      </c>
      <c r="G101" s="7" t="s">
        <v>365</v>
      </c>
      <c r="H101" s="7">
        <v>37</v>
      </c>
      <c r="I101" s="7" t="s">
        <v>366</v>
      </c>
      <c r="J101" s="7" t="s">
        <v>367</v>
      </c>
    </row>
    <row r="102" spans="1:10" x14ac:dyDescent="0.3">
      <c r="A102" s="6" t="s">
        <v>372</v>
      </c>
      <c r="B102" s="7" t="s">
        <v>127</v>
      </c>
      <c r="C102" s="7" t="s">
        <v>128</v>
      </c>
      <c r="D102" s="7" t="s">
        <v>9</v>
      </c>
      <c r="E102" s="7" t="s">
        <v>373</v>
      </c>
      <c r="F102" s="7"/>
      <c r="G102" s="7" t="s">
        <v>374</v>
      </c>
      <c r="H102" s="7">
        <v>12</v>
      </c>
      <c r="I102" s="7" t="s">
        <v>99</v>
      </c>
      <c r="J102" s="7" t="s">
        <v>375</v>
      </c>
    </row>
    <row r="103" spans="1:10" x14ac:dyDescent="0.3">
      <c r="A103" s="6" t="s">
        <v>376</v>
      </c>
      <c r="B103" s="7" t="s">
        <v>127</v>
      </c>
      <c r="C103" s="7" t="s">
        <v>128</v>
      </c>
      <c r="D103" s="7" t="s">
        <v>9</v>
      </c>
      <c r="E103" s="7" t="s">
        <v>81</v>
      </c>
      <c r="F103" s="7" t="s">
        <v>377</v>
      </c>
      <c r="G103" s="7" t="s">
        <v>378</v>
      </c>
      <c r="H103" s="7">
        <v>14</v>
      </c>
      <c r="I103" s="7" t="s">
        <v>379</v>
      </c>
      <c r="J103" s="7" t="s">
        <v>380</v>
      </c>
    </row>
    <row r="104" spans="1:10" x14ac:dyDescent="0.3">
      <c r="A104" s="6" t="s">
        <v>1743</v>
      </c>
      <c r="B104" s="7" t="s">
        <v>127</v>
      </c>
      <c r="C104" s="7" t="s">
        <v>128</v>
      </c>
      <c r="D104" s="7" t="s">
        <v>9</v>
      </c>
      <c r="E104" s="7" t="s">
        <v>81</v>
      </c>
      <c r="F104" s="7" t="s">
        <v>377</v>
      </c>
      <c r="G104" s="7" t="s">
        <v>80</v>
      </c>
      <c r="H104" s="7">
        <v>112</v>
      </c>
      <c r="I104" s="7" t="s">
        <v>82</v>
      </c>
      <c r="J104" s="7" t="s">
        <v>1745</v>
      </c>
    </row>
    <row r="105" spans="1:10" x14ac:dyDescent="0.3">
      <c r="A105" s="6" t="s">
        <v>1746</v>
      </c>
      <c r="B105" s="7" t="s">
        <v>127</v>
      </c>
      <c r="C105" s="7" t="s">
        <v>128</v>
      </c>
      <c r="D105" s="7" t="s">
        <v>9</v>
      </c>
      <c r="E105" s="7" t="s">
        <v>81</v>
      </c>
      <c r="F105" s="7" t="s">
        <v>907</v>
      </c>
      <c r="G105" s="7" t="s">
        <v>80</v>
      </c>
      <c r="H105" s="7">
        <v>7</v>
      </c>
      <c r="I105" s="7" t="s">
        <v>82</v>
      </c>
      <c r="J105" s="7" t="s">
        <v>1745</v>
      </c>
    </row>
    <row r="106" spans="1:10" x14ac:dyDescent="0.3">
      <c r="A106" s="6" t="s">
        <v>1747</v>
      </c>
      <c r="B106" s="7" t="s">
        <v>127</v>
      </c>
      <c r="C106" s="7" t="s">
        <v>128</v>
      </c>
      <c r="D106" s="7" t="s">
        <v>9</v>
      </c>
      <c r="E106" s="7" t="s">
        <v>81</v>
      </c>
      <c r="F106" s="7" t="s">
        <v>1748</v>
      </c>
      <c r="G106" s="7" t="s">
        <v>80</v>
      </c>
      <c r="H106" s="7">
        <v>3</v>
      </c>
      <c r="I106" s="7" t="s">
        <v>82</v>
      </c>
      <c r="J106" s="7" t="s">
        <v>1745</v>
      </c>
    </row>
    <row r="107" spans="1:10" x14ac:dyDescent="0.3">
      <c r="A107" s="6" t="s">
        <v>381</v>
      </c>
      <c r="B107" s="7" t="s">
        <v>127</v>
      </c>
      <c r="C107" s="7" t="s">
        <v>128</v>
      </c>
      <c r="D107" s="7" t="s">
        <v>9</v>
      </c>
      <c r="E107" s="7" t="s">
        <v>382</v>
      </c>
      <c r="F107" s="7" t="s">
        <v>383</v>
      </c>
      <c r="G107" s="7" t="s">
        <v>384</v>
      </c>
      <c r="H107" s="7">
        <v>32</v>
      </c>
      <c r="I107" s="7" t="s">
        <v>111</v>
      </c>
      <c r="J107" s="7" t="s">
        <v>294</v>
      </c>
    </row>
    <row r="108" spans="1:10" x14ac:dyDescent="0.3">
      <c r="A108" s="6" t="s">
        <v>385</v>
      </c>
      <c r="B108" s="7" t="s">
        <v>127</v>
      </c>
      <c r="C108" s="7" t="s">
        <v>128</v>
      </c>
      <c r="D108" s="7" t="s">
        <v>9</v>
      </c>
      <c r="E108" s="7" t="s">
        <v>386</v>
      </c>
      <c r="F108" s="7" t="s">
        <v>387</v>
      </c>
      <c r="G108" s="7" t="s">
        <v>388</v>
      </c>
      <c r="H108" s="7">
        <v>5</v>
      </c>
      <c r="I108" s="7" t="s">
        <v>389</v>
      </c>
      <c r="J108" s="7" t="s">
        <v>246</v>
      </c>
    </row>
    <row r="109" spans="1:10" x14ac:dyDescent="0.3">
      <c r="A109" s="6" t="s">
        <v>390</v>
      </c>
      <c r="B109" s="7" t="s">
        <v>127</v>
      </c>
      <c r="C109" s="7" t="s">
        <v>128</v>
      </c>
      <c r="D109" s="7" t="s">
        <v>9</v>
      </c>
      <c r="E109" s="7" t="s">
        <v>391</v>
      </c>
      <c r="F109" s="7" t="s">
        <v>392</v>
      </c>
      <c r="G109" s="7" t="s">
        <v>393</v>
      </c>
      <c r="H109" s="7">
        <v>2</v>
      </c>
      <c r="I109" s="7" t="s">
        <v>394</v>
      </c>
      <c r="J109" s="7" t="s">
        <v>189</v>
      </c>
    </row>
    <row r="110" spans="1:10" x14ac:dyDescent="0.3">
      <c r="A110" s="6" t="s">
        <v>1749</v>
      </c>
      <c r="B110" s="7" t="s">
        <v>127</v>
      </c>
      <c r="C110" s="7" t="s">
        <v>128</v>
      </c>
      <c r="D110" s="7" t="s">
        <v>9</v>
      </c>
      <c r="E110" s="7" t="s">
        <v>1750</v>
      </c>
      <c r="F110" s="7"/>
      <c r="G110" s="7" t="s">
        <v>1751</v>
      </c>
      <c r="H110" s="7">
        <v>13</v>
      </c>
      <c r="I110" s="7" t="s">
        <v>513</v>
      </c>
      <c r="J110" s="7" t="s">
        <v>424</v>
      </c>
    </row>
    <row r="111" spans="1:10" x14ac:dyDescent="0.3">
      <c r="A111" s="6" t="s">
        <v>395</v>
      </c>
      <c r="B111" s="7" t="s">
        <v>127</v>
      </c>
      <c r="C111" s="7" t="s">
        <v>128</v>
      </c>
      <c r="D111" s="7" t="s">
        <v>9</v>
      </c>
      <c r="E111" s="7" t="s">
        <v>396</v>
      </c>
      <c r="F111" s="7"/>
      <c r="G111" s="7" t="s">
        <v>397</v>
      </c>
      <c r="H111" s="7">
        <v>7</v>
      </c>
      <c r="I111" s="7" t="s">
        <v>131</v>
      </c>
      <c r="J111" s="7" t="s">
        <v>398</v>
      </c>
    </row>
    <row r="112" spans="1:10" x14ac:dyDescent="0.3">
      <c r="A112" s="6" t="s">
        <v>133</v>
      </c>
      <c r="B112" s="7" t="s">
        <v>127</v>
      </c>
      <c r="C112" s="7" t="s">
        <v>128</v>
      </c>
      <c r="D112" s="7" t="s">
        <v>9</v>
      </c>
      <c r="E112" s="7" t="s">
        <v>134</v>
      </c>
      <c r="F112" s="7" t="s">
        <v>135</v>
      </c>
      <c r="G112" s="7" t="s">
        <v>136</v>
      </c>
      <c r="H112" s="7">
        <v>3</v>
      </c>
      <c r="I112" s="7" t="s">
        <v>137</v>
      </c>
      <c r="J112" s="7" t="s">
        <v>138</v>
      </c>
    </row>
    <row r="113" spans="1:10" x14ac:dyDescent="0.3">
      <c r="A113" s="6" t="s">
        <v>405</v>
      </c>
      <c r="B113" s="7" t="s">
        <v>127</v>
      </c>
      <c r="C113" s="7" t="s">
        <v>128</v>
      </c>
      <c r="D113" s="7" t="s">
        <v>9</v>
      </c>
      <c r="E113" s="7" t="s">
        <v>400</v>
      </c>
      <c r="F113" s="7" t="s">
        <v>401</v>
      </c>
      <c r="G113" s="7" t="s">
        <v>406</v>
      </c>
      <c r="H113" s="7">
        <v>35</v>
      </c>
      <c r="I113" s="7" t="s">
        <v>407</v>
      </c>
      <c r="J113" s="7" t="s">
        <v>408</v>
      </c>
    </row>
    <row r="114" spans="1:10" x14ac:dyDescent="0.3">
      <c r="A114" s="6" t="s">
        <v>1754</v>
      </c>
      <c r="B114" s="7" t="s">
        <v>127</v>
      </c>
      <c r="C114" s="7" t="s">
        <v>128</v>
      </c>
      <c r="D114" s="7" t="s">
        <v>9</v>
      </c>
      <c r="E114" s="7" t="s">
        <v>1755</v>
      </c>
      <c r="F114" s="7"/>
      <c r="G114" s="7" t="s">
        <v>1756</v>
      </c>
      <c r="H114" s="7">
        <v>5</v>
      </c>
      <c r="I114" s="7" t="s">
        <v>1758</v>
      </c>
      <c r="J114" s="7" t="s">
        <v>542</v>
      </c>
    </row>
    <row r="115" spans="1:10" x14ac:dyDescent="0.3">
      <c r="A115" s="6" t="s">
        <v>409</v>
      </c>
      <c r="B115" s="7" t="s">
        <v>127</v>
      </c>
      <c r="C115" s="7" t="s">
        <v>128</v>
      </c>
      <c r="D115" s="7" t="s">
        <v>9</v>
      </c>
      <c r="E115" s="7" t="s">
        <v>410</v>
      </c>
      <c r="F115" s="7" t="s">
        <v>411</v>
      </c>
      <c r="G115" s="7" t="s">
        <v>412</v>
      </c>
      <c r="H115" s="7">
        <v>9</v>
      </c>
      <c r="I115" s="7" t="s">
        <v>328</v>
      </c>
      <c r="J115" s="7" t="s">
        <v>166</v>
      </c>
    </row>
    <row r="116" spans="1:10" x14ac:dyDescent="0.3">
      <c r="A116" s="6" t="s">
        <v>413</v>
      </c>
      <c r="B116" s="7" t="s">
        <v>127</v>
      </c>
      <c r="C116" s="7" t="s">
        <v>128</v>
      </c>
      <c r="D116" s="7" t="s">
        <v>9</v>
      </c>
      <c r="E116" s="7" t="s">
        <v>414</v>
      </c>
      <c r="F116" s="7" t="s">
        <v>415</v>
      </c>
      <c r="G116" s="7" t="s">
        <v>416</v>
      </c>
      <c r="H116" s="7">
        <v>64</v>
      </c>
      <c r="I116" s="7" t="s">
        <v>417</v>
      </c>
      <c r="J116" s="7" t="s">
        <v>418</v>
      </c>
    </row>
    <row r="117" spans="1:10" x14ac:dyDescent="0.3">
      <c r="A117" s="6" t="s">
        <v>419</v>
      </c>
      <c r="B117" s="7" t="s">
        <v>127</v>
      </c>
      <c r="C117" s="7" t="s">
        <v>128</v>
      </c>
      <c r="D117" s="7" t="s">
        <v>9</v>
      </c>
      <c r="E117" s="7" t="s">
        <v>420</v>
      </c>
      <c r="F117" s="7" t="s">
        <v>421</v>
      </c>
      <c r="G117" s="7" t="s">
        <v>422</v>
      </c>
      <c r="H117" s="7">
        <v>3</v>
      </c>
      <c r="I117" s="7" t="s">
        <v>423</v>
      </c>
      <c r="J117" s="7" t="s">
        <v>424</v>
      </c>
    </row>
    <row r="118" spans="1:10" x14ac:dyDescent="0.3">
      <c r="A118" s="6" t="s">
        <v>425</v>
      </c>
      <c r="B118" s="7" t="s">
        <v>127</v>
      </c>
      <c r="C118" s="7" t="s">
        <v>128</v>
      </c>
      <c r="D118" s="7" t="s">
        <v>9</v>
      </c>
      <c r="E118" s="7" t="s">
        <v>426</v>
      </c>
      <c r="F118" s="7"/>
      <c r="G118" s="7" t="s">
        <v>427</v>
      </c>
      <c r="H118" s="7">
        <v>16</v>
      </c>
      <c r="I118" s="7" t="s">
        <v>148</v>
      </c>
      <c r="J118" s="7" t="s">
        <v>149</v>
      </c>
    </row>
    <row r="119" spans="1:10" x14ac:dyDescent="0.3">
      <c r="A119" s="6" t="s">
        <v>428</v>
      </c>
      <c r="B119" s="7" t="s">
        <v>127</v>
      </c>
      <c r="C119" s="7" t="s">
        <v>128</v>
      </c>
      <c r="D119" s="7" t="s">
        <v>9</v>
      </c>
      <c r="E119" s="7" t="s">
        <v>429</v>
      </c>
      <c r="F119" s="7" t="s">
        <v>430</v>
      </c>
      <c r="G119" s="7" t="s">
        <v>72</v>
      </c>
      <c r="H119" s="7">
        <v>344</v>
      </c>
      <c r="I119" s="7" t="s">
        <v>74</v>
      </c>
      <c r="J119" s="7" t="s">
        <v>348</v>
      </c>
    </row>
    <row r="120" spans="1:10" x14ac:dyDescent="0.3">
      <c r="A120" s="6" t="s">
        <v>2529</v>
      </c>
      <c r="B120" s="7" t="s">
        <v>127</v>
      </c>
      <c r="C120" s="7" t="s">
        <v>128</v>
      </c>
      <c r="D120" s="7" t="s">
        <v>9</v>
      </c>
      <c r="E120" s="7" t="s">
        <v>429</v>
      </c>
      <c r="F120" s="7" t="s">
        <v>430</v>
      </c>
      <c r="G120" s="7" t="s">
        <v>72</v>
      </c>
      <c r="H120" s="7">
        <v>8</v>
      </c>
      <c r="I120" s="7" t="s">
        <v>74</v>
      </c>
      <c r="J120" s="7" t="s">
        <v>348</v>
      </c>
    </row>
    <row r="121" spans="1:10" x14ac:dyDescent="0.3">
      <c r="A121" s="6" t="s">
        <v>431</v>
      </c>
      <c r="B121" s="7" t="s">
        <v>127</v>
      </c>
      <c r="C121" s="7" t="s">
        <v>128</v>
      </c>
      <c r="D121" s="7" t="s">
        <v>9</v>
      </c>
      <c r="E121" s="7" t="s">
        <v>432</v>
      </c>
      <c r="F121" s="7" t="s">
        <v>433</v>
      </c>
      <c r="G121" s="7" t="s">
        <v>72</v>
      </c>
      <c r="H121" s="7">
        <v>128</v>
      </c>
      <c r="I121" s="7" t="s">
        <v>74</v>
      </c>
      <c r="J121" s="7" t="s">
        <v>348</v>
      </c>
    </row>
    <row r="122" spans="1:10" x14ac:dyDescent="0.3">
      <c r="A122" s="6" t="s">
        <v>434</v>
      </c>
      <c r="B122" s="7" t="s">
        <v>127</v>
      </c>
      <c r="C122" s="7" t="s">
        <v>128</v>
      </c>
      <c r="D122" s="7" t="s">
        <v>9</v>
      </c>
      <c r="E122" s="7" t="s">
        <v>435</v>
      </c>
      <c r="F122" s="7"/>
      <c r="G122" s="7" t="s">
        <v>436</v>
      </c>
      <c r="H122" s="7">
        <v>45</v>
      </c>
      <c r="I122" s="7" t="s">
        <v>437</v>
      </c>
      <c r="J122" s="7" t="s">
        <v>438</v>
      </c>
    </row>
    <row r="123" spans="1:10" x14ac:dyDescent="0.3">
      <c r="A123" s="6" t="s">
        <v>439</v>
      </c>
      <c r="B123" s="7" t="s">
        <v>127</v>
      </c>
      <c r="C123" s="7" t="s">
        <v>128</v>
      </c>
      <c r="D123" s="7" t="s">
        <v>9</v>
      </c>
      <c r="E123" s="7" t="s">
        <v>440</v>
      </c>
      <c r="F123" s="7"/>
      <c r="G123" s="7" t="s">
        <v>441</v>
      </c>
      <c r="H123" s="7">
        <v>3</v>
      </c>
      <c r="I123" s="7" t="s">
        <v>328</v>
      </c>
      <c r="J123" s="7" t="s">
        <v>166</v>
      </c>
    </row>
    <row r="124" spans="1:10" x14ac:dyDescent="0.3">
      <c r="A124" s="6" t="s">
        <v>442</v>
      </c>
      <c r="B124" s="7" t="s">
        <v>127</v>
      </c>
      <c r="C124" s="7" t="s">
        <v>128</v>
      </c>
      <c r="D124" s="7" t="s">
        <v>9</v>
      </c>
      <c r="E124" s="7" t="s">
        <v>443</v>
      </c>
      <c r="F124" s="7"/>
      <c r="G124" s="7" t="s">
        <v>444</v>
      </c>
      <c r="H124" s="7">
        <v>17</v>
      </c>
      <c r="I124" s="7" t="s">
        <v>424</v>
      </c>
      <c r="J124" s="7" t="s">
        <v>143</v>
      </c>
    </row>
    <row r="125" spans="1:10" x14ac:dyDescent="0.3">
      <c r="A125" s="6" t="s">
        <v>445</v>
      </c>
      <c r="B125" s="7" t="s">
        <v>127</v>
      </c>
      <c r="C125" s="7" t="s">
        <v>128</v>
      </c>
      <c r="D125" s="7" t="s">
        <v>9</v>
      </c>
      <c r="E125" s="7" t="s">
        <v>446</v>
      </c>
      <c r="F125" s="7" t="s">
        <v>447</v>
      </c>
      <c r="G125" s="7" t="s">
        <v>448</v>
      </c>
      <c r="H125" s="7">
        <v>24</v>
      </c>
      <c r="I125" s="7" t="s">
        <v>407</v>
      </c>
      <c r="J125" s="7" t="s">
        <v>408</v>
      </c>
    </row>
    <row r="126" spans="1:10" x14ac:dyDescent="0.3">
      <c r="A126" s="6" t="s">
        <v>449</v>
      </c>
      <c r="B126" s="7" t="s">
        <v>127</v>
      </c>
      <c r="C126" s="7" t="s">
        <v>128</v>
      </c>
      <c r="D126" s="7" t="s">
        <v>9</v>
      </c>
      <c r="E126" s="7" t="s">
        <v>450</v>
      </c>
      <c r="F126" s="7"/>
      <c r="G126" s="7" t="s">
        <v>451</v>
      </c>
      <c r="H126" s="7">
        <v>3</v>
      </c>
      <c r="I126" s="7" t="s">
        <v>452</v>
      </c>
      <c r="J126" s="7" t="s">
        <v>314</v>
      </c>
    </row>
    <row r="127" spans="1:10" x14ac:dyDescent="0.3">
      <c r="A127" s="6" t="s">
        <v>399</v>
      </c>
      <c r="B127" s="7" t="s">
        <v>127</v>
      </c>
      <c r="C127" s="7" t="s">
        <v>128</v>
      </c>
      <c r="D127" s="7" t="s">
        <v>9</v>
      </c>
      <c r="E127" s="7" t="s">
        <v>400</v>
      </c>
      <c r="F127" s="7" t="s">
        <v>401</v>
      </c>
      <c r="G127" s="7" t="s">
        <v>402</v>
      </c>
      <c r="H127" s="7">
        <v>47</v>
      </c>
      <c r="I127" s="7" t="s">
        <v>403</v>
      </c>
      <c r="J127" s="7" t="s">
        <v>404</v>
      </c>
    </row>
    <row r="128" spans="1:10" x14ac:dyDescent="0.3">
      <c r="A128" s="6" t="s">
        <v>126</v>
      </c>
      <c r="B128" s="7" t="s">
        <v>127</v>
      </c>
      <c r="C128" s="7" t="s">
        <v>128</v>
      </c>
      <c r="D128" s="7" t="s">
        <v>9</v>
      </c>
      <c r="E128" s="7" t="s">
        <v>129</v>
      </c>
      <c r="F128" s="7"/>
      <c r="G128" s="7" t="s">
        <v>130</v>
      </c>
      <c r="H128" s="7">
        <v>1</v>
      </c>
      <c r="I128" s="7" t="s">
        <v>131</v>
      </c>
      <c r="J128" s="7" t="s">
        <v>132</v>
      </c>
    </row>
    <row r="129" spans="1:10" ht="15" x14ac:dyDescent="0.3">
      <c r="A129" s="10"/>
      <c r="B129" s="11"/>
      <c r="C129" s="11"/>
      <c r="D129" s="11" t="s">
        <v>2536</v>
      </c>
      <c r="E129" s="11" t="s">
        <v>2534</v>
      </c>
      <c r="F129" s="11"/>
      <c r="G129" s="11" t="s">
        <v>2537</v>
      </c>
      <c r="H129" s="11">
        <v>2233</v>
      </c>
      <c r="I129" s="11"/>
      <c r="J129" s="11"/>
    </row>
    <row r="130" spans="1:10" x14ac:dyDescent="0.3">
      <c r="A130" s="6" t="s">
        <v>594</v>
      </c>
      <c r="B130" s="7" t="s">
        <v>127</v>
      </c>
      <c r="C130" s="7" t="s">
        <v>589</v>
      </c>
      <c r="D130" s="7" t="s">
        <v>10</v>
      </c>
      <c r="E130" s="7" t="s">
        <v>595</v>
      </c>
      <c r="F130" s="7" t="s">
        <v>596</v>
      </c>
      <c r="G130" s="7" t="s">
        <v>597</v>
      </c>
      <c r="H130" s="7">
        <v>34</v>
      </c>
      <c r="I130" s="7" t="s">
        <v>598</v>
      </c>
      <c r="J130" s="7" t="s">
        <v>599</v>
      </c>
    </row>
    <row r="131" spans="1:10" x14ac:dyDescent="0.3">
      <c r="A131" s="6" t="s">
        <v>647</v>
      </c>
      <c r="B131" s="7" t="s">
        <v>127</v>
      </c>
      <c r="C131" s="7" t="s">
        <v>589</v>
      </c>
      <c r="D131" s="7" t="s">
        <v>10</v>
      </c>
      <c r="E131" s="7" t="s">
        <v>648</v>
      </c>
      <c r="F131" s="7" t="s">
        <v>649</v>
      </c>
      <c r="G131" s="7" t="s">
        <v>66</v>
      </c>
      <c r="H131" s="7">
        <v>31</v>
      </c>
      <c r="I131" s="7" t="s">
        <v>69</v>
      </c>
      <c r="J131" s="7" t="s">
        <v>348</v>
      </c>
    </row>
    <row r="132" spans="1:10" x14ac:dyDescent="0.3">
      <c r="A132" s="6" t="s">
        <v>1802</v>
      </c>
      <c r="B132" s="7" t="s">
        <v>127</v>
      </c>
      <c r="C132" s="7" t="s">
        <v>589</v>
      </c>
      <c r="D132" s="7" t="s">
        <v>10</v>
      </c>
      <c r="E132" s="7" t="s">
        <v>1803</v>
      </c>
      <c r="F132" s="7" t="s">
        <v>322</v>
      </c>
      <c r="G132" s="7" t="s">
        <v>1804</v>
      </c>
      <c r="H132" s="7">
        <v>1</v>
      </c>
      <c r="I132" s="7" t="s">
        <v>1808</v>
      </c>
      <c r="J132" s="7" t="s">
        <v>199</v>
      </c>
    </row>
    <row r="133" spans="1:10" x14ac:dyDescent="0.3">
      <c r="A133" s="6" t="s">
        <v>662</v>
      </c>
      <c r="B133" s="7" t="s">
        <v>127</v>
      </c>
      <c r="C133" s="7" t="s">
        <v>589</v>
      </c>
      <c r="D133" s="7" t="s">
        <v>10</v>
      </c>
      <c r="E133" s="7" t="s">
        <v>663</v>
      </c>
      <c r="F133" s="7" t="s">
        <v>664</v>
      </c>
      <c r="G133" s="7" t="s">
        <v>665</v>
      </c>
      <c r="H133" s="7">
        <v>7</v>
      </c>
      <c r="I133" s="7" t="s">
        <v>407</v>
      </c>
      <c r="J133" s="7" t="s">
        <v>666</v>
      </c>
    </row>
    <row r="134" spans="1:10" x14ac:dyDescent="0.3">
      <c r="A134" s="6" t="s">
        <v>1809</v>
      </c>
      <c r="B134" s="7" t="s">
        <v>127</v>
      </c>
      <c r="C134" s="7" t="s">
        <v>589</v>
      </c>
      <c r="D134" s="7" t="s">
        <v>10</v>
      </c>
      <c r="E134" s="7" t="s">
        <v>1810</v>
      </c>
      <c r="F134" s="7" t="s">
        <v>1811</v>
      </c>
      <c r="G134" s="7" t="s">
        <v>1812</v>
      </c>
      <c r="H134" s="7">
        <v>4</v>
      </c>
      <c r="I134" s="7" t="s">
        <v>1815</v>
      </c>
      <c r="J134" s="7" t="s">
        <v>955</v>
      </c>
    </row>
    <row r="135" spans="1:10" x14ac:dyDescent="0.3">
      <c r="A135" s="6" t="s">
        <v>667</v>
      </c>
      <c r="B135" s="7" t="s">
        <v>127</v>
      </c>
      <c r="C135" s="7" t="s">
        <v>589</v>
      </c>
      <c r="D135" s="7" t="s">
        <v>10</v>
      </c>
      <c r="E135" s="7" t="s">
        <v>668</v>
      </c>
      <c r="F135" s="7" t="s">
        <v>669</v>
      </c>
      <c r="G135" s="7" t="s">
        <v>670</v>
      </c>
      <c r="H135" s="7">
        <v>0</v>
      </c>
      <c r="I135" s="7" t="s">
        <v>308</v>
      </c>
      <c r="J135" s="7" t="s">
        <v>671</v>
      </c>
    </row>
    <row r="136" spans="1:10" x14ac:dyDescent="0.3">
      <c r="A136" s="6" t="s">
        <v>672</v>
      </c>
      <c r="B136" s="7" t="s">
        <v>127</v>
      </c>
      <c r="C136" s="7" t="s">
        <v>589</v>
      </c>
      <c r="D136" s="7" t="s">
        <v>10</v>
      </c>
      <c r="E136" s="7" t="s">
        <v>673</v>
      </c>
      <c r="F136" s="7" t="s">
        <v>674</v>
      </c>
      <c r="G136" s="7" t="s">
        <v>675</v>
      </c>
      <c r="H136" s="7">
        <v>9</v>
      </c>
      <c r="I136" s="7" t="s">
        <v>196</v>
      </c>
      <c r="J136" s="7" t="s">
        <v>676</v>
      </c>
    </row>
    <row r="137" spans="1:10" x14ac:dyDescent="0.3">
      <c r="A137" s="6" t="s">
        <v>677</v>
      </c>
      <c r="B137" s="7" t="s">
        <v>127</v>
      </c>
      <c r="C137" s="7" t="s">
        <v>589</v>
      </c>
      <c r="D137" s="7" t="s">
        <v>10</v>
      </c>
      <c r="E137" s="7" t="s">
        <v>673</v>
      </c>
      <c r="F137" s="7" t="s">
        <v>674</v>
      </c>
      <c r="G137" s="7" t="s">
        <v>678</v>
      </c>
      <c r="H137" s="7">
        <v>27</v>
      </c>
      <c r="I137" s="7" t="s">
        <v>196</v>
      </c>
      <c r="J137" s="7" t="s">
        <v>676</v>
      </c>
    </row>
    <row r="138" spans="1:10" x14ac:dyDescent="0.3">
      <c r="A138" s="6" t="s">
        <v>679</v>
      </c>
      <c r="B138" s="7" t="s">
        <v>127</v>
      </c>
      <c r="C138" s="7" t="s">
        <v>589</v>
      </c>
      <c r="D138" s="7" t="s">
        <v>10</v>
      </c>
      <c r="E138" s="7" t="s">
        <v>680</v>
      </c>
      <c r="F138" s="7" t="s">
        <v>681</v>
      </c>
      <c r="G138" s="7" t="s">
        <v>112</v>
      </c>
      <c r="H138" s="7">
        <v>0</v>
      </c>
      <c r="I138" s="7" t="s">
        <v>682</v>
      </c>
      <c r="J138" s="7" t="s">
        <v>683</v>
      </c>
    </row>
    <row r="139" spans="1:10" x14ac:dyDescent="0.3">
      <c r="A139" s="6" t="s">
        <v>656</v>
      </c>
      <c r="B139" s="7" t="s">
        <v>127</v>
      </c>
      <c r="C139" s="7" t="s">
        <v>589</v>
      </c>
      <c r="D139" s="7" t="s">
        <v>10</v>
      </c>
      <c r="E139" s="7" t="s">
        <v>657</v>
      </c>
      <c r="F139" s="7" t="s">
        <v>658</v>
      </c>
      <c r="G139" s="7" t="s">
        <v>659</v>
      </c>
      <c r="H139" s="7">
        <v>6</v>
      </c>
      <c r="I139" s="7" t="s">
        <v>660</v>
      </c>
      <c r="J139" s="7" t="s">
        <v>661</v>
      </c>
    </row>
    <row r="140" spans="1:10" x14ac:dyDescent="0.3">
      <c r="A140" s="6" t="s">
        <v>684</v>
      </c>
      <c r="B140" s="7" t="s">
        <v>127</v>
      </c>
      <c r="C140" s="7" t="s">
        <v>589</v>
      </c>
      <c r="D140" s="7" t="s">
        <v>10</v>
      </c>
      <c r="E140" s="7" t="s">
        <v>685</v>
      </c>
      <c r="F140" s="7" t="s">
        <v>686</v>
      </c>
      <c r="G140" s="7" t="s">
        <v>687</v>
      </c>
      <c r="H140" s="7">
        <v>48</v>
      </c>
      <c r="I140" s="7" t="s">
        <v>688</v>
      </c>
      <c r="J140" s="7" t="s">
        <v>683</v>
      </c>
    </row>
    <row r="141" spans="1:10" x14ac:dyDescent="0.3">
      <c r="A141" s="6" t="s">
        <v>689</v>
      </c>
      <c r="B141" s="7" t="s">
        <v>127</v>
      </c>
      <c r="C141" s="7" t="s">
        <v>589</v>
      </c>
      <c r="D141" s="7" t="s">
        <v>10</v>
      </c>
      <c r="E141" s="7" t="s">
        <v>690</v>
      </c>
      <c r="F141" s="7" t="s">
        <v>516</v>
      </c>
      <c r="G141" s="7" t="s">
        <v>691</v>
      </c>
      <c r="H141" s="7">
        <v>4</v>
      </c>
      <c r="I141" s="7" t="s">
        <v>324</v>
      </c>
      <c r="J141" s="7" t="s">
        <v>294</v>
      </c>
    </row>
    <row r="142" spans="1:10" x14ac:dyDescent="0.3">
      <c r="A142" s="6" t="s">
        <v>697</v>
      </c>
      <c r="B142" s="7" t="s">
        <v>127</v>
      </c>
      <c r="C142" s="7" t="s">
        <v>589</v>
      </c>
      <c r="D142" s="7" t="s">
        <v>10</v>
      </c>
      <c r="E142" s="7" t="s">
        <v>698</v>
      </c>
      <c r="F142" s="7" t="s">
        <v>699</v>
      </c>
      <c r="G142" s="7" t="s">
        <v>700</v>
      </c>
      <c r="H142" s="7">
        <v>103</v>
      </c>
      <c r="I142" s="7" t="s">
        <v>625</v>
      </c>
      <c r="J142" s="7" t="s">
        <v>701</v>
      </c>
    </row>
    <row r="143" spans="1:10" x14ac:dyDescent="0.3">
      <c r="A143" s="6" t="s">
        <v>1816</v>
      </c>
      <c r="B143" s="7" t="s">
        <v>127</v>
      </c>
      <c r="C143" s="7" t="s">
        <v>589</v>
      </c>
      <c r="D143" s="7" t="s">
        <v>10</v>
      </c>
      <c r="E143" s="7" t="s">
        <v>1817</v>
      </c>
      <c r="F143" s="7" t="s">
        <v>1818</v>
      </c>
      <c r="G143" s="7" t="s">
        <v>1819</v>
      </c>
      <c r="H143" s="7">
        <v>7</v>
      </c>
      <c r="I143" s="7" t="s">
        <v>1822</v>
      </c>
      <c r="J143" s="7" t="s">
        <v>1201</v>
      </c>
    </row>
    <row r="144" spans="1:10" x14ac:dyDescent="0.3">
      <c r="A144" s="6" t="s">
        <v>702</v>
      </c>
      <c r="B144" s="7" t="s">
        <v>127</v>
      </c>
      <c r="C144" s="7" t="s">
        <v>589</v>
      </c>
      <c r="D144" s="7" t="s">
        <v>10</v>
      </c>
      <c r="E144" s="7" t="s">
        <v>703</v>
      </c>
      <c r="F144" s="7" t="s">
        <v>704</v>
      </c>
      <c r="G144" s="7" t="s">
        <v>705</v>
      </c>
      <c r="H144" s="7">
        <v>6</v>
      </c>
      <c r="I144" s="7" t="s">
        <v>99</v>
      </c>
      <c r="J144" s="7" t="s">
        <v>593</v>
      </c>
    </row>
    <row r="145" spans="1:10" x14ac:dyDescent="0.3">
      <c r="A145" s="6" t="s">
        <v>708</v>
      </c>
      <c r="B145" s="7" t="s">
        <v>127</v>
      </c>
      <c r="C145" s="7" t="s">
        <v>589</v>
      </c>
      <c r="D145" s="7" t="s">
        <v>10</v>
      </c>
      <c r="E145" s="7" t="s">
        <v>709</v>
      </c>
      <c r="F145" s="7" t="s">
        <v>710</v>
      </c>
      <c r="G145" s="7" t="s">
        <v>711</v>
      </c>
      <c r="H145" s="7">
        <v>0</v>
      </c>
      <c r="I145" s="7" t="s">
        <v>604</v>
      </c>
      <c r="J145" s="7" t="s">
        <v>143</v>
      </c>
    </row>
    <row r="146" spans="1:10" x14ac:dyDescent="0.3">
      <c r="A146" s="6" t="s">
        <v>712</v>
      </c>
      <c r="B146" s="7" t="s">
        <v>127</v>
      </c>
      <c r="C146" s="7" t="s">
        <v>589</v>
      </c>
      <c r="D146" s="7" t="s">
        <v>10</v>
      </c>
      <c r="E146" s="7" t="s">
        <v>713</v>
      </c>
      <c r="F146" s="7" t="s">
        <v>714</v>
      </c>
      <c r="G146" s="7" t="s">
        <v>715</v>
      </c>
      <c r="H146" s="7">
        <v>0</v>
      </c>
      <c r="I146" s="7" t="s">
        <v>417</v>
      </c>
      <c r="J146" s="7" t="s">
        <v>612</v>
      </c>
    </row>
    <row r="147" spans="1:10" x14ac:dyDescent="0.3">
      <c r="A147" s="6" t="s">
        <v>716</v>
      </c>
      <c r="B147" s="7" t="s">
        <v>127</v>
      </c>
      <c r="C147" s="7" t="s">
        <v>589</v>
      </c>
      <c r="D147" s="7" t="s">
        <v>10</v>
      </c>
      <c r="E147" s="7" t="s">
        <v>717</v>
      </c>
      <c r="F147" s="7" t="s">
        <v>718</v>
      </c>
      <c r="G147" s="7" t="s">
        <v>719</v>
      </c>
      <c r="H147" s="7">
        <v>13</v>
      </c>
      <c r="I147" s="7" t="s">
        <v>720</v>
      </c>
      <c r="J147" s="7" t="s">
        <v>199</v>
      </c>
    </row>
    <row r="148" spans="1:10" x14ac:dyDescent="0.3">
      <c r="A148" s="6" t="s">
        <v>692</v>
      </c>
      <c r="B148" s="7" t="s">
        <v>127</v>
      </c>
      <c r="C148" s="7" t="s">
        <v>589</v>
      </c>
      <c r="D148" s="7" t="s">
        <v>10</v>
      </c>
      <c r="E148" s="7" t="s">
        <v>693</v>
      </c>
      <c r="F148" s="7" t="s">
        <v>694</v>
      </c>
      <c r="G148" s="7" t="s">
        <v>695</v>
      </c>
      <c r="H148" s="7">
        <v>11</v>
      </c>
      <c r="I148" s="7" t="s">
        <v>568</v>
      </c>
      <c r="J148" s="7" t="s">
        <v>696</v>
      </c>
    </row>
    <row r="149" spans="1:10" x14ac:dyDescent="0.3">
      <c r="A149" s="6" t="s">
        <v>641</v>
      </c>
      <c r="B149" s="7" t="s">
        <v>127</v>
      </c>
      <c r="C149" s="7" t="s">
        <v>589</v>
      </c>
      <c r="D149" s="7" t="s">
        <v>10</v>
      </c>
      <c r="E149" s="7" t="s">
        <v>642</v>
      </c>
      <c r="F149" s="7" t="s">
        <v>643</v>
      </c>
      <c r="G149" s="7" t="s">
        <v>644</v>
      </c>
      <c r="H149" s="7">
        <v>41</v>
      </c>
      <c r="I149" s="7" t="s">
        <v>645</v>
      </c>
      <c r="J149" s="7" t="s">
        <v>646</v>
      </c>
    </row>
    <row r="150" spans="1:10" x14ac:dyDescent="0.3">
      <c r="A150" s="6" t="s">
        <v>706</v>
      </c>
      <c r="B150" s="7" t="s">
        <v>127</v>
      </c>
      <c r="C150" s="7" t="s">
        <v>589</v>
      </c>
      <c r="D150" s="7" t="s">
        <v>10</v>
      </c>
      <c r="E150" s="7" t="s">
        <v>703</v>
      </c>
      <c r="F150" s="7" t="s">
        <v>704</v>
      </c>
      <c r="G150" s="7" t="s">
        <v>707</v>
      </c>
      <c r="H150" s="7">
        <v>9</v>
      </c>
      <c r="I150" s="7" t="s">
        <v>324</v>
      </c>
      <c r="J150" s="7" t="s">
        <v>294</v>
      </c>
    </row>
    <row r="151" spans="1:10" x14ac:dyDescent="0.3">
      <c r="A151" s="6" t="s">
        <v>610</v>
      </c>
      <c r="B151" s="7" t="s">
        <v>127</v>
      </c>
      <c r="C151" s="7" t="s">
        <v>589</v>
      </c>
      <c r="D151" s="7" t="s">
        <v>10</v>
      </c>
      <c r="E151" s="7" t="s">
        <v>163</v>
      </c>
      <c r="F151" s="7" t="s">
        <v>607</v>
      </c>
      <c r="G151" s="7" t="s">
        <v>611</v>
      </c>
      <c r="H151" s="7">
        <v>36</v>
      </c>
      <c r="I151" s="7" t="s">
        <v>394</v>
      </c>
      <c r="J151" s="7" t="s">
        <v>612</v>
      </c>
    </row>
    <row r="152" spans="1:10" x14ac:dyDescent="0.3">
      <c r="A152" s="6" t="s">
        <v>600</v>
      </c>
      <c r="B152" s="7" t="s">
        <v>127</v>
      </c>
      <c r="C152" s="7" t="s">
        <v>589</v>
      </c>
      <c r="D152" s="7" t="s">
        <v>10</v>
      </c>
      <c r="E152" s="7" t="s">
        <v>601</v>
      </c>
      <c r="F152" s="7" t="s">
        <v>602</v>
      </c>
      <c r="G152" s="7" t="s">
        <v>603</v>
      </c>
      <c r="H152" s="7">
        <v>4</v>
      </c>
      <c r="I152" s="7" t="s">
        <v>604</v>
      </c>
      <c r="J152" s="7" t="s">
        <v>605</v>
      </c>
    </row>
    <row r="153" spans="1:10" x14ac:dyDescent="0.3">
      <c r="A153" s="6" t="s">
        <v>588</v>
      </c>
      <c r="B153" s="7" t="s">
        <v>127</v>
      </c>
      <c r="C153" s="7" t="s">
        <v>589</v>
      </c>
      <c r="D153" s="7" t="s">
        <v>10</v>
      </c>
      <c r="E153" s="7" t="s">
        <v>590</v>
      </c>
      <c r="F153" s="7" t="s">
        <v>591</v>
      </c>
      <c r="G153" s="7" t="s">
        <v>592</v>
      </c>
      <c r="H153" s="7">
        <v>5</v>
      </c>
      <c r="I153" s="7" t="s">
        <v>99</v>
      </c>
      <c r="J153" s="7" t="s">
        <v>593</v>
      </c>
    </row>
    <row r="154" spans="1:10" x14ac:dyDescent="0.3">
      <c r="A154" s="6" t="s">
        <v>606</v>
      </c>
      <c r="B154" s="7" t="s">
        <v>127</v>
      </c>
      <c r="C154" s="7" t="s">
        <v>589</v>
      </c>
      <c r="D154" s="7" t="s">
        <v>10</v>
      </c>
      <c r="E154" s="7" t="s">
        <v>163</v>
      </c>
      <c r="F154" s="7" t="s">
        <v>607</v>
      </c>
      <c r="G154" s="7" t="s">
        <v>608</v>
      </c>
      <c r="H154" s="7">
        <v>14</v>
      </c>
      <c r="I154" s="7" t="s">
        <v>339</v>
      </c>
      <c r="J154" s="7" t="s">
        <v>609</v>
      </c>
    </row>
    <row r="155" spans="1:10" x14ac:dyDescent="0.3">
      <c r="A155" s="6" t="s">
        <v>1770</v>
      </c>
      <c r="B155" s="7" t="s">
        <v>127</v>
      </c>
      <c r="C155" s="7" t="s">
        <v>589</v>
      </c>
      <c r="D155" s="7" t="s">
        <v>10</v>
      </c>
      <c r="E155" s="7" t="s">
        <v>1771</v>
      </c>
      <c r="F155" s="7" t="s">
        <v>1772</v>
      </c>
      <c r="G155" s="7" t="s">
        <v>1773</v>
      </c>
      <c r="H155" s="7">
        <v>13</v>
      </c>
      <c r="I155" s="7" t="s">
        <v>403</v>
      </c>
      <c r="J155" s="7"/>
    </row>
    <row r="156" spans="1:10" x14ac:dyDescent="0.3">
      <c r="A156" s="6" t="s">
        <v>613</v>
      </c>
      <c r="B156" s="7" t="s">
        <v>127</v>
      </c>
      <c r="C156" s="7" t="s">
        <v>589</v>
      </c>
      <c r="D156" s="7" t="s">
        <v>10</v>
      </c>
      <c r="E156" s="7" t="s">
        <v>614</v>
      </c>
      <c r="F156" s="7" t="s">
        <v>615</v>
      </c>
      <c r="G156" s="7" t="s">
        <v>616</v>
      </c>
      <c r="H156" s="7">
        <v>13</v>
      </c>
      <c r="I156" s="7" t="s">
        <v>546</v>
      </c>
      <c r="J156" s="7" t="s">
        <v>404</v>
      </c>
    </row>
    <row r="157" spans="1:10" x14ac:dyDescent="0.3">
      <c r="A157" s="6" t="s">
        <v>1777</v>
      </c>
      <c r="B157" s="7" t="s">
        <v>127</v>
      </c>
      <c r="C157" s="7" t="s">
        <v>589</v>
      </c>
      <c r="D157" s="7" t="s">
        <v>10</v>
      </c>
      <c r="E157" s="7" t="s">
        <v>1778</v>
      </c>
      <c r="F157" s="7" t="s">
        <v>1467</v>
      </c>
      <c r="G157" s="7" t="s">
        <v>1779</v>
      </c>
      <c r="H157" s="7">
        <v>9</v>
      </c>
      <c r="I157" s="7" t="s">
        <v>82</v>
      </c>
      <c r="J157" s="7" t="s">
        <v>1783</v>
      </c>
    </row>
    <row r="158" spans="1:10" x14ac:dyDescent="0.3">
      <c r="A158" s="6" t="s">
        <v>623</v>
      </c>
      <c r="B158" s="7" t="s">
        <v>127</v>
      </c>
      <c r="C158" s="7" t="s">
        <v>589</v>
      </c>
      <c r="D158" s="7" t="s">
        <v>10</v>
      </c>
      <c r="E158" s="7" t="s">
        <v>618</v>
      </c>
      <c r="F158" s="7" t="s">
        <v>619</v>
      </c>
      <c r="G158" s="7" t="s">
        <v>624</v>
      </c>
      <c r="H158" s="7">
        <v>46</v>
      </c>
      <c r="I158" s="7" t="s">
        <v>625</v>
      </c>
      <c r="J158" s="7" t="s">
        <v>622</v>
      </c>
    </row>
    <row r="159" spans="1:10" x14ac:dyDescent="0.3">
      <c r="A159" s="6" t="s">
        <v>1784</v>
      </c>
      <c r="B159" s="7" t="s">
        <v>127</v>
      </c>
      <c r="C159" s="7" t="s">
        <v>589</v>
      </c>
      <c r="D159" s="7" t="s">
        <v>10</v>
      </c>
      <c r="E159" s="7" t="s">
        <v>614</v>
      </c>
      <c r="F159" s="7" t="s">
        <v>615</v>
      </c>
      <c r="G159" s="7" t="s">
        <v>1785</v>
      </c>
      <c r="H159" s="7">
        <v>11</v>
      </c>
      <c r="I159" s="7" t="s">
        <v>513</v>
      </c>
      <c r="J159" s="7" t="s">
        <v>1783</v>
      </c>
    </row>
    <row r="160" spans="1:10" x14ac:dyDescent="0.3">
      <c r="A160" s="6" t="s">
        <v>1787</v>
      </c>
      <c r="B160" s="7" t="s">
        <v>127</v>
      </c>
      <c r="C160" s="7" t="s">
        <v>589</v>
      </c>
      <c r="D160" s="7" t="s">
        <v>10</v>
      </c>
      <c r="E160" s="7" t="s">
        <v>1788</v>
      </c>
      <c r="F160" s="7" t="s">
        <v>1789</v>
      </c>
      <c r="G160" s="7" t="s">
        <v>1790</v>
      </c>
      <c r="H160" s="7">
        <v>1</v>
      </c>
      <c r="I160" s="7" t="s">
        <v>111</v>
      </c>
      <c r="J160" s="7" t="s">
        <v>189</v>
      </c>
    </row>
    <row r="161" spans="1:10" x14ac:dyDescent="0.3">
      <c r="A161" s="6" t="s">
        <v>626</v>
      </c>
      <c r="B161" s="7" t="s">
        <v>127</v>
      </c>
      <c r="C161" s="7" t="s">
        <v>589</v>
      </c>
      <c r="D161" s="7" t="s">
        <v>10</v>
      </c>
      <c r="E161" s="7" t="s">
        <v>627</v>
      </c>
      <c r="F161" s="7" t="s">
        <v>628</v>
      </c>
      <c r="G161" s="7" t="s">
        <v>629</v>
      </c>
      <c r="H161" s="7">
        <v>10</v>
      </c>
      <c r="I161" s="7" t="s">
        <v>630</v>
      </c>
      <c r="J161" s="7" t="s">
        <v>404</v>
      </c>
    </row>
    <row r="162" spans="1:10" x14ac:dyDescent="0.3">
      <c r="A162" s="6" t="s">
        <v>1793</v>
      </c>
      <c r="B162" s="7" t="s">
        <v>127</v>
      </c>
      <c r="C162" s="7" t="s">
        <v>589</v>
      </c>
      <c r="D162" s="7" t="s">
        <v>10</v>
      </c>
      <c r="E162" s="7" t="s">
        <v>627</v>
      </c>
      <c r="F162" s="7" t="s">
        <v>628</v>
      </c>
      <c r="G162" s="7" t="s">
        <v>1794</v>
      </c>
      <c r="H162" s="7">
        <v>9</v>
      </c>
      <c r="I162" s="7" t="s">
        <v>1062</v>
      </c>
      <c r="J162" s="7" t="s">
        <v>404</v>
      </c>
    </row>
    <row r="163" spans="1:10" x14ac:dyDescent="0.3">
      <c r="A163" s="6" t="s">
        <v>631</v>
      </c>
      <c r="B163" s="7" t="s">
        <v>127</v>
      </c>
      <c r="C163" s="7" t="s">
        <v>589</v>
      </c>
      <c r="D163" s="7" t="s">
        <v>10</v>
      </c>
      <c r="E163" s="7" t="s">
        <v>632</v>
      </c>
      <c r="F163" s="7" t="s">
        <v>633</v>
      </c>
      <c r="G163" s="7" t="s">
        <v>634</v>
      </c>
      <c r="H163" s="7">
        <v>6</v>
      </c>
      <c r="I163" s="7" t="s">
        <v>160</v>
      </c>
      <c r="J163" s="7" t="s">
        <v>635</v>
      </c>
    </row>
    <row r="164" spans="1:10" x14ac:dyDescent="0.3">
      <c r="A164" s="6" t="s">
        <v>636</v>
      </c>
      <c r="B164" s="7" t="s">
        <v>127</v>
      </c>
      <c r="C164" s="7" t="s">
        <v>589</v>
      </c>
      <c r="D164" s="7" t="s">
        <v>10</v>
      </c>
      <c r="E164" s="7" t="s">
        <v>637</v>
      </c>
      <c r="F164" s="7" t="s">
        <v>638</v>
      </c>
      <c r="G164" s="7" t="s">
        <v>639</v>
      </c>
      <c r="H164" s="7">
        <v>0</v>
      </c>
      <c r="I164" s="7" t="s">
        <v>568</v>
      </c>
      <c r="J164" s="7" t="s">
        <v>640</v>
      </c>
    </row>
    <row r="165" spans="1:10" x14ac:dyDescent="0.3">
      <c r="A165" s="6" t="s">
        <v>654</v>
      </c>
      <c r="B165" s="7" t="s">
        <v>127</v>
      </c>
      <c r="C165" s="7" t="s">
        <v>589</v>
      </c>
      <c r="D165" s="7" t="s">
        <v>10</v>
      </c>
      <c r="E165" s="7" t="s">
        <v>651</v>
      </c>
      <c r="F165" s="7" t="s">
        <v>652</v>
      </c>
      <c r="G165" s="7" t="s">
        <v>655</v>
      </c>
      <c r="H165" s="7">
        <v>0</v>
      </c>
      <c r="I165" s="7" t="s">
        <v>255</v>
      </c>
      <c r="J165" s="7" t="s">
        <v>612</v>
      </c>
    </row>
    <row r="166" spans="1:10" x14ac:dyDescent="0.3">
      <c r="A166" s="6" t="s">
        <v>650</v>
      </c>
      <c r="B166" s="7" t="s">
        <v>127</v>
      </c>
      <c r="C166" s="7" t="s">
        <v>589</v>
      </c>
      <c r="D166" s="7" t="s">
        <v>10</v>
      </c>
      <c r="E166" s="7" t="s">
        <v>651</v>
      </c>
      <c r="F166" s="7" t="s">
        <v>652</v>
      </c>
      <c r="G166" s="7" t="s">
        <v>653</v>
      </c>
      <c r="H166" s="7">
        <v>0</v>
      </c>
      <c r="I166" s="7" t="s">
        <v>270</v>
      </c>
      <c r="J166" s="7" t="s">
        <v>189</v>
      </c>
    </row>
    <row r="167" spans="1:10" x14ac:dyDescent="0.3">
      <c r="A167" s="6" t="s">
        <v>617</v>
      </c>
      <c r="B167" s="7" t="s">
        <v>127</v>
      </c>
      <c r="C167" s="7" t="s">
        <v>589</v>
      </c>
      <c r="D167" s="7" t="s">
        <v>10</v>
      </c>
      <c r="E167" s="7" t="s">
        <v>618</v>
      </c>
      <c r="F167" s="7" t="s">
        <v>619</v>
      </c>
      <c r="G167" s="7" t="s">
        <v>620</v>
      </c>
      <c r="H167" s="7">
        <v>14</v>
      </c>
      <c r="I167" s="7" t="s">
        <v>621</v>
      </c>
      <c r="J167" s="7" t="s">
        <v>622</v>
      </c>
    </row>
    <row r="168" spans="1:10" x14ac:dyDescent="0.3">
      <c r="A168" s="6" t="s">
        <v>1797</v>
      </c>
      <c r="B168" s="7" t="s">
        <v>127</v>
      </c>
      <c r="C168" s="7" t="s">
        <v>589</v>
      </c>
      <c r="D168" s="7" t="s">
        <v>10</v>
      </c>
      <c r="E168" s="7" t="s">
        <v>651</v>
      </c>
      <c r="F168" s="7" t="s">
        <v>652</v>
      </c>
      <c r="G168" s="7" t="s">
        <v>1798</v>
      </c>
      <c r="H168" s="7">
        <v>4</v>
      </c>
      <c r="I168" s="7" t="s">
        <v>318</v>
      </c>
      <c r="J168" s="7" t="s">
        <v>1801</v>
      </c>
    </row>
    <row r="169" spans="1:10" ht="15" x14ac:dyDescent="0.3">
      <c r="A169" s="10"/>
      <c r="B169" s="11"/>
      <c r="C169" s="11"/>
      <c r="D169" s="11" t="s">
        <v>2538</v>
      </c>
      <c r="E169" s="11" t="s">
        <v>2534</v>
      </c>
      <c r="F169" s="11"/>
      <c r="G169" s="11" t="s">
        <v>2539</v>
      </c>
      <c r="H169" s="11">
        <v>556</v>
      </c>
      <c r="I169" s="11"/>
      <c r="J169" s="11"/>
    </row>
    <row r="170" spans="1:10" x14ac:dyDescent="0.3">
      <c r="A170" s="6" t="s">
        <v>721</v>
      </c>
      <c r="B170" s="7" t="s">
        <v>127</v>
      </c>
      <c r="C170" s="7" t="s">
        <v>589</v>
      </c>
      <c r="D170" s="7" t="s">
        <v>11</v>
      </c>
      <c r="E170" s="7" t="s">
        <v>722</v>
      </c>
      <c r="F170" s="7" t="s">
        <v>723</v>
      </c>
      <c r="G170" s="7" t="s">
        <v>724</v>
      </c>
      <c r="H170" s="7"/>
      <c r="I170" s="7" t="s">
        <v>87</v>
      </c>
      <c r="J170" s="7" t="s">
        <v>725</v>
      </c>
    </row>
    <row r="171" spans="1:10" ht="15" x14ac:dyDescent="0.3">
      <c r="A171" s="10"/>
      <c r="B171" s="11"/>
      <c r="C171" s="11"/>
      <c r="D171" s="11" t="s">
        <v>2540</v>
      </c>
      <c r="E171" s="11" t="s">
        <v>2534</v>
      </c>
      <c r="F171" s="11"/>
      <c r="G171" s="11" t="s">
        <v>2535</v>
      </c>
      <c r="H171" s="11">
        <v>0</v>
      </c>
      <c r="I171" s="11"/>
      <c r="J171" s="11"/>
    </row>
    <row r="172" spans="1:10" x14ac:dyDescent="0.3">
      <c r="A172" s="6" t="s">
        <v>865</v>
      </c>
      <c r="B172" s="7" t="s">
        <v>127</v>
      </c>
      <c r="C172" s="7" t="s">
        <v>727</v>
      </c>
      <c r="D172" s="7" t="s">
        <v>12</v>
      </c>
      <c r="E172" s="7" t="s">
        <v>866</v>
      </c>
      <c r="F172" s="7" t="s">
        <v>867</v>
      </c>
      <c r="G172" s="7" t="s">
        <v>868</v>
      </c>
      <c r="H172" s="7">
        <v>7</v>
      </c>
      <c r="I172" s="7" t="s">
        <v>621</v>
      </c>
      <c r="J172" s="7" t="s">
        <v>869</v>
      </c>
    </row>
    <row r="173" spans="1:10" x14ac:dyDescent="0.3">
      <c r="A173" s="6" t="s">
        <v>890</v>
      </c>
      <c r="B173" s="7" t="s">
        <v>127</v>
      </c>
      <c r="C173" s="7" t="s">
        <v>727</v>
      </c>
      <c r="D173" s="7" t="s">
        <v>12</v>
      </c>
      <c r="E173" s="7" t="s">
        <v>891</v>
      </c>
      <c r="F173" s="7" t="s">
        <v>401</v>
      </c>
      <c r="G173" s="7" t="s">
        <v>892</v>
      </c>
      <c r="H173" s="7">
        <v>35</v>
      </c>
      <c r="I173" s="7" t="s">
        <v>893</v>
      </c>
      <c r="J173" s="7" t="s">
        <v>894</v>
      </c>
    </row>
    <row r="174" spans="1:10" x14ac:dyDescent="0.3">
      <c r="A174" s="6" t="s">
        <v>881</v>
      </c>
      <c r="B174" s="7" t="s">
        <v>127</v>
      </c>
      <c r="C174" s="7" t="s">
        <v>727</v>
      </c>
      <c r="D174" s="7" t="s">
        <v>12</v>
      </c>
      <c r="E174" s="7" t="s">
        <v>882</v>
      </c>
      <c r="F174" s="7" t="s">
        <v>883</v>
      </c>
      <c r="G174" s="7" t="s">
        <v>884</v>
      </c>
      <c r="H174" s="7">
        <v>7</v>
      </c>
      <c r="I174" s="7" t="s">
        <v>513</v>
      </c>
      <c r="J174" s="7" t="s">
        <v>885</v>
      </c>
    </row>
    <row r="175" spans="1:10" x14ac:dyDescent="0.3">
      <c r="A175" s="6" t="s">
        <v>886</v>
      </c>
      <c r="B175" s="7" t="s">
        <v>127</v>
      </c>
      <c r="C175" s="7" t="s">
        <v>727</v>
      </c>
      <c r="D175" s="7" t="s">
        <v>12</v>
      </c>
      <c r="E175" s="7" t="s">
        <v>887</v>
      </c>
      <c r="F175" s="7" t="s">
        <v>888</v>
      </c>
      <c r="G175" s="7" t="s">
        <v>889</v>
      </c>
      <c r="H175" s="7">
        <v>10</v>
      </c>
      <c r="I175" s="7" t="s">
        <v>165</v>
      </c>
      <c r="J175" s="7" t="s">
        <v>143</v>
      </c>
    </row>
    <row r="176" spans="1:10" x14ac:dyDescent="0.3">
      <c r="A176" s="6" t="s">
        <v>875</v>
      </c>
      <c r="B176" s="7" t="s">
        <v>127</v>
      </c>
      <c r="C176" s="7" t="s">
        <v>727</v>
      </c>
      <c r="D176" s="7" t="s">
        <v>12</v>
      </c>
      <c r="E176" s="7" t="s">
        <v>876</v>
      </c>
      <c r="F176" s="7" t="s">
        <v>877</v>
      </c>
      <c r="G176" s="7" t="s">
        <v>878</v>
      </c>
      <c r="H176" s="7">
        <v>2</v>
      </c>
      <c r="I176" s="7" t="s">
        <v>879</v>
      </c>
      <c r="J176" s="7" t="s">
        <v>880</v>
      </c>
    </row>
    <row r="177" spans="1:10" x14ac:dyDescent="0.3">
      <c r="A177" s="6" t="s">
        <v>870</v>
      </c>
      <c r="B177" s="7" t="s">
        <v>127</v>
      </c>
      <c r="C177" s="7" t="s">
        <v>727</v>
      </c>
      <c r="D177" s="7" t="s">
        <v>12</v>
      </c>
      <c r="E177" s="7" t="s">
        <v>871</v>
      </c>
      <c r="F177" s="7" t="s">
        <v>872</v>
      </c>
      <c r="G177" s="7" t="s">
        <v>873</v>
      </c>
      <c r="H177" s="7">
        <v>3</v>
      </c>
      <c r="I177" s="7" t="s">
        <v>874</v>
      </c>
      <c r="J177" s="7" t="s">
        <v>304</v>
      </c>
    </row>
    <row r="178" spans="1:10" x14ac:dyDescent="0.3">
      <c r="A178" s="6" t="s">
        <v>1858</v>
      </c>
      <c r="B178" s="7" t="s">
        <v>127</v>
      </c>
      <c r="C178" s="7" t="s">
        <v>727</v>
      </c>
      <c r="D178" s="7" t="s">
        <v>12</v>
      </c>
      <c r="E178" s="7" t="s">
        <v>957</v>
      </c>
      <c r="F178" s="7" t="s">
        <v>958</v>
      </c>
      <c r="G178" s="7" t="s">
        <v>1859</v>
      </c>
      <c r="H178" s="7">
        <v>3</v>
      </c>
      <c r="I178" s="7" t="s">
        <v>562</v>
      </c>
      <c r="J178" s="7" t="s">
        <v>155</v>
      </c>
    </row>
    <row r="179" spans="1:10" x14ac:dyDescent="0.3">
      <c r="A179" s="6" t="s">
        <v>852</v>
      </c>
      <c r="B179" s="7" t="s">
        <v>127</v>
      </c>
      <c r="C179" s="7" t="s">
        <v>727</v>
      </c>
      <c r="D179" s="7" t="s">
        <v>12</v>
      </c>
      <c r="E179" s="7" t="s">
        <v>853</v>
      </c>
      <c r="F179" s="7" t="s">
        <v>854</v>
      </c>
      <c r="G179" s="7" t="s">
        <v>855</v>
      </c>
      <c r="H179" s="7">
        <v>7</v>
      </c>
      <c r="I179" s="7" t="s">
        <v>343</v>
      </c>
      <c r="J179" s="7" t="s">
        <v>856</v>
      </c>
    </row>
    <row r="180" spans="1:10" x14ac:dyDescent="0.3">
      <c r="A180" s="6" t="s">
        <v>857</v>
      </c>
      <c r="B180" s="7" t="s">
        <v>127</v>
      </c>
      <c r="C180" s="7" t="s">
        <v>727</v>
      </c>
      <c r="D180" s="7" t="s">
        <v>12</v>
      </c>
      <c r="E180" s="7" t="s">
        <v>853</v>
      </c>
      <c r="F180" s="7" t="s">
        <v>854</v>
      </c>
      <c r="G180" s="7" t="s">
        <v>858</v>
      </c>
      <c r="H180" s="7">
        <v>7</v>
      </c>
      <c r="I180" s="7" t="s">
        <v>859</v>
      </c>
      <c r="J180" s="7" t="s">
        <v>199</v>
      </c>
    </row>
    <row r="181" spans="1:10" x14ac:dyDescent="0.3">
      <c r="A181" s="6" t="s">
        <v>850</v>
      </c>
      <c r="B181" s="7" t="s">
        <v>127</v>
      </c>
      <c r="C181" s="7" t="s">
        <v>727</v>
      </c>
      <c r="D181" s="7" t="s">
        <v>12</v>
      </c>
      <c r="E181" s="7" t="s">
        <v>847</v>
      </c>
      <c r="F181" s="7" t="s">
        <v>848</v>
      </c>
      <c r="G181" s="7" t="s">
        <v>851</v>
      </c>
      <c r="H181" s="7">
        <v>5</v>
      </c>
      <c r="I181" s="7" t="s">
        <v>407</v>
      </c>
      <c r="J181" s="7" t="s">
        <v>806</v>
      </c>
    </row>
    <row r="182" spans="1:10" x14ac:dyDescent="0.3">
      <c r="A182" s="6" t="s">
        <v>902</v>
      </c>
      <c r="B182" s="7" t="s">
        <v>127</v>
      </c>
      <c r="C182" s="7" t="s">
        <v>727</v>
      </c>
      <c r="D182" s="7" t="s">
        <v>12</v>
      </c>
      <c r="E182" s="7" t="s">
        <v>896</v>
      </c>
      <c r="F182" s="7" t="s">
        <v>897</v>
      </c>
      <c r="G182" s="7" t="s">
        <v>903</v>
      </c>
      <c r="H182" s="7">
        <v>11</v>
      </c>
      <c r="I182" s="7" t="s">
        <v>904</v>
      </c>
      <c r="J182" s="7" t="s">
        <v>166</v>
      </c>
    </row>
    <row r="183" spans="1:10" x14ac:dyDescent="0.3">
      <c r="A183" s="6" t="s">
        <v>846</v>
      </c>
      <c r="B183" s="7" t="s">
        <v>127</v>
      </c>
      <c r="C183" s="7" t="s">
        <v>727</v>
      </c>
      <c r="D183" s="7" t="s">
        <v>12</v>
      </c>
      <c r="E183" s="7" t="s">
        <v>847</v>
      </c>
      <c r="F183" s="7" t="s">
        <v>848</v>
      </c>
      <c r="G183" s="7" t="s">
        <v>849</v>
      </c>
      <c r="H183" s="7">
        <v>6</v>
      </c>
      <c r="I183" s="7" t="s">
        <v>407</v>
      </c>
      <c r="J183" s="7" t="s">
        <v>806</v>
      </c>
    </row>
    <row r="184" spans="1:10" x14ac:dyDescent="0.3">
      <c r="A184" s="6" t="s">
        <v>860</v>
      </c>
      <c r="B184" s="7" t="s">
        <v>127</v>
      </c>
      <c r="C184" s="7" t="s">
        <v>727</v>
      </c>
      <c r="D184" s="7" t="s">
        <v>12</v>
      </c>
      <c r="E184" s="7" t="s">
        <v>861</v>
      </c>
      <c r="F184" s="7" t="s">
        <v>862</v>
      </c>
      <c r="G184" s="7" t="s">
        <v>863</v>
      </c>
      <c r="H184" s="7">
        <v>6</v>
      </c>
      <c r="I184" s="7" t="s">
        <v>864</v>
      </c>
      <c r="J184" s="7" t="s">
        <v>793</v>
      </c>
    </row>
    <row r="185" spans="1:10" x14ac:dyDescent="0.3">
      <c r="A185" s="6" t="s">
        <v>899</v>
      </c>
      <c r="B185" s="7" t="s">
        <v>127</v>
      </c>
      <c r="C185" s="7" t="s">
        <v>727</v>
      </c>
      <c r="D185" s="7" t="s">
        <v>12</v>
      </c>
      <c r="E185" s="7" t="s">
        <v>896</v>
      </c>
      <c r="F185" s="7" t="s">
        <v>897</v>
      </c>
      <c r="G185" s="7" t="s">
        <v>900</v>
      </c>
      <c r="H185" s="7">
        <v>1</v>
      </c>
      <c r="I185" s="7" t="s">
        <v>308</v>
      </c>
      <c r="J185" s="7" t="s">
        <v>901</v>
      </c>
    </row>
    <row r="186" spans="1:10" x14ac:dyDescent="0.3">
      <c r="A186" s="6" t="s">
        <v>935</v>
      </c>
      <c r="B186" s="7" t="s">
        <v>127</v>
      </c>
      <c r="C186" s="7" t="s">
        <v>727</v>
      </c>
      <c r="D186" s="7" t="s">
        <v>12</v>
      </c>
      <c r="E186" s="7" t="s">
        <v>936</v>
      </c>
      <c r="F186" s="7" t="s">
        <v>937</v>
      </c>
      <c r="G186" s="7" t="s">
        <v>938</v>
      </c>
      <c r="H186" s="7">
        <v>2</v>
      </c>
      <c r="I186" s="7" t="s">
        <v>939</v>
      </c>
      <c r="J186" s="7" t="s">
        <v>940</v>
      </c>
    </row>
    <row r="187" spans="1:10" x14ac:dyDescent="0.3">
      <c r="A187" s="6" t="s">
        <v>905</v>
      </c>
      <c r="B187" s="7" t="s">
        <v>127</v>
      </c>
      <c r="C187" s="7" t="s">
        <v>727</v>
      </c>
      <c r="D187" s="7" t="s">
        <v>12</v>
      </c>
      <c r="E187" s="7" t="s">
        <v>906</v>
      </c>
      <c r="F187" s="7" t="s">
        <v>907</v>
      </c>
      <c r="G187" s="7" t="s">
        <v>908</v>
      </c>
      <c r="H187" s="7">
        <v>7</v>
      </c>
      <c r="I187" s="7" t="s">
        <v>909</v>
      </c>
      <c r="J187" s="7" t="s">
        <v>910</v>
      </c>
    </row>
    <row r="188" spans="1:10" x14ac:dyDescent="0.3">
      <c r="A188" s="6" t="s">
        <v>911</v>
      </c>
      <c r="B188" s="7" t="s">
        <v>127</v>
      </c>
      <c r="C188" s="7" t="s">
        <v>727</v>
      </c>
      <c r="D188" s="7" t="s">
        <v>12</v>
      </c>
      <c r="E188" s="7" t="s">
        <v>912</v>
      </c>
      <c r="F188" s="7" t="s">
        <v>430</v>
      </c>
      <c r="G188" s="7" t="s">
        <v>101</v>
      </c>
      <c r="H188" s="7">
        <v>95</v>
      </c>
      <c r="I188" s="7" t="s">
        <v>74</v>
      </c>
      <c r="J188" s="7" t="s">
        <v>348</v>
      </c>
    </row>
    <row r="189" spans="1:10" x14ac:dyDescent="0.3">
      <c r="A189" s="6" t="s">
        <v>913</v>
      </c>
      <c r="B189" s="7" t="s">
        <v>127</v>
      </c>
      <c r="C189" s="7" t="s">
        <v>727</v>
      </c>
      <c r="D189" s="7" t="s">
        <v>12</v>
      </c>
      <c r="E189" s="7" t="s">
        <v>914</v>
      </c>
      <c r="F189" s="7" t="s">
        <v>433</v>
      </c>
      <c r="G189" s="7" t="s">
        <v>101</v>
      </c>
      <c r="H189" s="7">
        <v>18</v>
      </c>
      <c r="I189" s="7" t="s">
        <v>74</v>
      </c>
      <c r="J189" s="7" t="s">
        <v>348</v>
      </c>
    </row>
    <row r="190" spans="1:10" x14ac:dyDescent="0.3">
      <c r="A190" s="6" t="s">
        <v>915</v>
      </c>
      <c r="B190" s="7" t="s">
        <v>127</v>
      </c>
      <c r="C190" s="7" t="s">
        <v>727</v>
      </c>
      <c r="D190" s="7" t="s">
        <v>12</v>
      </c>
      <c r="E190" s="7" t="s">
        <v>916</v>
      </c>
      <c r="F190" s="7" t="s">
        <v>917</v>
      </c>
      <c r="G190" s="7" t="s">
        <v>918</v>
      </c>
      <c r="H190" s="7">
        <v>5</v>
      </c>
      <c r="I190" s="7" t="s">
        <v>919</v>
      </c>
      <c r="J190" s="7" t="s">
        <v>294</v>
      </c>
    </row>
    <row r="191" spans="1:10" x14ac:dyDescent="0.3">
      <c r="A191" s="6" t="s">
        <v>924</v>
      </c>
      <c r="B191" s="7" t="s">
        <v>127</v>
      </c>
      <c r="C191" s="7" t="s">
        <v>727</v>
      </c>
      <c r="D191" s="7" t="s">
        <v>12</v>
      </c>
      <c r="E191" s="7" t="s">
        <v>916</v>
      </c>
      <c r="F191" s="7" t="s">
        <v>917</v>
      </c>
      <c r="G191" s="7" t="s">
        <v>925</v>
      </c>
      <c r="H191" s="7">
        <v>3</v>
      </c>
      <c r="I191" s="7" t="s">
        <v>926</v>
      </c>
      <c r="J191" s="7" t="s">
        <v>340</v>
      </c>
    </row>
    <row r="192" spans="1:10" x14ac:dyDescent="0.3">
      <c r="A192" s="6" t="s">
        <v>920</v>
      </c>
      <c r="B192" s="7" t="s">
        <v>127</v>
      </c>
      <c r="C192" s="7" t="s">
        <v>727</v>
      </c>
      <c r="D192" s="7" t="s">
        <v>12</v>
      </c>
      <c r="E192" s="7" t="s">
        <v>916</v>
      </c>
      <c r="F192" s="7" t="s">
        <v>917</v>
      </c>
      <c r="G192" s="7" t="s">
        <v>921</v>
      </c>
      <c r="H192" s="7">
        <v>2</v>
      </c>
      <c r="I192" s="7" t="s">
        <v>922</v>
      </c>
      <c r="J192" s="7" t="s">
        <v>923</v>
      </c>
    </row>
    <row r="193" spans="1:10" x14ac:dyDescent="0.3">
      <c r="A193" s="6" t="s">
        <v>927</v>
      </c>
      <c r="B193" s="7" t="s">
        <v>127</v>
      </c>
      <c r="C193" s="7" t="s">
        <v>727</v>
      </c>
      <c r="D193" s="7" t="s">
        <v>12</v>
      </c>
      <c r="E193" s="7" t="s">
        <v>928</v>
      </c>
      <c r="F193" s="7" t="s">
        <v>929</v>
      </c>
      <c r="G193" s="7" t="s">
        <v>930</v>
      </c>
      <c r="H193" s="7">
        <v>2</v>
      </c>
      <c r="I193" s="7" t="s">
        <v>513</v>
      </c>
      <c r="J193" s="7" t="s">
        <v>931</v>
      </c>
    </row>
    <row r="194" spans="1:10" x14ac:dyDescent="0.3">
      <c r="A194" s="6" t="s">
        <v>932</v>
      </c>
      <c r="B194" s="7" t="s">
        <v>127</v>
      </c>
      <c r="C194" s="7" t="s">
        <v>727</v>
      </c>
      <c r="D194" s="7" t="s">
        <v>12</v>
      </c>
      <c r="E194" s="7" t="s">
        <v>928</v>
      </c>
      <c r="F194" s="7" t="s">
        <v>929</v>
      </c>
      <c r="G194" s="7" t="s">
        <v>933</v>
      </c>
      <c r="H194" s="7">
        <v>10</v>
      </c>
      <c r="I194" s="7" t="s">
        <v>318</v>
      </c>
      <c r="J194" s="7" t="s">
        <v>934</v>
      </c>
    </row>
    <row r="195" spans="1:10" x14ac:dyDescent="0.3">
      <c r="A195" s="6" t="s">
        <v>1853</v>
      </c>
      <c r="B195" s="7" t="s">
        <v>127</v>
      </c>
      <c r="C195" s="7" t="s">
        <v>727</v>
      </c>
      <c r="D195" s="7" t="s">
        <v>12</v>
      </c>
      <c r="E195" s="7" t="s">
        <v>942</v>
      </c>
      <c r="F195" s="7" t="s">
        <v>943</v>
      </c>
      <c r="G195" s="7" t="s">
        <v>1854</v>
      </c>
      <c r="H195" s="7">
        <v>11</v>
      </c>
      <c r="I195" s="7" t="s">
        <v>874</v>
      </c>
      <c r="J195" s="7" t="s">
        <v>640</v>
      </c>
    </row>
    <row r="196" spans="1:10" x14ac:dyDescent="0.3">
      <c r="A196" s="6" t="s">
        <v>941</v>
      </c>
      <c r="B196" s="7" t="s">
        <v>127</v>
      </c>
      <c r="C196" s="7" t="s">
        <v>727</v>
      </c>
      <c r="D196" s="7" t="s">
        <v>12</v>
      </c>
      <c r="E196" s="7" t="s">
        <v>942</v>
      </c>
      <c r="F196" s="7" t="s">
        <v>943</v>
      </c>
      <c r="G196" s="7" t="s">
        <v>944</v>
      </c>
      <c r="H196" s="7">
        <v>11</v>
      </c>
      <c r="I196" s="7" t="s">
        <v>552</v>
      </c>
      <c r="J196" s="7" t="s">
        <v>945</v>
      </c>
    </row>
    <row r="197" spans="1:10" x14ac:dyDescent="0.3">
      <c r="A197" s="6" t="s">
        <v>946</v>
      </c>
      <c r="B197" s="7" t="s">
        <v>127</v>
      </c>
      <c r="C197" s="7" t="s">
        <v>727</v>
      </c>
      <c r="D197" s="7" t="s">
        <v>12</v>
      </c>
      <c r="E197" s="7" t="s">
        <v>947</v>
      </c>
      <c r="F197" s="7" t="s">
        <v>948</v>
      </c>
      <c r="G197" s="7" t="s">
        <v>949</v>
      </c>
      <c r="H197" s="7">
        <v>6</v>
      </c>
      <c r="I197" s="7" t="s">
        <v>950</v>
      </c>
      <c r="J197" s="7" t="s">
        <v>483</v>
      </c>
    </row>
    <row r="198" spans="1:10" x14ac:dyDescent="0.3">
      <c r="A198" s="6" t="s">
        <v>951</v>
      </c>
      <c r="B198" s="7" t="s">
        <v>127</v>
      </c>
      <c r="C198" s="7" t="s">
        <v>727</v>
      </c>
      <c r="D198" s="7" t="s">
        <v>12</v>
      </c>
      <c r="E198" s="7" t="s">
        <v>952</v>
      </c>
      <c r="F198" s="7" t="s">
        <v>953</v>
      </c>
      <c r="G198" s="7" t="s">
        <v>954</v>
      </c>
      <c r="H198" s="7"/>
      <c r="I198" s="7" t="s">
        <v>196</v>
      </c>
      <c r="J198" s="7" t="s">
        <v>955</v>
      </c>
    </row>
    <row r="199" spans="1:10" x14ac:dyDescent="0.3">
      <c r="A199" s="6" t="s">
        <v>1846</v>
      </c>
      <c r="B199" s="7" t="s">
        <v>127</v>
      </c>
      <c r="C199" s="7" t="s">
        <v>727</v>
      </c>
      <c r="D199" s="7" t="s">
        <v>12</v>
      </c>
      <c r="E199" s="7" t="s">
        <v>1847</v>
      </c>
      <c r="F199" s="7" t="s">
        <v>1848</v>
      </c>
      <c r="G199" s="7" t="s">
        <v>1849</v>
      </c>
      <c r="H199" s="7">
        <v>21</v>
      </c>
      <c r="I199" s="7" t="s">
        <v>165</v>
      </c>
      <c r="J199" s="7" t="s">
        <v>143</v>
      </c>
    </row>
    <row r="200" spans="1:10" x14ac:dyDescent="0.3">
      <c r="A200" s="6" t="s">
        <v>895</v>
      </c>
      <c r="B200" s="7" t="s">
        <v>127</v>
      </c>
      <c r="C200" s="7" t="s">
        <v>727</v>
      </c>
      <c r="D200" s="7" t="s">
        <v>12</v>
      </c>
      <c r="E200" s="7" t="s">
        <v>896</v>
      </c>
      <c r="F200" s="7" t="s">
        <v>897</v>
      </c>
      <c r="G200" s="7" t="s">
        <v>898</v>
      </c>
      <c r="H200" s="7">
        <v>5</v>
      </c>
      <c r="I200" s="7" t="s">
        <v>770</v>
      </c>
      <c r="J200" s="7" t="s">
        <v>612</v>
      </c>
    </row>
    <row r="201" spans="1:10" x14ac:dyDescent="0.3">
      <c r="A201" s="6" t="s">
        <v>842</v>
      </c>
      <c r="B201" s="7" t="s">
        <v>127</v>
      </c>
      <c r="C201" s="7" t="s">
        <v>727</v>
      </c>
      <c r="D201" s="7" t="s">
        <v>12</v>
      </c>
      <c r="E201" s="7" t="s">
        <v>843</v>
      </c>
      <c r="F201" s="7" t="s">
        <v>844</v>
      </c>
      <c r="G201" s="7" t="s">
        <v>845</v>
      </c>
      <c r="H201" s="7">
        <v>32</v>
      </c>
      <c r="I201" s="7" t="s">
        <v>423</v>
      </c>
      <c r="J201" s="7" t="s">
        <v>185</v>
      </c>
    </row>
    <row r="202" spans="1:10" x14ac:dyDescent="0.3">
      <c r="A202" s="6" t="s">
        <v>775</v>
      </c>
      <c r="B202" s="7" t="s">
        <v>127</v>
      </c>
      <c r="C202" s="7" t="s">
        <v>727</v>
      </c>
      <c r="D202" s="7" t="s">
        <v>12</v>
      </c>
      <c r="E202" s="7" t="s">
        <v>761</v>
      </c>
      <c r="F202" s="7" t="s">
        <v>762</v>
      </c>
      <c r="G202" s="7" t="s">
        <v>776</v>
      </c>
      <c r="H202" s="7">
        <v>6</v>
      </c>
      <c r="I202" s="7" t="s">
        <v>770</v>
      </c>
      <c r="J202" s="7" t="s">
        <v>777</v>
      </c>
    </row>
    <row r="203" spans="1:10" x14ac:dyDescent="0.3">
      <c r="A203" s="6" t="s">
        <v>835</v>
      </c>
      <c r="B203" s="7" t="s">
        <v>127</v>
      </c>
      <c r="C203" s="7" t="s">
        <v>727</v>
      </c>
      <c r="D203" s="7" t="s">
        <v>12</v>
      </c>
      <c r="E203" s="7" t="s">
        <v>836</v>
      </c>
      <c r="F203" s="7" t="s">
        <v>837</v>
      </c>
      <c r="G203" s="7" t="s">
        <v>838</v>
      </c>
      <c r="H203" s="7">
        <v>1</v>
      </c>
      <c r="I203" s="7" t="s">
        <v>645</v>
      </c>
      <c r="J203" s="7" t="s">
        <v>839</v>
      </c>
    </row>
    <row r="204" spans="1:10" x14ac:dyDescent="0.3">
      <c r="A204" s="6" t="s">
        <v>993</v>
      </c>
      <c r="B204" s="7" t="s">
        <v>127</v>
      </c>
      <c r="C204" s="7" t="s">
        <v>727</v>
      </c>
      <c r="D204" s="7" t="s">
        <v>12</v>
      </c>
      <c r="E204" s="7" t="s">
        <v>987</v>
      </c>
      <c r="F204" s="7" t="s">
        <v>988</v>
      </c>
      <c r="G204" s="7" t="s">
        <v>994</v>
      </c>
      <c r="H204" s="7">
        <v>4</v>
      </c>
      <c r="I204" s="7" t="s">
        <v>995</v>
      </c>
      <c r="J204" s="7" t="s">
        <v>294</v>
      </c>
    </row>
    <row r="205" spans="1:10" x14ac:dyDescent="0.3">
      <c r="A205" s="6" t="s">
        <v>731</v>
      </c>
      <c r="B205" s="7" t="s">
        <v>127</v>
      </c>
      <c r="C205" s="7" t="s">
        <v>727</v>
      </c>
      <c r="D205" s="7" t="s">
        <v>12</v>
      </c>
      <c r="E205" s="7" t="s">
        <v>732</v>
      </c>
      <c r="F205" s="7" t="s">
        <v>733</v>
      </c>
      <c r="G205" s="7" t="s">
        <v>734</v>
      </c>
      <c r="H205" s="7">
        <v>1</v>
      </c>
      <c r="I205" s="7" t="s">
        <v>735</v>
      </c>
      <c r="J205" s="7" t="s">
        <v>736</v>
      </c>
    </row>
    <row r="206" spans="1:10" x14ac:dyDescent="0.3">
      <c r="A206" s="6" t="s">
        <v>726</v>
      </c>
      <c r="B206" s="7" t="s">
        <v>127</v>
      </c>
      <c r="C206" s="7" t="s">
        <v>727</v>
      </c>
      <c r="D206" s="7" t="s">
        <v>12</v>
      </c>
      <c r="E206" s="7" t="s">
        <v>728</v>
      </c>
      <c r="F206" s="7" t="s">
        <v>729</v>
      </c>
      <c r="G206" s="7" t="s">
        <v>730</v>
      </c>
      <c r="H206" s="7">
        <v>7</v>
      </c>
      <c r="I206" s="7" t="s">
        <v>513</v>
      </c>
      <c r="J206" s="7" t="s">
        <v>166</v>
      </c>
    </row>
    <row r="207" spans="1:10" x14ac:dyDescent="0.3">
      <c r="A207" s="6" t="s">
        <v>737</v>
      </c>
      <c r="B207" s="7" t="s">
        <v>127</v>
      </c>
      <c r="C207" s="7" t="s">
        <v>727</v>
      </c>
      <c r="D207" s="7" t="s">
        <v>12</v>
      </c>
      <c r="E207" s="7" t="s">
        <v>738</v>
      </c>
      <c r="F207" s="7" t="s">
        <v>739</v>
      </c>
      <c r="G207" s="7" t="s">
        <v>740</v>
      </c>
      <c r="H207" s="7"/>
      <c r="I207" s="7" t="s">
        <v>196</v>
      </c>
      <c r="J207" s="7" t="s">
        <v>612</v>
      </c>
    </row>
    <row r="208" spans="1:10" x14ac:dyDescent="0.3">
      <c r="A208" s="6" t="s">
        <v>1826</v>
      </c>
      <c r="B208" s="7" t="s">
        <v>127</v>
      </c>
      <c r="C208" s="7" t="s">
        <v>727</v>
      </c>
      <c r="D208" s="7" t="s">
        <v>12</v>
      </c>
      <c r="E208" s="7" t="s">
        <v>748</v>
      </c>
      <c r="F208" s="7" t="s">
        <v>174</v>
      </c>
      <c r="G208" s="7" t="s">
        <v>1827</v>
      </c>
      <c r="H208" s="7">
        <v>17</v>
      </c>
      <c r="I208" s="7" t="s">
        <v>1350</v>
      </c>
      <c r="J208" s="7" t="s">
        <v>1831</v>
      </c>
    </row>
    <row r="209" spans="1:10" x14ac:dyDescent="0.3">
      <c r="A209" s="6" t="s">
        <v>747</v>
      </c>
      <c r="B209" s="7" t="s">
        <v>127</v>
      </c>
      <c r="C209" s="7" t="s">
        <v>727</v>
      </c>
      <c r="D209" s="7" t="s">
        <v>12</v>
      </c>
      <c r="E209" s="7" t="s">
        <v>748</v>
      </c>
      <c r="F209" s="7" t="s">
        <v>174</v>
      </c>
      <c r="G209" s="7" t="s">
        <v>749</v>
      </c>
      <c r="H209" s="7">
        <v>8</v>
      </c>
      <c r="I209" s="7" t="s">
        <v>625</v>
      </c>
      <c r="J209" s="7" t="s">
        <v>750</v>
      </c>
    </row>
    <row r="210" spans="1:10" x14ac:dyDescent="0.3">
      <c r="A210" s="6" t="s">
        <v>741</v>
      </c>
      <c r="B210" s="7" t="s">
        <v>127</v>
      </c>
      <c r="C210" s="7" t="s">
        <v>727</v>
      </c>
      <c r="D210" s="7" t="s">
        <v>12</v>
      </c>
      <c r="E210" s="7" t="s">
        <v>742</v>
      </c>
      <c r="F210" s="7" t="s">
        <v>743</v>
      </c>
      <c r="G210" s="7" t="s">
        <v>744</v>
      </c>
      <c r="H210" s="7">
        <v>3</v>
      </c>
      <c r="I210" s="7" t="s">
        <v>745</v>
      </c>
      <c r="J210" s="7" t="s">
        <v>746</v>
      </c>
    </row>
    <row r="211" spans="1:10" x14ac:dyDescent="0.3">
      <c r="A211" s="6" t="s">
        <v>756</v>
      </c>
      <c r="B211" s="7" t="s">
        <v>127</v>
      </c>
      <c r="C211" s="7" t="s">
        <v>727</v>
      </c>
      <c r="D211" s="7" t="s">
        <v>12</v>
      </c>
      <c r="E211" s="7" t="s">
        <v>752</v>
      </c>
      <c r="F211" s="7" t="s">
        <v>753</v>
      </c>
      <c r="G211" s="7" t="s">
        <v>757</v>
      </c>
      <c r="H211" s="7">
        <v>16</v>
      </c>
      <c r="I211" s="7" t="s">
        <v>758</v>
      </c>
      <c r="J211" s="7" t="s">
        <v>759</v>
      </c>
    </row>
    <row r="212" spans="1:10" x14ac:dyDescent="0.3">
      <c r="A212" s="6" t="s">
        <v>751</v>
      </c>
      <c r="B212" s="7" t="s">
        <v>127</v>
      </c>
      <c r="C212" s="7" t="s">
        <v>727</v>
      </c>
      <c r="D212" s="7" t="s">
        <v>12</v>
      </c>
      <c r="E212" s="7" t="s">
        <v>752</v>
      </c>
      <c r="F212" s="7" t="s">
        <v>753</v>
      </c>
      <c r="G212" s="7" t="s">
        <v>754</v>
      </c>
      <c r="H212" s="7">
        <v>20</v>
      </c>
      <c r="I212" s="7" t="s">
        <v>513</v>
      </c>
      <c r="J212" s="7" t="s">
        <v>755</v>
      </c>
    </row>
    <row r="213" spans="1:10" x14ac:dyDescent="0.3">
      <c r="A213" s="6" t="s">
        <v>765</v>
      </c>
      <c r="B213" s="7" t="s">
        <v>127</v>
      </c>
      <c r="C213" s="7" t="s">
        <v>727</v>
      </c>
      <c r="D213" s="7" t="s">
        <v>12</v>
      </c>
      <c r="E213" s="7" t="s">
        <v>761</v>
      </c>
      <c r="F213" s="7" t="s">
        <v>762</v>
      </c>
      <c r="G213" s="7" t="s">
        <v>766</v>
      </c>
      <c r="H213" s="7">
        <v>10</v>
      </c>
      <c r="I213" s="7" t="s">
        <v>645</v>
      </c>
      <c r="J213" s="7" t="s">
        <v>767</v>
      </c>
    </row>
    <row r="214" spans="1:10" x14ac:dyDescent="0.3">
      <c r="A214" s="6" t="s">
        <v>760</v>
      </c>
      <c r="B214" s="7" t="s">
        <v>127</v>
      </c>
      <c r="C214" s="7" t="s">
        <v>727</v>
      </c>
      <c r="D214" s="7" t="s">
        <v>12</v>
      </c>
      <c r="E214" s="7" t="s">
        <v>761</v>
      </c>
      <c r="F214" s="7" t="s">
        <v>762</v>
      </c>
      <c r="G214" s="7" t="s">
        <v>763</v>
      </c>
      <c r="H214" s="7">
        <v>15</v>
      </c>
      <c r="I214" s="7" t="s">
        <v>764</v>
      </c>
      <c r="J214" s="7" t="s">
        <v>189</v>
      </c>
    </row>
    <row r="215" spans="1:10" x14ac:dyDescent="0.3">
      <c r="A215" s="6" t="s">
        <v>956</v>
      </c>
      <c r="B215" s="7" t="s">
        <v>127</v>
      </c>
      <c r="C215" s="7" t="s">
        <v>727</v>
      </c>
      <c r="D215" s="7" t="s">
        <v>12</v>
      </c>
      <c r="E215" s="7" t="s">
        <v>957</v>
      </c>
      <c r="F215" s="7" t="s">
        <v>958</v>
      </c>
      <c r="G215" s="7" t="s">
        <v>959</v>
      </c>
      <c r="H215" s="7">
        <v>3</v>
      </c>
      <c r="I215" s="7" t="s">
        <v>196</v>
      </c>
      <c r="J215" s="7" t="s">
        <v>676</v>
      </c>
    </row>
    <row r="216" spans="1:10" x14ac:dyDescent="0.3">
      <c r="A216" s="6" t="s">
        <v>771</v>
      </c>
      <c r="B216" s="7" t="s">
        <v>127</v>
      </c>
      <c r="C216" s="7" t="s">
        <v>727</v>
      </c>
      <c r="D216" s="7" t="s">
        <v>12</v>
      </c>
      <c r="E216" s="7" t="s">
        <v>761</v>
      </c>
      <c r="F216" s="7" t="s">
        <v>762</v>
      </c>
      <c r="G216" s="7" t="s">
        <v>772</v>
      </c>
      <c r="H216" s="7">
        <v>11</v>
      </c>
      <c r="I216" s="7" t="s">
        <v>773</v>
      </c>
      <c r="J216" s="7" t="s">
        <v>774</v>
      </c>
    </row>
    <row r="217" spans="1:10" x14ac:dyDescent="0.3">
      <c r="A217" s="6" t="s">
        <v>778</v>
      </c>
      <c r="B217" s="7" t="s">
        <v>127</v>
      </c>
      <c r="C217" s="7" t="s">
        <v>727</v>
      </c>
      <c r="D217" s="7" t="s">
        <v>12</v>
      </c>
      <c r="E217" s="7" t="s">
        <v>761</v>
      </c>
      <c r="F217" s="7" t="s">
        <v>762</v>
      </c>
      <c r="G217" s="7" t="s">
        <v>779</v>
      </c>
      <c r="H217" s="7">
        <v>1</v>
      </c>
      <c r="I217" s="7" t="s">
        <v>780</v>
      </c>
      <c r="J217" s="7" t="s">
        <v>781</v>
      </c>
    </row>
    <row r="218" spans="1:10" x14ac:dyDescent="0.3">
      <c r="A218" s="6" t="s">
        <v>768</v>
      </c>
      <c r="B218" s="7" t="s">
        <v>127</v>
      </c>
      <c r="C218" s="7" t="s">
        <v>727</v>
      </c>
      <c r="D218" s="7" t="s">
        <v>12</v>
      </c>
      <c r="E218" s="7" t="s">
        <v>761</v>
      </c>
      <c r="F218" s="7" t="s">
        <v>762</v>
      </c>
      <c r="G218" s="7" t="s">
        <v>769</v>
      </c>
      <c r="H218" s="7">
        <v>0</v>
      </c>
      <c r="I218" s="7" t="s">
        <v>770</v>
      </c>
      <c r="J218" s="7"/>
    </row>
    <row r="219" spans="1:10" x14ac:dyDescent="0.3">
      <c r="A219" s="6" t="s">
        <v>782</v>
      </c>
      <c r="B219" s="7" t="s">
        <v>127</v>
      </c>
      <c r="C219" s="7" t="s">
        <v>727</v>
      </c>
      <c r="D219" s="7" t="s">
        <v>12</v>
      </c>
      <c r="E219" s="7" t="s">
        <v>761</v>
      </c>
      <c r="F219" s="7" t="s">
        <v>762</v>
      </c>
      <c r="G219" s="7" t="s">
        <v>783</v>
      </c>
      <c r="H219" s="7">
        <v>20</v>
      </c>
      <c r="I219" s="7" t="s">
        <v>542</v>
      </c>
      <c r="J219" s="7" t="s">
        <v>185</v>
      </c>
    </row>
    <row r="220" spans="1:10" x14ac:dyDescent="0.3">
      <c r="A220" s="6" t="s">
        <v>789</v>
      </c>
      <c r="B220" s="7" t="s">
        <v>127</v>
      </c>
      <c r="C220" s="7" t="s">
        <v>727</v>
      </c>
      <c r="D220" s="7" t="s">
        <v>12</v>
      </c>
      <c r="E220" s="7" t="s">
        <v>790</v>
      </c>
      <c r="F220" s="7" t="s">
        <v>791</v>
      </c>
      <c r="G220" s="7" t="s">
        <v>792</v>
      </c>
      <c r="H220" s="7">
        <v>6</v>
      </c>
      <c r="I220" s="7" t="s">
        <v>630</v>
      </c>
      <c r="J220" s="7" t="s">
        <v>793</v>
      </c>
    </row>
    <row r="221" spans="1:10" x14ac:dyDescent="0.3">
      <c r="A221" s="6" t="s">
        <v>784</v>
      </c>
      <c r="B221" s="7" t="s">
        <v>127</v>
      </c>
      <c r="C221" s="7" t="s">
        <v>727</v>
      </c>
      <c r="D221" s="7" t="s">
        <v>12</v>
      </c>
      <c r="E221" s="7" t="s">
        <v>785</v>
      </c>
      <c r="F221" s="7" t="s">
        <v>786</v>
      </c>
      <c r="G221" s="7" t="s">
        <v>787</v>
      </c>
      <c r="H221" s="7">
        <v>9</v>
      </c>
      <c r="I221" s="7" t="s">
        <v>343</v>
      </c>
      <c r="J221" s="7" t="s">
        <v>788</v>
      </c>
    </row>
    <row r="222" spans="1:10" x14ac:dyDescent="0.3">
      <c r="A222" s="6" t="s">
        <v>794</v>
      </c>
      <c r="B222" s="7" t="s">
        <v>127</v>
      </c>
      <c r="C222" s="7" t="s">
        <v>727</v>
      </c>
      <c r="D222" s="7" t="s">
        <v>12</v>
      </c>
      <c r="E222" s="7" t="s">
        <v>795</v>
      </c>
      <c r="F222" s="7" t="s">
        <v>796</v>
      </c>
      <c r="G222" s="7" t="s">
        <v>797</v>
      </c>
      <c r="H222" s="7">
        <v>24</v>
      </c>
      <c r="I222" s="7" t="s">
        <v>250</v>
      </c>
      <c r="J222" s="7" t="s">
        <v>189</v>
      </c>
    </row>
    <row r="223" spans="1:10" x14ac:dyDescent="0.3">
      <c r="A223" s="6" t="s">
        <v>798</v>
      </c>
      <c r="B223" s="7" t="s">
        <v>127</v>
      </c>
      <c r="C223" s="7" t="s">
        <v>727</v>
      </c>
      <c r="D223" s="7" t="s">
        <v>12</v>
      </c>
      <c r="E223" s="7" t="s">
        <v>799</v>
      </c>
      <c r="F223" s="7" t="s">
        <v>212</v>
      </c>
      <c r="G223" s="7" t="s">
        <v>800</v>
      </c>
      <c r="H223" s="7">
        <v>8</v>
      </c>
      <c r="I223" s="7" t="s">
        <v>355</v>
      </c>
      <c r="J223" s="7" t="s">
        <v>404</v>
      </c>
    </row>
    <row r="224" spans="1:10" x14ac:dyDescent="0.3">
      <c r="A224" s="6" t="s">
        <v>801</v>
      </c>
      <c r="B224" s="7" t="s">
        <v>127</v>
      </c>
      <c r="C224" s="7" t="s">
        <v>727</v>
      </c>
      <c r="D224" s="7" t="s">
        <v>12</v>
      </c>
      <c r="E224" s="7" t="s">
        <v>802</v>
      </c>
      <c r="F224" s="7" t="s">
        <v>803</v>
      </c>
      <c r="G224" s="7" t="s">
        <v>804</v>
      </c>
      <c r="H224" s="7">
        <v>18</v>
      </c>
      <c r="I224" s="7" t="s">
        <v>805</v>
      </c>
      <c r="J224" s="7" t="s">
        <v>806</v>
      </c>
    </row>
    <row r="225" spans="1:10" x14ac:dyDescent="0.3">
      <c r="A225" s="6" t="s">
        <v>807</v>
      </c>
      <c r="B225" s="7" t="s">
        <v>127</v>
      </c>
      <c r="C225" s="7" t="s">
        <v>727</v>
      </c>
      <c r="D225" s="7" t="s">
        <v>12</v>
      </c>
      <c r="E225" s="7" t="s">
        <v>808</v>
      </c>
      <c r="F225" s="7" t="s">
        <v>809</v>
      </c>
      <c r="G225" s="7" t="s">
        <v>810</v>
      </c>
      <c r="H225" s="7">
        <v>3</v>
      </c>
      <c r="I225" s="7" t="s">
        <v>811</v>
      </c>
      <c r="J225" s="7" t="s">
        <v>189</v>
      </c>
    </row>
    <row r="226" spans="1:10" x14ac:dyDescent="0.3">
      <c r="A226" s="6" t="s">
        <v>816</v>
      </c>
      <c r="B226" s="7" t="s">
        <v>127</v>
      </c>
      <c r="C226" s="7" t="s">
        <v>727</v>
      </c>
      <c r="D226" s="7" t="s">
        <v>12</v>
      </c>
      <c r="E226" s="7" t="s">
        <v>817</v>
      </c>
      <c r="F226" s="7" t="s">
        <v>818</v>
      </c>
      <c r="G226" s="7" t="s">
        <v>819</v>
      </c>
      <c r="H226" s="7">
        <v>12</v>
      </c>
      <c r="I226" s="7" t="s">
        <v>562</v>
      </c>
      <c r="J226" s="7" t="s">
        <v>155</v>
      </c>
    </row>
    <row r="227" spans="1:10" x14ac:dyDescent="0.3">
      <c r="A227" s="6" t="s">
        <v>830</v>
      </c>
      <c r="B227" s="7" t="s">
        <v>127</v>
      </c>
      <c r="C227" s="7" t="s">
        <v>727</v>
      </c>
      <c r="D227" s="7" t="s">
        <v>12</v>
      </c>
      <c r="E227" s="7" t="s">
        <v>831</v>
      </c>
      <c r="F227" s="7" t="s">
        <v>832</v>
      </c>
      <c r="G227" s="7" t="s">
        <v>833</v>
      </c>
      <c r="H227" s="7">
        <v>1</v>
      </c>
      <c r="I227" s="7" t="s">
        <v>834</v>
      </c>
      <c r="J227" s="7" t="s">
        <v>199</v>
      </c>
    </row>
    <row r="228" spans="1:10" x14ac:dyDescent="0.3">
      <c r="A228" s="6" t="s">
        <v>812</v>
      </c>
      <c r="B228" s="7" t="s">
        <v>127</v>
      </c>
      <c r="C228" s="7" t="s">
        <v>727</v>
      </c>
      <c r="D228" s="7" t="s">
        <v>12</v>
      </c>
      <c r="E228" s="7" t="s">
        <v>813</v>
      </c>
      <c r="F228" s="7" t="s">
        <v>814</v>
      </c>
      <c r="G228" s="7" t="s">
        <v>815</v>
      </c>
      <c r="H228" s="7"/>
      <c r="I228" s="7" t="s">
        <v>328</v>
      </c>
      <c r="J228" s="7" t="s">
        <v>542</v>
      </c>
    </row>
    <row r="229" spans="1:10" x14ac:dyDescent="0.3">
      <c r="A229" s="6" t="s">
        <v>820</v>
      </c>
      <c r="B229" s="7" t="s">
        <v>127</v>
      </c>
      <c r="C229" s="7" t="s">
        <v>727</v>
      </c>
      <c r="D229" s="7" t="s">
        <v>12</v>
      </c>
      <c r="E229" s="7" t="s">
        <v>821</v>
      </c>
      <c r="F229" s="7" t="s">
        <v>822</v>
      </c>
      <c r="G229" s="7" t="s">
        <v>823</v>
      </c>
      <c r="H229" s="7">
        <v>14</v>
      </c>
      <c r="I229" s="7" t="s">
        <v>735</v>
      </c>
      <c r="J229" s="7" t="s">
        <v>824</v>
      </c>
    </row>
    <row r="230" spans="1:10" x14ac:dyDescent="0.3">
      <c r="A230" s="6" t="s">
        <v>825</v>
      </c>
      <c r="B230" s="7" t="s">
        <v>127</v>
      </c>
      <c r="C230" s="7" t="s">
        <v>727</v>
      </c>
      <c r="D230" s="7" t="s">
        <v>12</v>
      </c>
      <c r="E230" s="7" t="s">
        <v>826</v>
      </c>
      <c r="F230" s="7" t="s">
        <v>827</v>
      </c>
      <c r="G230" s="7" t="s">
        <v>828</v>
      </c>
      <c r="H230" s="7">
        <v>6</v>
      </c>
      <c r="I230" s="7" t="s">
        <v>829</v>
      </c>
      <c r="J230" s="7" t="s">
        <v>189</v>
      </c>
    </row>
    <row r="231" spans="1:10" x14ac:dyDescent="0.3">
      <c r="A231" s="6" t="s">
        <v>1832</v>
      </c>
      <c r="B231" s="7" t="s">
        <v>127</v>
      </c>
      <c r="C231" s="7" t="s">
        <v>727</v>
      </c>
      <c r="D231" s="7" t="s">
        <v>12</v>
      </c>
      <c r="E231" s="7" t="s">
        <v>1833</v>
      </c>
      <c r="F231" s="7" t="s">
        <v>1834</v>
      </c>
      <c r="G231" s="7" t="s">
        <v>1835</v>
      </c>
      <c r="H231" s="7">
        <v>5</v>
      </c>
      <c r="I231" s="7" t="s">
        <v>682</v>
      </c>
      <c r="J231" s="7" t="s">
        <v>1839</v>
      </c>
    </row>
    <row r="232" spans="1:10" x14ac:dyDescent="0.3">
      <c r="A232" s="6" t="s">
        <v>840</v>
      </c>
      <c r="B232" s="7" t="s">
        <v>127</v>
      </c>
      <c r="C232" s="7" t="s">
        <v>727</v>
      </c>
      <c r="D232" s="7" t="s">
        <v>12</v>
      </c>
      <c r="E232" s="7" t="s">
        <v>282</v>
      </c>
      <c r="F232" s="7" t="s">
        <v>283</v>
      </c>
      <c r="G232" s="7" t="s">
        <v>841</v>
      </c>
      <c r="H232" s="7">
        <v>2</v>
      </c>
      <c r="I232" s="7" t="s">
        <v>403</v>
      </c>
      <c r="J232" s="7" t="s">
        <v>199</v>
      </c>
    </row>
    <row r="233" spans="1:10" x14ac:dyDescent="0.3">
      <c r="A233" s="6" t="s">
        <v>1840</v>
      </c>
      <c r="B233" s="7" t="s">
        <v>127</v>
      </c>
      <c r="C233" s="7" t="s">
        <v>727</v>
      </c>
      <c r="D233" s="7" t="s">
        <v>12</v>
      </c>
      <c r="E233" s="7" t="s">
        <v>1841</v>
      </c>
      <c r="F233" s="7" t="s">
        <v>322</v>
      </c>
      <c r="G233" s="7" t="s">
        <v>1842</v>
      </c>
      <c r="H233" s="7">
        <v>2</v>
      </c>
      <c r="I233" s="7" t="s">
        <v>154</v>
      </c>
      <c r="J233" s="7" t="s">
        <v>404</v>
      </c>
    </row>
    <row r="234" spans="1:10" x14ac:dyDescent="0.3">
      <c r="A234" s="6" t="s">
        <v>965</v>
      </c>
      <c r="B234" s="7" t="s">
        <v>127</v>
      </c>
      <c r="C234" s="7" t="s">
        <v>727</v>
      </c>
      <c r="D234" s="7" t="s">
        <v>12</v>
      </c>
      <c r="E234" s="7" t="s">
        <v>961</v>
      </c>
      <c r="F234" s="7" t="s">
        <v>962</v>
      </c>
      <c r="G234" s="7" t="s">
        <v>966</v>
      </c>
      <c r="H234" s="7">
        <v>3</v>
      </c>
      <c r="I234" s="7" t="s">
        <v>82</v>
      </c>
      <c r="J234" s="7" t="s">
        <v>967</v>
      </c>
    </row>
    <row r="235" spans="1:10" x14ac:dyDescent="0.3">
      <c r="A235" s="6" t="s">
        <v>996</v>
      </c>
      <c r="B235" s="7" t="s">
        <v>127</v>
      </c>
      <c r="C235" s="7" t="s">
        <v>727</v>
      </c>
      <c r="D235" s="7" t="s">
        <v>12</v>
      </c>
      <c r="E235" s="7" t="s">
        <v>987</v>
      </c>
      <c r="F235" s="7" t="s">
        <v>988</v>
      </c>
      <c r="G235" s="7" t="s">
        <v>997</v>
      </c>
      <c r="H235" s="7">
        <v>6</v>
      </c>
      <c r="I235" s="7" t="s">
        <v>160</v>
      </c>
      <c r="J235" s="7" t="s">
        <v>998</v>
      </c>
    </row>
    <row r="236" spans="1:10" x14ac:dyDescent="0.3">
      <c r="A236" s="6" t="s">
        <v>972</v>
      </c>
      <c r="B236" s="7" t="s">
        <v>127</v>
      </c>
      <c r="C236" s="7" t="s">
        <v>727</v>
      </c>
      <c r="D236" s="7" t="s">
        <v>12</v>
      </c>
      <c r="E236" s="7" t="s">
        <v>973</v>
      </c>
      <c r="F236" s="7" t="s">
        <v>974</v>
      </c>
      <c r="G236" s="7" t="s">
        <v>975</v>
      </c>
      <c r="H236" s="7">
        <v>2</v>
      </c>
      <c r="I236" s="7" t="s">
        <v>255</v>
      </c>
      <c r="J236" s="7" t="s">
        <v>976</v>
      </c>
    </row>
    <row r="237" spans="1:10" x14ac:dyDescent="0.3">
      <c r="A237" s="6" t="s">
        <v>1007</v>
      </c>
      <c r="B237" s="7" t="s">
        <v>127</v>
      </c>
      <c r="C237" s="7" t="s">
        <v>727</v>
      </c>
      <c r="D237" s="7" t="s">
        <v>12</v>
      </c>
      <c r="E237" s="7" t="s">
        <v>1008</v>
      </c>
      <c r="F237" s="7" t="s">
        <v>1009</v>
      </c>
      <c r="G237" s="7" t="s">
        <v>949</v>
      </c>
      <c r="H237" s="7">
        <v>8</v>
      </c>
      <c r="I237" s="7" t="s">
        <v>1010</v>
      </c>
      <c r="J237" s="7"/>
    </row>
    <row r="238" spans="1:10" x14ac:dyDescent="0.3">
      <c r="A238" s="6" t="s">
        <v>1005</v>
      </c>
      <c r="B238" s="7" t="s">
        <v>127</v>
      </c>
      <c r="C238" s="7" t="s">
        <v>727</v>
      </c>
      <c r="D238" s="7" t="s">
        <v>12</v>
      </c>
      <c r="E238" s="7" t="s">
        <v>1000</v>
      </c>
      <c r="F238" s="7" t="s">
        <v>1001</v>
      </c>
      <c r="G238" s="7" t="s">
        <v>1006</v>
      </c>
      <c r="H238" s="7">
        <v>8</v>
      </c>
      <c r="I238" s="7" t="s">
        <v>270</v>
      </c>
      <c r="J238" s="7" t="s">
        <v>189</v>
      </c>
    </row>
    <row r="239" spans="1:10" x14ac:dyDescent="0.3">
      <c r="A239" s="6" t="s">
        <v>999</v>
      </c>
      <c r="B239" s="7" t="s">
        <v>127</v>
      </c>
      <c r="C239" s="7" t="s">
        <v>727</v>
      </c>
      <c r="D239" s="7" t="s">
        <v>12</v>
      </c>
      <c r="E239" s="7" t="s">
        <v>1000</v>
      </c>
      <c r="F239" s="7" t="s">
        <v>1001</v>
      </c>
      <c r="G239" s="7" t="s">
        <v>1002</v>
      </c>
      <c r="H239" s="7">
        <v>11</v>
      </c>
      <c r="I239" s="7" t="s">
        <v>1003</v>
      </c>
      <c r="J239" s="7" t="s">
        <v>1004</v>
      </c>
    </row>
    <row r="240" spans="1:10" x14ac:dyDescent="0.3">
      <c r="A240" s="6" t="s">
        <v>977</v>
      </c>
      <c r="B240" s="7" t="s">
        <v>127</v>
      </c>
      <c r="C240" s="7" t="s">
        <v>727</v>
      </c>
      <c r="D240" s="7" t="s">
        <v>12</v>
      </c>
      <c r="E240" s="7" t="s">
        <v>978</v>
      </c>
      <c r="F240" s="7" t="s">
        <v>979</v>
      </c>
      <c r="G240" s="7" t="s">
        <v>980</v>
      </c>
      <c r="H240" s="7">
        <v>10</v>
      </c>
      <c r="I240" s="7" t="s">
        <v>660</v>
      </c>
      <c r="J240" s="7" t="s">
        <v>505</v>
      </c>
    </row>
    <row r="241" spans="1:10" x14ac:dyDescent="0.3">
      <c r="A241" s="6" t="s">
        <v>981</v>
      </c>
      <c r="B241" s="7" t="s">
        <v>127</v>
      </c>
      <c r="C241" s="7" t="s">
        <v>727</v>
      </c>
      <c r="D241" s="7" t="s">
        <v>12</v>
      </c>
      <c r="E241" s="7" t="s">
        <v>982</v>
      </c>
      <c r="F241" s="7" t="s">
        <v>983</v>
      </c>
      <c r="G241" s="7" t="s">
        <v>984</v>
      </c>
      <c r="H241" s="7">
        <v>7</v>
      </c>
      <c r="I241" s="7" t="s">
        <v>487</v>
      </c>
      <c r="J241" s="7" t="s">
        <v>985</v>
      </c>
    </row>
    <row r="242" spans="1:10" x14ac:dyDescent="0.3">
      <c r="A242" s="6" t="s">
        <v>1015</v>
      </c>
      <c r="B242" s="7" t="s">
        <v>127</v>
      </c>
      <c r="C242" s="7" t="s">
        <v>727</v>
      </c>
      <c r="D242" s="7" t="s">
        <v>12</v>
      </c>
      <c r="E242" s="7" t="s">
        <v>1016</v>
      </c>
      <c r="F242" s="7" t="s">
        <v>1017</v>
      </c>
      <c r="G242" s="7" t="s">
        <v>1018</v>
      </c>
      <c r="H242" s="7">
        <v>1</v>
      </c>
      <c r="I242" s="7" t="s">
        <v>735</v>
      </c>
      <c r="J242" s="7" t="s">
        <v>736</v>
      </c>
    </row>
    <row r="243" spans="1:10" x14ac:dyDescent="0.3">
      <c r="A243" s="6" t="s">
        <v>1019</v>
      </c>
      <c r="B243" s="7" t="s">
        <v>127</v>
      </c>
      <c r="C243" s="7" t="s">
        <v>727</v>
      </c>
      <c r="D243" s="7" t="s">
        <v>12</v>
      </c>
      <c r="E243" s="7" t="s">
        <v>1020</v>
      </c>
      <c r="F243" s="7" t="s">
        <v>1021</v>
      </c>
      <c r="G243" s="7" t="s">
        <v>1022</v>
      </c>
      <c r="H243" s="7">
        <v>2</v>
      </c>
      <c r="I243" s="7" t="s">
        <v>735</v>
      </c>
      <c r="J243" s="7" t="s">
        <v>736</v>
      </c>
    </row>
    <row r="244" spans="1:10" x14ac:dyDescent="0.3">
      <c r="A244" s="6" t="s">
        <v>1011</v>
      </c>
      <c r="B244" s="7" t="s">
        <v>127</v>
      </c>
      <c r="C244" s="7" t="s">
        <v>727</v>
      </c>
      <c r="D244" s="7" t="s">
        <v>12</v>
      </c>
      <c r="E244" s="7" t="s">
        <v>1012</v>
      </c>
      <c r="F244" s="7" t="s">
        <v>1013</v>
      </c>
      <c r="G244" s="7" t="s">
        <v>1014</v>
      </c>
      <c r="H244" s="7">
        <v>5</v>
      </c>
      <c r="I244" s="7" t="s">
        <v>417</v>
      </c>
      <c r="J244" s="7" t="s">
        <v>380</v>
      </c>
    </row>
    <row r="245" spans="1:10" x14ac:dyDescent="0.3">
      <c r="A245" s="6" t="s">
        <v>1023</v>
      </c>
      <c r="B245" s="7" t="s">
        <v>127</v>
      </c>
      <c r="C245" s="7" t="s">
        <v>727</v>
      </c>
      <c r="D245" s="7" t="s">
        <v>12</v>
      </c>
      <c r="E245" s="7" t="s">
        <v>1024</v>
      </c>
      <c r="F245" s="7" t="s">
        <v>1025</v>
      </c>
      <c r="G245" s="7" t="s">
        <v>1026</v>
      </c>
      <c r="H245" s="7">
        <v>9</v>
      </c>
      <c r="I245" s="7"/>
      <c r="J245" s="7" t="s">
        <v>380</v>
      </c>
    </row>
    <row r="246" spans="1:10" x14ac:dyDescent="0.3">
      <c r="A246" s="6" t="s">
        <v>1867</v>
      </c>
      <c r="B246" s="7" t="s">
        <v>127</v>
      </c>
      <c r="C246" s="7" t="s">
        <v>727</v>
      </c>
      <c r="D246" s="7" t="s">
        <v>12</v>
      </c>
      <c r="E246" s="7" t="s">
        <v>1024</v>
      </c>
      <c r="F246" s="7" t="s">
        <v>1025</v>
      </c>
      <c r="G246" s="7" t="s">
        <v>1868</v>
      </c>
      <c r="H246" s="7">
        <v>1</v>
      </c>
      <c r="I246" s="7" t="s">
        <v>1871</v>
      </c>
      <c r="J246" s="7" t="s">
        <v>1872</v>
      </c>
    </row>
    <row r="247" spans="1:10" x14ac:dyDescent="0.3">
      <c r="A247" s="6" t="s">
        <v>1027</v>
      </c>
      <c r="B247" s="7" t="s">
        <v>127</v>
      </c>
      <c r="C247" s="7" t="s">
        <v>727</v>
      </c>
      <c r="D247" s="7" t="s">
        <v>12</v>
      </c>
      <c r="E247" s="7" t="s">
        <v>1024</v>
      </c>
      <c r="F247" s="7" t="s">
        <v>1025</v>
      </c>
      <c r="G247" s="7" t="s">
        <v>1028</v>
      </c>
      <c r="H247" s="7">
        <v>9</v>
      </c>
      <c r="I247" s="7" t="s">
        <v>1029</v>
      </c>
      <c r="J247" s="7" t="s">
        <v>1030</v>
      </c>
    </row>
    <row r="248" spans="1:10" x14ac:dyDescent="0.3">
      <c r="A248" s="6" t="s">
        <v>1031</v>
      </c>
      <c r="B248" s="7" t="s">
        <v>127</v>
      </c>
      <c r="C248" s="7" t="s">
        <v>727</v>
      </c>
      <c r="D248" s="7" t="s">
        <v>12</v>
      </c>
      <c r="E248" s="7" t="s">
        <v>1024</v>
      </c>
      <c r="F248" s="7" t="s">
        <v>1025</v>
      </c>
      <c r="G248" s="7" t="s">
        <v>1032</v>
      </c>
      <c r="H248" s="7">
        <v>3</v>
      </c>
      <c r="I248" s="7" t="s">
        <v>99</v>
      </c>
      <c r="J248" s="7" t="s">
        <v>593</v>
      </c>
    </row>
    <row r="249" spans="1:10" x14ac:dyDescent="0.3">
      <c r="A249" s="6" t="s">
        <v>1862</v>
      </c>
      <c r="B249" s="7" t="s">
        <v>127</v>
      </c>
      <c r="C249" s="7" t="s">
        <v>727</v>
      </c>
      <c r="D249" s="7" t="s">
        <v>12</v>
      </c>
      <c r="E249" s="7" t="s">
        <v>1024</v>
      </c>
      <c r="F249" s="7" t="s">
        <v>1025</v>
      </c>
      <c r="G249" s="7" t="s">
        <v>1863</v>
      </c>
      <c r="H249" s="7">
        <v>9</v>
      </c>
      <c r="I249" s="7" t="s">
        <v>339</v>
      </c>
      <c r="J249" s="7" t="s">
        <v>294</v>
      </c>
    </row>
    <row r="250" spans="1:10" x14ac:dyDescent="0.3">
      <c r="A250" s="6" t="s">
        <v>1041</v>
      </c>
      <c r="B250" s="7" t="s">
        <v>127</v>
      </c>
      <c r="C250" s="7" t="s">
        <v>727</v>
      </c>
      <c r="D250" s="7" t="s">
        <v>12</v>
      </c>
      <c r="E250" s="7" t="s">
        <v>1034</v>
      </c>
      <c r="F250" s="7" t="s">
        <v>1035</v>
      </c>
      <c r="G250" s="7" t="s">
        <v>1042</v>
      </c>
      <c r="H250" s="7">
        <v>45</v>
      </c>
      <c r="I250" s="7" t="s">
        <v>336</v>
      </c>
      <c r="J250" s="7" t="s">
        <v>1043</v>
      </c>
    </row>
    <row r="251" spans="1:10" x14ac:dyDescent="0.3">
      <c r="A251" s="6" t="s">
        <v>1033</v>
      </c>
      <c r="B251" s="7" t="s">
        <v>127</v>
      </c>
      <c r="C251" s="7" t="s">
        <v>727</v>
      </c>
      <c r="D251" s="7" t="s">
        <v>12</v>
      </c>
      <c r="E251" s="7" t="s">
        <v>1034</v>
      </c>
      <c r="F251" s="7" t="s">
        <v>1035</v>
      </c>
      <c r="G251" s="7" t="s">
        <v>1036</v>
      </c>
      <c r="H251" s="7">
        <v>11</v>
      </c>
      <c r="I251" s="7" t="s">
        <v>811</v>
      </c>
      <c r="J251" s="7" t="s">
        <v>1037</v>
      </c>
    </row>
    <row r="252" spans="1:10" x14ac:dyDescent="0.3">
      <c r="A252" s="6" t="s">
        <v>1038</v>
      </c>
      <c r="B252" s="7" t="s">
        <v>127</v>
      </c>
      <c r="C252" s="7" t="s">
        <v>727</v>
      </c>
      <c r="D252" s="7" t="s">
        <v>12</v>
      </c>
      <c r="E252" s="7" t="s">
        <v>1034</v>
      </c>
      <c r="F252" s="7" t="s">
        <v>1035</v>
      </c>
      <c r="G252" s="7" t="s">
        <v>1039</v>
      </c>
      <c r="H252" s="7">
        <v>33</v>
      </c>
      <c r="I252" s="7" t="s">
        <v>770</v>
      </c>
      <c r="J252" s="7" t="s">
        <v>1040</v>
      </c>
    </row>
    <row r="253" spans="1:10" x14ac:dyDescent="0.3">
      <c r="A253" s="6" t="s">
        <v>960</v>
      </c>
      <c r="B253" s="7" t="s">
        <v>127</v>
      </c>
      <c r="C253" s="7" t="s">
        <v>727</v>
      </c>
      <c r="D253" s="7" t="s">
        <v>12</v>
      </c>
      <c r="E253" s="7" t="s">
        <v>961</v>
      </c>
      <c r="F253" s="7" t="s">
        <v>962</v>
      </c>
      <c r="G253" s="7" t="s">
        <v>963</v>
      </c>
      <c r="H253" s="7"/>
      <c r="I253" s="7" t="s">
        <v>964</v>
      </c>
      <c r="J253" s="7" t="s">
        <v>304</v>
      </c>
    </row>
    <row r="254" spans="1:10" x14ac:dyDescent="0.3">
      <c r="A254" s="6" t="s">
        <v>1873</v>
      </c>
      <c r="B254" s="7" t="s">
        <v>127</v>
      </c>
      <c r="C254" s="7" t="s">
        <v>727</v>
      </c>
      <c r="D254" s="7" t="s">
        <v>12</v>
      </c>
      <c r="E254" s="7" t="s">
        <v>582</v>
      </c>
      <c r="F254" s="7" t="s">
        <v>718</v>
      </c>
      <c r="G254" s="7" t="s">
        <v>1874</v>
      </c>
      <c r="H254" s="7">
        <v>52</v>
      </c>
      <c r="I254" s="7" t="s">
        <v>1878</v>
      </c>
      <c r="J254" s="7" t="s">
        <v>1218</v>
      </c>
    </row>
    <row r="255" spans="1:10" x14ac:dyDescent="0.3">
      <c r="A255" s="6" t="s">
        <v>968</v>
      </c>
      <c r="B255" s="7" t="s">
        <v>127</v>
      </c>
      <c r="C255" s="7" t="s">
        <v>727</v>
      </c>
      <c r="D255" s="7" t="s">
        <v>12</v>
      </c>
      <c r="E255" s="7" t="s">
        <v>969</v>
      </c>
      <c r="F255" s="7" t="s">
        <v>970</v>
      </c>
      <c r="G255" s="7" t="s">
        <v>971</v>
      </c>
      <c r="H255" s="7">
        <v>4</v>
      </c>
      <c r="I255" s="7" t="s">
        <v>324</v>
      </c>
      <c r="J255" s="7" t="s">
        <v>505</v>
      </c>
    </row>
    <row r="256" spans="1:10" x14ac:dyDescent="0.3">
      <c r="A256" s="6" t="s">
        <v>990</v>
      </c>
      <c r="B256" s="7" t="s">
        <v>127</v>
      </c>
      <c r="C256" s="7" t="s">
        <v>727</v>
      </c>
      <c r="D256" s="7" t="s">
        <v>12</v>
      </c>
      <c r="E256" s="7" t="s">
        <v>987</v>
      </c>
      <c r="F256" s="7" t="s">
        <v>988</v>
      </c>
      <c r="G256" s="7" t="s">
        <v>991</v>
      </c>
      <c r="H256" s="7">
        <v>0</v>
      </c>
      <c r="I256" s="7" t="s">
        <v>992</v>
      </c>
      <c r="J256" s="7" t="s">
        <v>294</v>
      </c>
    </row>
    <row r="257" spans="1:10" x14ac:dyDescent="0.3">
      <c r="A257" s="6" t="s">
        <v>986</v>
      </c>
      <c r="B257" s="7" t="s">
        <v>127</v>
      </c>
      <c r="C257" s="7" t="s">
        <v>727</v>
      </c>
      <c r="D257" s="7" t="s">
        <v>12</v>
      </c>
      <c r="E257" s="7" t="s">
        <v>987</v>
      </c>
      <c r="F257" s="7" t="s">
        <v>988</v>
      </c>
      <c r="G257" s="7" t="s">
        <v>989</v>
      </c>
      <c r="H257" s="7"/>
      <c r="I257" s="7" t="s">
        <v>324</v>
      </c>
      <c r="J257" s="7" t="s">
        <v>497</v>
      </c>
    </row>
    <row r="258" spans="1:10" ht="15" x14ac:dyDescent="0.3">
      <c r="A258" s="10"/>
      <c r="B258" s="11"/>
      <c r="C258" s="11"/>
      <c r="D258" s="11" t="s">
        <v>2541</v>
      </c>
      <c r="E258" s="11" t="s">
        <v>2534</v>
      </c>
      <c r="F258" s="11"/>
      <c r="G258" s="11" t="s">
        <v>2542</v>
      </c>
      <c r="H258" s="11">
        <v>832</v>
      </c>
      <c r="I258" s="11"/>
      <c r="J258" s="11"/>
    </row>
    <row r="259" spans="1:10" x14ac:dyDescent="0.3">
      <c r="A259" s="6" t="s">
        <v>1910</v>
      </c>
      <c r="B259" s="7" t="s">
        <v>127</v>
      </c>
      <c r="C259" s="7" t="s">
        <v>1045</v>
      </c>
      <c r="D259" s="7" t="s">
        <v>13</v>
      </c>
      <c r="E259" s="7" t="s">
        <v>1911</v>
      </c>
      <c r="F259" s="7" t="s">
        <v>430</v>
      </c>
      <c r="G259" s="7" t="s">
        <v>88</v>
      </c>
      <c r="H259" s="7">
        <v>61</v>
      </c>
      <c r="I259" s="7" t="s">
        <v>90</v>
      </c>
      <c r="J259" s="7"/>
    </row>
    <row r="260" spans="1:10" x14ac:dyDescent="0.3">
      <c r="A260" s="6" t="s">
        <v>1058</v>
      </c>
      <c r="B260" s="7" t="s">
        <v>127</v>
      </c>
      <c r="C260" s="7" t="s">
        <v>1045</v>
      </c>
      <c r="D260" s="7" t="s">
        <v>13</v>
      </c>
      <c r="E260" s="7" t="s">
        <v>752</v>
      </c>
      <c r="F260" s="7" t="s">
        <v>753</v>
      </c>
      <c r="G260" s="7" t="s">
        <v>1059</v>
      </c>
      <c r="H260" s="7">
        <v>45</v>
      </c>
      <c r="I260" s="7" t="s">
        <v>660</v>
      </c>
      <c r="J260" s="7" t="s">
        <v>661</v>
      </c>
    </row>
    <row r="261" spans="1:10" x14ac:dyDescent="0.3">
      <c r="A261" s="6" t="s">
        <v>1060</v>
      </c>
      <c r="B261" s="7" t="s">
        <v>127</v>
      </c>
      <c r="C261" s="7" t="s">
        <v>1045</v>
      </c>
      <c r="D261" s="7" t="s">
        <v>13</v>
      </c>
      <c r="E261" s="7" t="s">
        <v>752</v>
      </c>
      <c r="F261" s="7" t="s">
        <v>753</v>
      </c>
      <c r="G261" s="7" t="s">
        <v>1061</v>
      </c>
      <c r="H261" s="7">
        <v>8</v>
      </c>
      <c r="I261" s="7" t="s">
        <v>1062</v>
      </c>
      <c r="J261" s="7" t="s">
        <v>1063</v>
      </c>
    </row>
    <row r="262" spans="1:10" x14ac:dyDescent="0.3">
      <c r="A262" s="6" t="s">
        <v>1055</v>
      </c>
      <c r="B262" s="7" t="s">
        <v>127</v>
      </c>
      <c r="C262" s="7" t="s">
        <v>1045</v>
      </c>
      <c r="D262" s="7" t="s">
        <v>13</v>
      </c>
      <c r="E262" s="7" t="s">
        <v>752</v>
      </c>
      <c r="F262" s="7" t="s">
        <v>753</v>
      </c>
      <c r="G262" s="7" t="s">
        <v>1056</v>
      </c>
      <c r="H262" s="7">
        <v>8</v>
      </c>
      <c r="I262" s="7" t="s">
        <v>1057</v>
      </c>
      <c r="J262" s="7" t="s">
        <v>304</v>
      </c>
    </row>
    <row r="263" spans="1:10" x14ac:dyDescent="0.3">
      <c r="A263" s="6" t="s">
        <v>1044</v>
      </c>
      <c r="B263" s="7" t="s">
        <v>127</v>
      </c>
      <c r="C263" s="7" t="s">
        <v>1045</v>
      </c>
      <c r="D263" s="7" t="s">
        <v>13</v>
      </c>
      <c r="E263" s="7" t="s">
        <v>1046</v>
      </c>
      <c r="F263" s="7" t="s">
        <v>174</v>
      </c>
      <c r="G263" s="7" t="s">
        <v>1047</v>
      </c>
      <c r="H263" s="7">
        <v>24</v>
      </c>
      <c r="I263" s="7" t="s">
        <v>1048</v>
      </c>
      <c r="J263" s="7" t="s">
        <v>404</v>
      </c>
    </row>
    <row r="264" spans="1:10" x14ac:dyDescent="0.3">
      <c r="A264" s="6" t="s">
        <v>1886</v>
      </c>
      <c r="B264" s="7" t="s">
        <v>127</v>
      </c>
      <c r="C264" s="7" t="s">
        <v>1045</v>
      </c>
      <c r="D264" s="7" t="s">
        <v>13</v>
      </c>
      <c r="E264" s="7" t="s">
        <v>1887</v>
      </c>
      <c r="F264" s="7" t="s">
        <v>1888</v>
      </c>
      <c r="G264" s="7" t="s">
        <v>1889</v>
      </c>
      <c r="H264" s="7">
        <v>1</v>
      </c>
      <c r="I264" s="7" t="s">
        <v>1891</v>
      </c>
      <c r="J264" s="7" t="s">
        <v>304</v>
      </c>
    </row>
    <row r="265" spans="1:10" x14ac:dyDescent="0.3">
      <c r="A265" s="6" t="s">
        <v>1879</v>
      </c>
      <c r="B265" s="7" t="s">
        <v>127</v>
      </c>
      <c r="C265" s="7" t="s">
        <v>1045</v>
      </c>
      <c r="D265" s="7" t="s">
        <v>13</v>
      </c>
      <c r="E265" s="7" t="s">
        <v>1880</v>
      </c>
      <c r="F265" s="7" t="s">
        <v>1881</v>
      </c>
      <c r="G265" s="7" t="s">
        <v>1882</v>
      </c>
      <c r="H265" s="7">
        <v>1</v>
      </c>
      <c r="I265" s="7" t="s">
        <v>1885</v>
      </c>
      <c r="J265" s="7" t="s">
        <v>304</v>
      </c>
    </row>
    <row r="266" spans="1:10" x14ac:dyDescent="0.3">
      <c r="A266" s="6" t="s">
        <v>1915</v>
      </c>
      <c r="B266" s="7" t="s">
        <v>127</v>
      </c>
      <c r="C266" s="7" t="s">
        <v>1045</v>
      </c>
      <c r="D266" s="7" t="s">
        <v>13</v>
      </c>
      <c r="E266" s="7" t="s">
        <v>1916</v>
      </c>
      <c r="F266" s="7" t="s">
        <v>460</v>
      </c>
      <c r="G266" s="7" t="s">
        <v>1917</v>
      </c>
      <c r="H266" s="7">
        <v>1</v>
      </c>
      <c r="I266" s="7" t="s">
        <v>1919</v>
      </c>
      <c r="J266" s="7" t="s">
        <v>304</v>
      </c>
    </row>
    <row r="267" spans="1:10" x14ac:dyDescent="0.3">
      <c r="A267" s="6" t="s">
        <v>1920</v>
      </c>
      <c r="B267" s="7" t="s">
        <v>127</v>
      </c>
      <c r="C267" s="7" t="s">
        <v>1045</v>
      </c>
      <c r="D267" s="7" t="s">
        <v>13</v>
      </c>
      <c r="E267" s="7" t="s">
        <v>1921</v>
      </c>
      <c r="F267" s="7" t="s">
        <v>1922</v>
      </c>
      <c r="G267" s="7" t="s">
        <v>1923</v>
      </c>
      <c r="H267" s="7">
        <v>1</v>
      </c>
      <c r="I267" s="7" t="s">
        <v>1919</v>
      </c>
      <c r="J267" s="7" t="s">
        <v>304</v>
      </c>
    </row>
    <row r="268" spans="1:10" x14ac:dyDescent="0.3">
      <c r="A268" s="6" t="s">
        <v>1163</v>
      </c>
      <c r="B268" s="7" t="s">
        <v>127</v>
      </c>
      <c r="C268" s="7" t="s">
        <v>1045</v>
      </c>
      <c r="D268" s="7" t="s">
        <v>13</v>
      </c>
      <c r="E268" s="7" t="s">
        <v>1164</v>
      </c>
      <c r="F268" s="7" t="s">
        <v>1165</v>
      </c>
      <c r="G268" s="7" t="s">
        <v>1166</v>
      </c>
      <c r="H268" s="7">
        <v>4</v>
      </c>
      <c r="I268" s="7" t="s">
        <v>1077</v>
      </c>
      <c r="J268" s="7" t="s">
        <v>612</v>
      </c>
    </row>
    <row r="269" spans="1:10" x14ac:dyDescent="0.3">
      <c r="A269" s="6" t="s">
        <v>1170</v>
      </c>
      <c r="B269" s="7" t="s">
        <v>127</v>
      </c>
      <c r="C269" s="7" t="s">
        <v>1045</v>
      </c>
      <c r="D269" s="7" t="s">
        <v>13</v>
      </c>
      <c r="E269" s="7" t="s">
        <v>1171</v>
      </c>
      <c r="F269" s="7" t="s">
        <v>1172</v>
      </c>
      <c r="G269" s="7" t="s">
        <v>1173</v>
      </c>
      <c r="H269" s="7">
        <v>4</v>
      </c>
      <c r="I269" s="7" t="s">
        <v>604</v>
      </c>
      <c r="J269" s="7" t="s">
        <v>1174</v>
      </c>
    </row>
    <row r="270" spans="1:10" x14ac:dyDescent="0.3">
      <c r="A270" s="6" t="s">
        <v>1053</v>
      </c>
      <c r="B270" s="7" t="s">
        <v>127</v>
      </c>
      <c r="C270" s="7" t="s">
        <v>1045</v>
      </c>
      <c r="D270" s="7" t="s">
        <v>13</v>
      </c>
      <c r="E270" s="7" t="s">
        <v>752</v>
      </c>
      <c r="F270" s="7" t="s">
        <v>753</v>
      </c>
      <c r="G270" s="7" t="s">
        <v>1054</v>
      </c>
      <c r="H270" s="7">
        <v>5</v>
      </c>
      <c r="I270" s="7" t="s">
        <v>318</v>
      </c>
      <c r="J270" s="7" t="s">
        <v>132</v>
      </c>
    </row>
    <row r="271" spans="1:10" x14ac:dyDescent="0.3">
      <c r="A271" s="6" t="s">
        <v>1175</v>
      </c>
      <c r="B271" s="7" t="s">
        <v>127</v>
      </c>
      <c r="C271" s="7" t="s">
        <v>1045</v>
      </c>
      <c r="D271" s="7" t="s">
        <v>13</v>
      </c>
      <c r="E271" s="7" t="s">
        <v>1176</v>
      </c>
      <c r="F271" s="7" t="s">
        <v>962</v>
      </c>
      <c r="G271" s="7" t="s">
        <v>1177</v>
      </c>
      <c r="H271" s="7">
        <v>7</v>
      </c>
      <c r="I271" s="7" t="s">
        <v>1178</v>
      </c>
      <c r="J271" s="7" t="s">
        <v>1179</v>
      </c>
    </row>
    <row r="272" spans="1:10" x14ac:dyDescent="0.3">
      <c r="A272" s="6" t="s">
        <v>1180</v>
      </c>
      <c r="B272" s="7" t="s">
        <v>127</v>
      </c>
      <c r="C272" s="7" t="s">
        <v>1045</v>
      </c>
      <c r="D272" s="7" t="s">
        <v>13</v>
      </c>
      <c r="E272" s="7" t="s">
        <v>1181</v>
      </c>
      <c r="F272" s="7" t="s">
        <v>1182</v>
      </c>
      <c r="G272" s="7" t="s">
        <v>1183</v>
      </c>
      <c r="H272" s="7">
        <v>7</v>
      </c>
      <c r="I272" s="7" t="s">
        <v>1184</v>
      </c>
      <c r="J272" s="7" t="s">
        <v>1185</v>
      </c>
    </row>
    <row r="273" spans="1:10" x14ac:dyDescent="0.3">
      <c r="A273" s="6" t="s">
        <v>1192</v>
      </c>
      <c r="B273" s="7" t="s">
        <v>127</v>
      </c>
      <c r="C273" s="7" t="s">
        <v>1045</v>
      </c>
      <c r="D273" s="7" t="s">
        <v>13</v>
      </c>
      <c r="E273" s="7" t="s">
        <v>1193</v>
      </c>
      <c r="F273" s="7" t="s">
        <v>1194</v>
      </c>
      <c r="G273" s="7" t="s">
        <v>1195</v>
      </c>
      <c r="H273" s="7">
        <v>20</v>
      </c>
      <c r="I273" s="7" t="s">
        <v>1196</v>
      </c>
      <c r="J273" s="7" t="s">
        <v>955</v>
      </c>
    </row>
    <row r="274" spans="1:10" x14ac:dyDescent="0.3">
      <c r="A274" s="6" t="s">
        <v>1925</v>
      </c>
      <c r="B274" s="7" t="s">
        <v>127</v>
      </c>
      <c r="C274" s="7" t="s">
        <v>1045</v>
      </c>
      <c r="D274" s="7" t="s">
        <v>13</v>
      </c>
      <c r="E274" s="7" t="s">
        <v>1193</v>
      </c>
      <c r="F274" s="7" t="s">
        <v>1194</v>
      </c>
      <c r="G274" s="7" t="s">
        <v>1926</v>
      </c>
      <c r="H274" s="7">
        <v>27</v>
      </c>
      <c r="I274" s="7" t="s">
        <v>165</v>
      </c>
      <c r="J274" s="7" t="s">
        <v>542</v>
      </c>
    </row>
    <row r="275" spans="1:10" x14ac:dyDescent="0.3">
      <c r="A275" s="6" t="s">
        <v>1186</v>
      </c>
      <c r="B275" s="7" t="s">
        <v>127</v>
      </c>
      <c r="C275" s="7" t="s">
        <v>1045</v>
      </c>
      <c r="D275" s="7" t="s">
        <v>13</v>
      </c>
      <c r="E275" s="7" t="s">
        <v>1187</v>
      </c>
      <c r="F275" s="7" t="s">
        <v>1188</v>
      </c>
      <c r="G275" s="7" t="s">
        <v>1189</v>
      </c>
      <c r="H275" s="7">
        <v>64</v>
      </c>
      <c r="I275" s="7" t="s">
        <v>1190</v>
      </c>
      <c r="J275" s="7" t="s">
        <v>1191</v>
      </c>
    </row>
    <row r="276" spans="1:10" x14ac:dyDescent="0.3">
      <c r="A276" s="6" t="s">
        <v>1197</v>
      </c>
      <c r="B276" s="7" t="s">
        <v>127</v>
      </c>
      <c r="C276" s="7" t="s">
        <v>1045</v>
      </c>
      <c r="D276" s="7" t="s">
        <v>13</v>
      </c>
      <c r="E276" s="7" t="s">
        <v>1198</v>
      </c>
      <c r="F276" s="7" t="s">
        <v>1035</v>
      </c>
      <c r="G276" s="7" t="s">
        <v>1199</v>
      </c>
      <c r="H276" s="7">
        <v>27</v>
      </c>
      <c r="I276" s="7" t="s">
        <v>1200</v>
      </c>
      <c r="J276" s="7" t="s">
        <v>1201</v>
      </c>
    </row>
    <row r="277" spans="1:10" x14ac:dyDescent="0.3">
      <c r="A277" s="6" t="s">
        <v>1930</v>
      </c>
      <c r="B277" s="7" t="s">
        <v>127</v>
      </c>
      <c r="C277" s="7" t="s">
        <v>1045</v>
      </c>
      <c r="D277" s="7" t="s">
        <v>13</v>
      </c>
      <c r="E277" s="7" t="s">
        <v>1931</v>
      </c>
      <c r="F277" s="7" t="s">
        <v>1932</v>
      </c>
      <c r="G277" s="7" t="s">
        <v>1933</v>
      </c>
      <c r="H277" s="7">
        <v>9</v>
      </c>
      <c r="I277" s="7" t="s">
        <v>90</v>
      </c>
      <c r="J277" s="7" t="s">
        <v>304</v>
      </c>
    </row>
    <row r="278" spans="1:10" x14ac:dyDescent="0.3">
      <c r="A278" s="6" t="s">
        <v>1167</v>
      </c>
      <c r="B278" s="7" t="s">
        <v>127</v>
      </c>
      <c r="C278" s="7" t="s">
        <v>1045</v>
      </c>
      <c r="D278" s="7" t="s">
        <v>13</v>
      </c>
      <c r="E278" s="7" t="s">
        <v>957</v>
      </c>
      <c r="F278" s="7" t="s">
        <v>958</v>
      </c>
      <c r="G278" s="7" t="s">
        <v>1168</v>
      </c>
      <c r="H278" s="7">
        <v>5</v>
      </c>
      <c r="I278" s="7" t="s">
        <v>1169</v>
      </c>
      <c r="J278" s="7" t="s">
        <v>612</v>
      </c>
    </row>
    <row r="279" spans="1:10" x14ac:dyDescent="0.3">
      <c r="A279" s="6" t="s">
        <v>1064</v>
      </c>
      <c r="B279" s="7" t="s">
        <v>127</v>
      </c>
      <c r="C279" s="7" t="s">
        <v>1045</v>
      </c>
      <c r="D279" s="7" t="s">
        <v>13</v>
      </c>
      <c r="E279" s="7" t="s">
        <v>752</v>
      </c>
      <c r="F279" s="7" t="s">
        <v>753</v>
      </c>
      <c r="G279" s="7" t="s">
        <v>1065</v>
      </c>
      <c r="H279" s="7">
        <v>5</v>
      </c>
      <c r="I279" s="7" t="s">
        <v>1066</v>
      </c>
      <c r="J279" s="7" t="s">
        <v>537</v>
      </c>
    </row>
    <row r="280" spans="1:10" x14ac:dyDescent="0.3">
      <c r="A280" s="6" t="s">
        <v>1049</v>
      </c>
      <c r="B280" s="7" t="s">
        <v>127</v>
      </c>
      <c r="C280" s="7" t="s">
        <v>1045</v>
      </c>
      <c r="D280" s="7" t="s">
        <v>13</v>
      </c>
      <c r="E280" s="7" t="s">
        <v>1050</v>
      </c>
      <c r="F280" s="7" t="s">
        <v>194</v>
      </c>
      <c r="G280" s="7" t="s">
        <v>1051</v>
      </c>
      <c r="H280" s="7">
        <v>38</v>
      </c>
      <c r="I280" s="7" t="s">
        <v>1052</v>
      </c>
      <c r="J280" s="7" t="s">
        <v>199</v>
      </c>
    </row>
    <row r="281" spans="1:10" x14ac:dyDescent="0.3">
      <c r="A281" s="6" t="s">
        <v>1067</v>
      </c>
      <c r="B281" s="7" t="s">
        <v>127</v>
      </c>
      <c r="C281" s="7" t="s">
        <v>1045</v>
      </c>
      <c r="D281" s="7" t="s">
        <v>13</v>
      </c>
      <c r="E281" s="7" t="s">
        <v>1068</v>
      </c>
      <c r="F281" s="7" t="s">
        <v>1069</v>
      </c>
      <c r="G281" s="7" t="s">
        <v>1070</v>
      </c>
      <c r="H281" s="7">
        <v>2</v>
      </c>
      <c r="I281" s="7" t="s">
        <v>1071</v>
      </c>
      <c r="J281" s="7" t="s">
        <v>1072</v>
      </c>
    </row>
    <row r="282" spans="1:10" x14ac:dyDescent="0.3">
      <c r="A282" s="6" t="s">
        <v>1155</v>
      </c>
      <c r="B282" s="7" t="s">
        <v>127</v>
      </c>
      <c r="C282" s="7" t="s">
        <v>1045</v>
      </c>
      <c r="D282" s="7" t="s">
        <v>13</v>
      </c>
      <c r="E282" s="7" t="s">
        <v>440</v>
      </c>
      <c r="F282" s="7" t="s">
        <v>1156</v>
      </c>
      <c r="G282" s="7" t="s">
        <v>1157</v>
      </c>
      <c r="H282" s="7">
        <v>3</v>
      </c>
      <c r="I282" s="7" t="s">
        <v>1158</v>
      </c>
      <c r="J282" s="7" t="s">
        <v>1159</v>
      </c>
    </row>
    <row r="283" spans="1:10" x14ac:dyDescent="0.3">
      <c r="A283" s="6" t="s">
        <v>1146</v>
      </c>
      <c r="B283" s="7" t="s">
        <v>127</v>
      </c>
      <c r="C283" s="7" t="s">
        <v>1045</v>
      </c>
      <c r="D283" s="7" t="s">
        <v>13</v>
      </c>
      <c r="E283" s="7" t="s">
        <v>1147</v>
      </c>
      <c r="F283" s="7" t="s">
        <v>1148</v>
      </c>
      <c r="G283" s="7" t="s">
        <v>1149</v>
      </c>
      <c r="H283" s="7">
        <v>30</v>
      </c>
      <c r="I283" s="7" t="s">
        <v>1150</v>
      </c>
      <c r="J283" s="7" t="s">
        <v>696</v>
      </c>
    </row>
    <row r="284" spans="1:10" x14ac:dyDescent="0.3">
      <c r="A284" s="6" t="s">
        <v>1140</v>
      </c>
      <c r="B284" s="7" t="s">
        <v>127</v>
      </c>
      <c r="C284" s="7" t="s">
        <v>1045</v>
      </c>
      <c r="D284" s="7" t="s">
        <v>13</v>
      </c>
      <c r="E284" s="7" t="s">
        <v>1141</v>
      </c>
      <c r="F284" s="7" t="s">
        <v>1142</v>
      </c>
      <c r="G284" s="7" t="s">
        <v>1143</v>
      </c>
      <c r="H284" s="7">
        <v>23</v>
      </c>
      <c r="I284" s="7" t="s">
        <v>1144</v>
      </c>
      <c r="J284" s="7" t="s">
        <v>1145</v>
      </c>
    </row>
    <row r="285" spans="1:10" x14ac:dyDescent="0.3">
      <c r="A285" s="6" t="s">
        <v>1136</v>
      </c>
      <c r="B285" s="7" t="s">
        <v>127</v>
      </c>
      <c r="C285" s="7" t="s">
        <v>1045</v>
      </c>
      <c r="D285" s="7" t="s">
        <v>13</v>
      </c>
      <c r="E285" s="7" t="s">
        <v>81</v>
      </c>
      <c r="F285" s="7" t="s">
        <v>377</v>
      </c>
      <c r="G285" s="7" t="s">
        <v>1137</v>
      </c>
      <c r="H285" s="7">
        <v>28</v>
      </c>
      <c r="I285" s="7" t="s">
        <v>1138</v>
      </c>
      <c r="J285" s="7" t="s">
        <v>1139</v>
      </c>
    </row>
    <row r="286" spans="1:10" x14ac:dyDescent="0.3">
      <c r="A286" s="6" t="s">
        <v>1127</v>
      </c>
      <c r="B286" s="7" t="s">
        <v>127</v>
      </c>
      <c r="C286" s="7" t="s">
        <v>1045</v>
      </c>
      <c r="D286" s="7" t="s">
        <v>13</v>
      </c>
      <c r="E286" s="7" t="s">
        <v>1128</v>
      </c>
      <c r="F286" s="7" t="s">
        <v>664</v>
      </c>
      <c r="G286" s="7" t="s">
        <v>1129</v>
      </c>
      <c r="H286" s="7">
        <v>26</v>
      </c>
      <c r="I286" s="7" t="s">
        <v>1130</v>
      </c>
      <c r="J286" s="7" t="s">
        <v>1131</v>
      </c>
    </row>
    <row r="287" spans="1:10" x14ac:dyDescent="0.3">
      <c r="A287" s="6" t="s">
        <v>1132</v>
      </c>
      <c r="B287" s="7" t="s">
        <v>127</v>
      </c>
      <c r="C287" s="7" t="s">
        <v>1045</v>
      </c>
      <c r="D287" s="7" t="s">
        <v>13</v>
      </c>
      <c r="E287" s="7" t="s">
        <v>1128</v>
      </c>
      <c r="F287" s="7" t="s">
        <v>664</v>
      </c>
      <c r="G287" s="7" t="s">
        <v>1133</v>
      </c>
      <c r="H287" s="7">
        <v>5</v>
      </c>
      <c r="I287" s="7" t="s">
        <v>1134</v>
      </c>
      <c r="J287" s="7" t="s">
        <v>1135</v>
      </c>
    </row>
    <row r="288" spans="1:10" x14ac:dyDescent="0.3">
      <c r="A288" s="6" t="s">
        <v>1903</v>
      </c>
      <c r="B288" s="7" t="s">
        <v>127</v>
      </c>
      <c r="C288" s="7" t="s">
        <v>1045</v>
      </c>
      <c r="D288" s="7" t="s">
        <v>13</v>
      </c>
      <c r="E288" s="7" t="s">
        <v>1904</v>
      </c>
      <c r="F288" s="7" t="s">
        <v>1905</v>
      </c>
      <c r="G288" s="7" t="s">
        <v>1906</v>
      </c>
      <c r="H288" s="7">
        <v>14</v>
      </c>
      <c r="I288" s="7" t="s">
        <v>1071</v>
      </c>
      <c r="J288" s="7" t="s">
        <v>750</v>
      </c>
    </row>
    <row r="289" spans="1:10" x14ac:dyDescent="0.3">
      <c r="A289" s="6" t="s">
        <v>1896</v>
      </c>
      <c r="B289" s="7" t="s">
        <v>127</v>
      </c>
      <c r="C289" s="7" t="s">
        <v>1045</v>
      </c>
      <c r="D289" s="7" t="s">
        <v>13</v>
      </c>
      <c r="E289" s="7" t="s">
        <v>1897</v>
      </c>
      <c r="F289" s="7" t="s">
        <v>322</v>
      </c>
      <c r="G289" s="7" t="s">
        <v>1898</v>
      </c>
      <c r="H289" s="7">
        <v>2</v>
      </c>
      <c r="I289" s="7" t="s">
        <v>1902</v>
      </c>
      <c r="J289" s="7" t="s">
        <v>404</v>
      </c>
    </row>
    <row r="290" spans="1:10" x14ac:dyDescent="0.3">
      <c r="A290" s="6" t="s">
        <v>1122</v>
      </c>
      <c r="B290" s="7" t="s">
        <v>127</v>
      </c>
      <c r="C290" s="7" t="s">
        <v>1045</v>
      </c>
      <c r="D290" s="7" t="s">
        <v>13</v>
      </c>
      <c r="E290" s="7" t="s">
        <v>1123</v>
      </c>
      <c r="F290" s="7" t="s">
        <v>1124</v>
      </c>
      <c r="G290" s="7" t="s">
        <v>1125</v>
      </c>
      <c r="H290" s="7">
        <v>1</v>
      </c>
      <c r="I290" s="7" t="s">
        <v>1126</v>
      </c>
      <c r="J290" s="7" t="s">
        <v>955</v>
      </c>
    </row>
    <row r="291" spans="1:10" x14ac:dyDescent="0.3">
      <c r="A291" s="6" t="s">
        <v>1110</v>
      </c>
      <c r="B291" s="7" t="s">
        <v>127</v>
      </c>
      <c r="C291" s="7" t="s">
        <v>1045</v>
      </c>
      <c r="D291" s="7" t="s">
        <v>13</v>
      </c>
      <c r="E291" s="7" t="s">
        <v>1103</v>
      </c>
      <c r="F291" s="7" t="s">
        <v>1104</v>
      </c>
      <c r="G291" s="7" t="s">
        <v>1111</v>
      </c>
      <c r="H291" s="7">
        <v>33</v>
      </c>
      <c r="I291" s="7" t="s">
        <v>82</v>
      </c>
      <c r="J291" s="7" t="s">
        <v>199</v>
      </c>
    </row>
    <row r="292" spans="1:10" x14ac:dyDescent="0.3">
      <c r="A292" s="6" t="s">
        <v>1913</v>
      </c>
      <c r="B292" s="7" t="s">
        <v>127</v>
      </c>
      <c r="C292" s="7" t="s">
        <v>1045</v>
      </c>
      <c r="D292" s="7" t="s">
        <v>13</v>
      </c>
      <c r="E292" s="7" t="s">
        <v>1914</v>
      </c>
      <c r="F292" s="7" t="s">
        <v>433</v>
      </c>
      <c r="G292" s="7" t="s">
        <v>88</v>
      </c>
      <c r="H292" s="7">
        <v>22</v>
      </c>
      <c r="I292" s="7" t="s">
        <v>90</v>
      </c>
      <c r="J292" s="7"/>
    </row>
    <row r="293" spans="1:10" x14ac:dyDescent="0.3">
      <c r="A293" s="6" t="s">
        <v>1102</v>
      </c>
      <c r="B293" s="7" t="s">
        <v>127</v>
      </c>
      <c r="C293" s="7" t="s">
        <v>1045</v>
      </c>
      <c r="D293" s="7" t="s">
        <v>13</v>
      </c>
      <c r="E293" s="7" t="s">
        <v>1103</v>
      </c>
      <c r="F293" s="7" t="s">
        <v>1104</v>
      </c>
      <c r="G293" s="7" t="s">
        <v>1105</v>
      </c>
      <c r="H293" s="7">
        <v>21</v>
      </c>
      <c r="I293" s="7" t="s">
        <v>308</v>
      </c>
      <c r="J293" s="7" t="s">
        <v>1106</v>
      </c>
    </row>
    <row r="294" spans="1:10" x14ac:dyDescent="0.3">
      <c r="A294" s="6" t="s">
        <v>1115</v>
      </c>
      <c r="B294" s="7" t="s">
        <v>127</v>
      </c>
      <c r="C294" s="7" t="s">
        <v>1045</v>
      </c>
      <c r="D294" s="7" t="s">
        <v>13</v>
      </c>
      <c r="E294" s="7" t="s">
        <v>1103</v>
      </c>
      <c r="F294" s="7" t="s">
        <v>1104</v>
      </c>
      <c r="G294" s="7" t="s">
        <v>1116</v>
      </c>
      <c r="H294" s="7">
        <v>26</v>
      </c>
      <c r="I294" s="7" t="s">
        <v>82</v>
      </c>
      <c r="J294" s="7" t="s">
        <v>199</v>
      </c>
    </row>
    <row r="295" spans="1:10" x14ac:dyDescent="0.3">
      <c r="A295" s="6" t="s">
        <v>1107</v>
      </c>
      <c r="B295" s="7" t="s">
        <v>127</v>
      </c>
      <c r="C295" s="7" t="s">
        <v>1045</v>
      </c>
      <c r="D295" s="7" t="s">
        <v>13</v>
      </c>
      <c r="E295" s="7" t="s">
        <v>1103</v>
      </c>
      <c r="F295" s="7" t="s">
        <v>1104</v>
      </c>
      <c r="G295" s="7" t="s">
        <v>1108</v>
      </c>
      <c r="H295" s="7">
        <v>5</v>
      </c>
      <c r="I295" s="7" t="s">
        <v>1109</v>
      </c>
      <c r="J295" s="7" t="s">
        <v>189</v>
      </c>
    </row>
    <row r="296" spans="1:10" x14ac:dyDescent="0.3">
      <c r="A296" s="6" t="s">
        <v>1160</v>
      </c>
      <c r="B296" s="7" t="s">
        <v>127</v>
      </c>
      <c r="C296" s="7" t="s">
        <v>1045</v>
      </c>
      <c r="D296" s="7" t="s">
        <v>13</v>
      </c>
      <c r="E296" s="7" t="s">
        <v>1161</v>
      </c>
      <c r="F296" s="7" t="s">
        <v>943</v>
      </c>
      <c r="G296" s="7" t="s">
        <v>1162</v>
      </c>
      <c r="H296" s="7">
        <v>6</v>
      </c>
      <c r="I296" s="7" t="s">
        <v>1077</v>
      </c>
      <c r="J296" s="7" t="s">
        <v>143</v>
      </c>
    </row>
    <row r="297" spans="1:10" x14ac:dyDescent="0.3">
      <c r="A297" s="6" t="s">
        <v>1117</v>
      </c>
      <c r="B297" s="7" t="s">
        <v>127</v>
      </c>
      <c r="C297" s="7" t="s">
        <v>1045</v>
      </c>
      <c r="D297" s="7" t="s">
        <v>13</v>
      </c>
      <c r="E297" s="7" t="s">
        <v>1118</v>
      </c>
      <c r="F297" s="7" t="s">
        <v>1119</v>
      </c>
      <c r="G297" s="7" t="s">
        <v>1120</v>
      </c>
      <c r="H297" s="7">
        <v>59</v>
      </c>
      <c r="I297" s="7" t="s">
        <v>188</v>
      </c>
      <c r="J297" s="7" t="s">
        <v>1121</v>
      </c>
    </row>
    <row r="298" spans="1:10" x14ac:dyDescent="0.3">
      <c r="A298" s="6" t="s">
        <v>1090</v>
      </c>
      <c r="B298" s="7" t="s">
        <v>127</v>
      </c>
      <c r="C298" s="7" t="s">
        <v>1045</v>
      </c>
      <c r="D298" s="7" t="s">
        <v>13</v>
      </c>
      <c r="E298" s="7" t="s">
        <v>1091</v>
      </c>
      <c r="F298" s="7" t="s">
        <v>1092</v>
      </c>
      <c r="G298" s="7" t="s">
        <v>1093</v>
      </c>
      <c r="H298" s="7">
        <v>5</v>
      </c>
      <c r="I298" s="7" t="s">
        <v>1094</v>
      </c>
      <c r="J298" s="7" t="s">
        <v>1095</v>
      </c>
    </row>
    <row r="299" spans="1:10" x14ac:dyDescent="0.3">
      <c r="A299" s="6" t="s">
        <v>1892</v>
      </c>
      <c r="B299" s="7" t="s">
        <v>127</v>
      </c>
      <c r="C299" s="7" t="s">
        <v>1045</v>
      </c>
      <c r="D299" s="7" t="s">
        <v>13</v>
      </c>
      <c r="E299" s="7" t="s">
        <v>1893</v>
      </c>
      <c r="F299" s="7" t="s">
        <v>1721</v>
      </c>
      <c r="G299" s="7" t="s">
        <v>1894</v>
      </c>
      <c r="H299" s="7">
        <v>6</v>
      </c>
      <c r="I299" s="7" t="s">
        <v>562</v>
      </c>
      <c r="J299" s="7" t="s">
        <v>143</v>
      </c>
    </row>
    <row r="300" spans="1:10" x14ac:dyDescent="0.3">
      <c r="A300" s="6" t="s">
        <v>1087</v>
      </c>
      <c r="B300" s="7" t="s">
        <v>127</v>
      </c>
      <c r="C300" s="7" t="s">
        <v>1045</v>
      </c>
      <c r="D300" s="7" t="s">
        <v>13</v>
      </c>
      <c r="E300" s="7" t="s">
        <v>1083</v>
      </c>
      <c r="F300" s="7" t="s">
        <v>897</v>
      </c>
      <c r="G300" s="7" t="s">
        <v>1088</v>
      </c>
      <c r="H300" s="7">
        <v>12</v>
      </c>
      <c r="I300" s="7" t="s">
        <v>1089</v>
      </c>
      <c r="J300" s="7" t="s">
        <v>199</v>
      </c>
    </row>
    <row r="301" spans="1:10" x14ac:dyDescent="0.3">
      <c r="A301" s="6" t="s">
        <v>1082</v>
      </c>
      <c r="B301" s="7" t="s">
        <v>127</v>
      </c>
      <c r="C301" s="7" t="s">
        <v>1045</v>
      </c>
      <c r="D301" s="7" t="s">
        <v>13</v>
      </c>
      <c r="E301" s="7" t="s">
        <v>1083</v>
      </c>
      <c r="F301" s="7" t="s">
        <v>897</v>
      </c>
      <c r="G301" s="7" t="s">
        <v>1084</v>
      </c>
      <c r="H301" s="7">
        <v>20</v>
      </c>
      <c r="I301" s="7" t="s">
        <v>1085</v>
      </c>
      <c r="J301" s="7" t="s">
        <v>1086</v>
      </c>
    </row>
    <row r="302" spans="1:10" x14ac:dyDescent="0.3">
      <c r="A302" s="6" t="s">
        <v>1078</v>
      </c>
      <c r="B302" s="7" t="s">
        <v>127</v>
      </c>
      <c r="C302" s="7" t="s">
        <v>1045</v>
      </c>
      <c r="D302" s="7" t="s">
        <v>13</v>
      </c>
      <c r="E302" s="7" t="s">
        <v>77</v>
      </c>
      <c r="F302" s="7" t="s">
        <v>226</v>
      </c>
      <c r="G302" s="7" t="s">
        <v>1079</v>
      </c>
      <c r="H302" s="7">
        <v>36</v>
      </c>
      <c r="I302" s="7" t="s">
        <v>1080</v>
      </c>
      <c r="J302" s="7" t="s">
        <v>1081</v>
      </c>
    </row>
    <row r="303" spans="1:10" x14ac:dyDescent="0.3">
      <c r="A303" s="6" t="s">
        <v>1073</v>
      </c>
      <c r="B303" s="7" t="s">
        <v>127</v>
      </c>
      <c r="C303" s="7" t="s">
        <v>1045</v>
      </c>
      <c r="D303" s="7" t="s">
        <v>13</v>
      </c>
      <c r="E303" s="7" t="s">
        <v>1074</v>
      </c>
      <c r="F303" s="7" t="s">
        <v>1075</v>
      </c>
      <c r="G303" s="7" t="s">
        <v>1076</v>
      </c>
      <c r="H303" s="7">
        <v>6</v>
      </c>
      <c r="I303" s="7" t="s">
        <v>1077</v>
      </c>
      <c r="J303" s="7" t="s">
        <v>319</v>
      </c>
    </row>
    <row r="304" spans="1:10" x14ac:dyDescent="0.3">
      <c r="A304" s="6" t="s">
        <v>1112</v>
      </c>
      <c r="B304" s="7" t="s">
        <v>127</v>
      </c>
      <c r="C304" s="7" t="s">
        <v>1045</v>
      </c>
      <c r="D304" s="7" t="s">
        <v>13</v>
      </c>
      <c r="E304" s="7" t="s">
        <v>1103</v>
      </c>
      <c r="F304" s="7" t="s">
        <v>1104</v>
      </c>
      <c r="G304" s="7" t="s">
        <v>1113</v>
      </c>
      <c r="H304" s="7">
        <v>2</v>
      </c>
      <c r="I304" s="7" t="s">
        <v>1114</v>
      </c>
      <c r="J304" s="7" t="s">
        <v>199</v>
      </c>
    </row>
    <row r="305" spans="1:10" x14ac:dyDescent="0.3">
      <c r="A305" s="6" t="s">
        <v>1096</v>
      </c>
      <c r="B305" s="7" t="s">
        <v>127</v>
      </c>
      <c r="C305" s="7" t="s">
        <v>1045</v>
      </c>
      <c r="D305" s="7" t="s">
        <v>13</v>
      </c>
      <c r="E305" s="7" t="s">
        <v>1097</v>
      </c>
      <c r="F305" s="7" t="s">
        <v>1098</v>
      </c>
      <c r="G305" s="7" t="s">
        <v>1099</v>
      </c>
      <c r="H305" s="7">
        <v>20</v>
      </c>
      <c r="I305" s="7" t="s">
        <v>1100</v>
      </c>
      <c r="J305" s="7" t="s">
        <v>1101</v>
      </c>
    </row>
    <row r="306" spans="1:10" x14ac:dyDescent="0.3">
      <c r="A306" s="6" t="s">
        <v>1151</v>
      </c>
      <c r="B306" s="7" t="s">
        <v>127</v>
      </c>
      <c r="C306" s="7" t="s">
        <v>1045</v>
      </c>
      <c r="D306" s="7" t="s">
        <v>13</v>
      </c>
      <c r="E306" s="7" t="s">
        <v>1152</v>
      </c>
      <c r="F306" s="7" t="s">
        <v>1153</v>
      </c>
      <c r="G306" s="7" t="s">
        <v>1154</v>
      </c>
      <c r="H306" s="7">
        <v>46</v>
      </c>
      <c r="I306" s="7" t="s">
        <v>660</v>
      </c>
      <c r="J306" s="7" t="s">
        <v>661</v>
      </c>
    </row>
    <row r="307" spans="1:10" ht="15" x14ac:dyDescent="0.3">
      <c r="A307" s="10"/>
      <c r="B307" s="11"/>
      <c r="C307" s="11"/>
      <c r="D307" s="11" t="s">
        <v>2543</v>
      </c>
      <c r="E307" s="11" t="s">
        <v>2534</v>
      </c>
      <c r="F307" s="11"/>
      <c r="G307" s="11" t="s">
        <v>2544</v>
      </c>
      <c r="H307" s="11">
        <v>831</v>
      </c>
      <c r="I307" s="11"/>
      <c r="J307" s="11"/>
    </row>
    <row r="308" spans="1:10" x14ac:dyDescent="0.3">
      <c r="A308" s="6" t="s">
        <v>1202</v>
      </c>
      <c r="B308" s="7" t="s">
        <v>127</v>
      </c>
      <c r="C308" s="7" t="s">
        <v>589</v>
      </c>
      <c r="D308" s="7" t="s">
        <v>14</v>
      </c>
      <c r="E308" s="7" t="s">
        <v>1203</v>
      </c>
      <c r="F308" s="7" t="s">
        <v>1204</v>
      </c>
      <c r="G308" s="7" t="s">
        <v>1205</v>
      </c>
      <c r="H308" s="7">
        <v>2</v>
      </c>
      <c r="I308" s="7" t="s">
        <v>99</v>
      </c>
      <c r="J308" s="7" t="s">
        <v>593</v>
      </c>
    </row>
    <row r="309" spans="1:10" x14ac:dyDescent="0.3">
      <c r="A309" s="6" t="s">
        <v>1936</v>
      </c>
      <c r="B309" s="7" t="s">
        <v>127</v>
      </c>
      <c r="C309" s="7" t="s">
        <v>589</v>
      </c>
      <c r="D309" s="7" t="s">
        <v>14</v>
      </c>
      <c r="E309" s="7" t="s">
        <v>1937</v>
      </c>
      <c r="F309" s="7" t="s">
        <v>1938</v>
      </c>
      <c r="G309" s="7" t="s">
        <v>1939</v>
      </c>
      <c r="H309" s="7">
        <v>1</v>
      </c>
      <c r="I309" s="7" t="s">
        <v>1941</v>
      </c>
      <c r="J309" s="7" t="s">
        <v>780</v>
      </c>
    </row>
    <row r="310" spans="1:10" x14ac:dyDescent="0.3">
      <c r="A310" s="6" t="s">
        <v>1206</v>
      </c>
      <c r="B310" s="7" t="s">
        <v>127</v>
      </c>
      <c r="C310" s="7" t="s">
        <v>589</v>
      </c>
      <c r="D310" s="7" t="s">
        <v>14</v>
      </c>
      <c r="E310" s="7" t="s">
        <v>1207</v>
      </c>
      <c r="F310" s="7" t="s">
        <v>1208</v>
      </c>
      <c r="G310" s="7" t="s">
        <v>1209</v>
      </c>
      <c r="H310" s="7">
        <v>15</v>
      </c>
      <c r="I310" s="7" t="s">
        <v>285</v>
      </c>
      <c r="J310" s="7" t="s">
        <v>1131</v>
      </c>
    </row>
    <row r="311" spans="1:10" ht="15" x14ac:dyDescent="0.3">
      <c r="A311" s="10"/>
      <c r="B311" s="11"/>
      <c r="C311" s="11"/>
      <c r="D311" s="11" t="s">
        <v>2545</v>
      </c>
      <c r="E311" s="11" t="s">
        <v>2534</v>
      </c>
      <c r="F311" s="11"/>
      <c r="G311" s="11" t="s">
        <v>2546</v>
      </c>
      <c r="H311" s="11">
        <v>18</v>
      </c>
      <c r="I311" s="11"/>
      <c r="J311" s="11"/>
    </row>
    <row r="312" spans="1:10" x14ac:dyDescent="0.3">
      <c r="A312" s="6" t="s">
        <v>2097</v>
      </c>
      <c r="B312" s="7" t="s">
        <v>1945</v>
      </c>
      <c r="C312" s="7" t="s">
        <v>1946</v>
      </c>
      <c r="D312" s="7" t="s">
        <v>15</v>
      </c>
      <c r="E312" s="7" t="s">
        <v>2092</v>
      </c>
      <c r="F312" s="7" t="s">
        <v>2093</v>
      </c>
      <c r="G312" s="7" t="s">
        <v>2098</v>
      </c>
      <c r="H312" s="7">
        <v>2</v>
      </c>
      <c r="I312" s="7" t="s">
        <v>270</v>
      </c>
      <c r="J312" s="7" t="s">
        <v>319</v>
      </c>
    </row>
    <row r="313" spans="1:10" x14ac:dyDescent="0.3">
      <c r="A313" s="6" t="s">
        <v>2109</v>
      </c>
      <c r="B313" s="7" t="s">
        <v>1945</v>
      </c>
      <c r="C313" s="7" t="s">
        <v>1946</v>
      </c>
      <c r="D313" s="7" t="s">
        <v>15</v>
      </c>
      <c r="E313" s="7" t="s">
        <v>51</v>
      </c>
      <c r="F313" s="7"/>
      <c r="G313" s="7" t="s">
        <v>50</v>
      </c>
      <c r="H313" s="7">
        <v>2</v>
      </c>
      <c r="I313" s="7" t="s">
        <v>52</v>
      </c>
      <c r="J313" s="7" t="s">
        <v>901</v>
      </c>
    </row>
    <row r="314" spans="1:10" x14ac:dyDescent="0.3">
      <c r="A314" s="6" t="s">
        <v>2108</v>
      </c>
      <c r="B314" s="7" t="s">
        <v>1945</v>
      </c>
      <c r="C314" s="7" t="s">
        <v>1946</v>
      </c>
      <c r="D314" s="7" t="s">
        <v>15</v>
      </c>
      <c r="E314" s="7" t="s">
        <v>51</v>
      </c>
      <c r="F314" s="7" t="s">
        <v>877</v>
      </c>
      <c r="G314" s="7" t="s">
        <v>50</v>
      </c>
      <c r="H314" s="7">
        <v>2</v>
      </c>
      <c r="I314" s="7" t="s">
        <v>52</v>
      </c>
      <c r="J314" s="7" t="s">
        <v>901</v>
      </c>
    </row>
    <row r="315" spans="1:10" x14ac:dyDescent="0.3">
      <c r="A315" s="6" t="s">
        <v>2107</v>
      </c>
      <c r="B315" s="7" t="s">
        <v>1945</v>
      </c>
      <c r="C315" s="7" t="s">
        <v>1946</v>
      </c>
      <c r="D315" s="7" t="s">
        <v>15</v>
      </c>
      <c r="E315" s="7" t="s">
        <v>51</v>
      </c>
      <c r="F315" s="7"/>
      <c r="G315" s="7" t="s">
        <v>50</v>
      </c>
      <c r="H315" s="7">
        <v>10</v>
      </c>
      <c r="I315" s="7" t="s">
        <v>52</v>
      </c>
      <c r="J315" s="7" t="s">
        <v>901</v>
      </c>
    </row>
    <row r="316" spans="1:10" x14ac:dyDescent="0.3">
      <c r="A316" s="6" t="s">
        <v>2106</v>
      </c>
      <c r="B316" s="7" t="s">
        <v>1945</v>
      </c>
      <c r="C316" s="7" t="s">
        <v>1946</v>
      </c>
      <c r="D316" s="7" t="s">
        <v>15</v>
      </c>
      <c r="E316" s="7" t="s">
        <v>51</v>
      </c>
      <c r="F316" s="7" t="s">
        <v>2083</v>
      </c>
      <c r="G316" s="7" t="s">
        <v>50</v>
      </c>
      <c r="H316" s="7">
        <v>8</v>
      </c>
      <c r="I316" s="7" t="s">
        <v>52</v>
      </c>
      <c r="J316" s="7" t="s">
        <v>901</v>
      </c>
    </row>
    <row r="317" spans="1:10" x14ac:dyDescent="0.3">
      <c r="A317" s="6" t="s">
        <v>2103</v>
      </c>
      <c r="B317" s="7" t="s">
        <v>1945</v>
      </c>
      <c r="C317" s="7" t="s">
        <v>1946</v>
      </c>
      <c r="D317" s="7" t="s">
        <v>15</v>
      </c>
      <c r="E317" s="7" t="s">
        <v>51</v>
      </c>
      <c r="F317" s="7" t="s">
        <v>1153</v>
      </c>
      <c r="G317" s="7" t="s">
        <v>50</v>
      </c>
      <c r="H317" s="7">
        <v>279</v>
      </c>
      <c r="I317" s="7" t="s">
        <v>52</v>
      </c>
      <c r="J317" s="7" t="s">
        <v>901</v>
      </c>
    </row>
    <row r="318" spans="1:10" x14ac:dyDescent="0.3">
      <c r="A318" s="6" t="s">
        <v>2085</v>
      </c>
      <c r="B318" s="7" t="s">
        <v>1945</v>
      </c>
      <c r="C318" s="7" t="s">
        <v>1946</v>
      </c>
      <c r="D318" s="7" t="s">
        <v>15</v>
      </c>
      <c r="E318" s="7" t="s">
        <v>2086</v>
      </c>
      <c r="F318" s="7" t="s">
        <v>2087</v>
      </c>
      <c r="G318" s="7" t="s">
        <v>2088</v>
      </c>
      <c r="H318" s="7">
        <v>1</v>
      </c>
      <c r="I318" s="7"/>
      <c r="J318" s="7"/>
    </row>
    <row r="319" spans="1:10" x14ac:dyDescent="0.3">
      <c r="A319" s="6" t="s">
        <v>2091</v>
      </c>
      <c r="B319" s="7" t="s">
        <v>1945</v>
      </c>
      <c r="C319" s="7" t="s">
        <v>1946</v>
      </c>
      <c r="D319" s="7" t="s">
        <v>15</v>
      </c>
      <c r="E319" s="7" t="s">
        <v>2092</v>
      </c>
      <c r="F319" s="7" t="s">
        <v>2093</v>
      </c>
      <c r="G319" s="7" t="s">
        <v>2094</v>
      </c>
      <c r="H319" s="7">
        <v>2</v>
      </c>
      <c r="I319" s="7" t="s">
        <v>2096</v>
      </c>
      <c r="J319" s="7" t="s">
        <v>189</v>
      </c>
    </row>
    <row r="320" spans="1:10" x14ac:dyDescent="0.3">
      <c r="A320" s="6" t="s">
        <v>2100</v>
      </c>
      <c r="B320" s="7" t="s">
        <v>1945</v>
      </c>
      <c r="C320" s="7" t="s">
        <v>1946</v>
      </c>
      <c r="D320" s="7" t="s">
        <v>15</v>
      </c>
      <c r="E320" s="7" t="s">
        <v>1568</v>
      </c>
      <c r="F320" s="7" t="s">
        <v>1569</v>
      </c>
      <c r="G320" s="7" t="s">
        <v>2101</v>
      </c>
      <c r="H320" s="7">
        <v>3</v>
      </c>
      <c r="I320" s="7" t="s">
        <v>82</v>
      </c>
      <c r="J320" s="7" t="s">
        <v>199</v>
      </c>
    </row>
    <row r="321" spans="1:10" x14ac:dyDescent="0.3">
      <c r="A321" s="6" t="s">
        <v>2082</v>
      </c>
      <c r="B321" s="7" t="s">
        <v>1945</v>
      </c>
      <c r="C321" s="7" t="s">
        <v>1946</v>
      </c>
      <c r="D321" s="7" t="s">
        <v>15</v>
      </c>
      <c r="E321" s="7" t="s">
        <v>63</v>
      </c>
      <c r="F321" s="7" t="s">
        <v>2083</v>
      </c>
      <c r="G321" s="7" t="s">
        <v>62</v>
      </c>
      <c r="H321" s="7">
        <v>3</v>
      </c>
      <c r="I321" s="7" t="s">
        <v>64</v>
      </c>
      <c r="J321" s="7" t="s">
        <v>404</v>
      </c>
    </row>
    <row r="322" spans="1:10" x14ac:dyDescent="0.3">
      <c r="A322" s="6" t="s">
        <v>2110</v>
      </c>
      <c r="B322" s="7" t="s">
        <v>1945</v>
      </c>
      <c r="C322" s="7" t="s">
        <v>1946</v>
      </c>
      <c r="D322" s="7" t="s">
        <v>15</v>
      </c>
      <c r="E322" s="7" t="s">
        <v>51</v>
      </c>
      <c r="F322" s="7" t="s">
        <v>2111</v>
      </c>
      <c r="G322" s="7" t="s">
        <v>50</v>
      </c>
      <c r="H322" s="7">
        <v>5</v>
      </c>
      <c r="I322" s="7" t="s">
        <v>52</v>
      </c>
      <c r="J322" s="7" t="s">
        <v>901</v>
      </c>
    </row>
    <row r="323" spans="1:10" x14ac:dyDescent="0.3">
      <c r="A323" s="6" t="s">
        <v>2077</v>
      </c>
      <c r="B323" s="7" t="s">
        <v>1945</v>
      </c>
      <c r="C323" s="7" t="s">
        <v>1946</v>
      </c>
      <c r="D323" s="7" t="s">
        <v>15</v>
      </c>
      <c r="E323" s="7" t="s">
        <v>63</v>
      </c>
      <c r="F323" s="7" t="s">
        <v>2070</v>
      </c>
      <c r="G323" s="7" t="s">
        <v>2078</v>
      </c>
      <c r="H323" s="7">
        <v>10</v>
      </c>
      <c r="I323" s="7" t="s">
        <v>1684</v>
      </c>
      <c r="J323" s="7" t="s">
        <v>746</v>
      </c>
    </row>
    <row r="324" spans="1:10" x14ac:dyDescent="0.3">
      <c r="A324" s="6" t="s">
        <v>2073</v>
      </c>
      <c r="B324" s="7" t="s">
        <v>1945</v>
      </c>
      <c r="C324" s="7" t="s">
        <v>1946</v>
      </c>
      <c r="D324" s="7" t="s">
        <v>15</v>
      </c>
      <c r="E324" s="7" t="s">
        <v>63</v>
      </c>
      <c r="F324" s="7" t="s">
        <v>2070</v>
      </c>
      <c r="G324" s="7" t="s">
        <v>2074</v>
      </c>
      <c r="H324" s="7">
        <v>55</v>
      </c>
      <c r="I324" s="7" t="s">
        <v>1684</v>
      </c>
      <c r="J324" s="7" t="s">
        <v>746</v>
      </c>
    </row>
    <row r="325" spans="1:10" x14ac:dyDescent="0.3">
      <c r="A325" s="6" t="s">
        <v>2069</v>
      </c>
      <c r="B325" s="7" t="s">
        <v>1945</v>
      </c>
      <c r="C325" s="7" t="s">
        <v>1946</v>
      </c>
      <c r="D325" s="7" t="s">
        <v>15</v>
      </c>
      <c r="E325" s="7" t="s">
        <v>63</v>
      </c>
      <c r="F325" s="7" t="s">
        <v>2070</v>
      </c>
      <c r="G325" s="7" t="s">
        <v>2071</v>
      </c>
      <c r="H325" s="7">
        <v>5</v>
      </c>
      <c r="I325" s="7" t="s">
        <v>64</v>
      </c>
      <c r="J325" s="7" t="s">
        <v>1518</v>
      </c>
    </row>
    <row r="326" spans="1:10" x14ac:dyDescent="0.3">
      <c r="A326" s="6" t="s">
        <v>2080</v>
      </c>
      <c r="B326" s="7" t="s">
        <v>1945</v>
      </c>
      <c r="C326" s="7" t="s">
        <v>1946</v>
      </c>
      <c r="D326" s="7" t="s">
        <v>15</v>
      </c>
      <c r="E326" s="7" t="s">
        <v>63</v>
      </c>
      <c r="F326" s="7" t="s">
        <v>2070</v>
      </c>
      <c r="G326" s="7" t="s">
        <v>62</v>
      </c>
      <c r="H326" s="7">
        <v>71</v>
      </c>
      <c r="I326" s="7" t="s">
        <v>64</v>
      </c>
      <c r="J326" s="7" t="s">
        <v>404</v>
      </c>
    </row>
    <row r="327" spans="1:10" x14ac:dyDescent="0.3">
      <c r="A327" s="6" t="s">
        <v>2056</v>
      </c>
      <c r="B327" s="7" t="s">
        <v>1945</v>
      </c>
      <c r="C327" s="7" t="s">
        <v>1946</v>
      </c>
      <c r="D327" s="7" t="s">
        <v>15</v>
      </c>
      <c r="E327" s="7" t="s">
        <v>2057</v>
      </c>
      <c r="F327" s="7" t="s">
        <v>2058</v>
      </c>
      <c r="G327" s="7" t="s">
        <v>2059</v>
      </c>
      <c r="H327" s="7">
        <v>15</v>
      </c>
      <c r="I327" s="7" t="s">
        <v>2061</v>
      </c>
      <c r="J327" s="7" t="s">
        <v>404</v>
      </c>
    </row>
    <row r="328" spans="1:10" x14ac:dyDescent="0.3">
      <c r="A328" s="6" t="s">
        <v>2062</v>
      </c>
      <c r="B328" s="7" t="s">
        <v>1945</v>
      </c>
      <c r="C328" s="7" t="s">
        <v>1946</v>
      </c>
      <c r="D328" s="7" t="s">
        <v>15</v>
      </c>
      <c r="E328" s="7" t="s">
        <v>2063</v>
      </c>
      <c r="F328" s="7" t="s">
        <v>2064</v>
      </c>
      <c r="G328" s="7" t="s">
        <v>2065</v>
      </c>
      <c r="H328" s="7">
        <v>12</v>
      </c>
      <c r="I328" s="7" t="s">
        <v>496</v>
      </c>
      <c r="J328" s="7" t="s">
        <v>404</v>
      </c>
    </row>
    <row r="329" spans="1:10" x14ac:dyDescent="0.3">
      <c r="A329" s="6" t="s">
        <v>2084</v>
      </c>
      <c r="B329" s="7" t="s">
        <v>1945</v>
      </c>
      <c r="C329" s="7" t="s">
        <v>1946</v>
      </c>
      <c r="D329" s="7" t="s">
        <v>15</v>
      </c>
      <c r="E329" s="7" t="s">
        <v>63</v>
      </c>
      <c r="F329" s="7"/>
      <c r="G329" s="7" t="s">
        <v>62</v>
      </c>
      <c r="H329" s="7">
        <v>2</v>
      </c>
      <c r="I329" s="7" t="s">
        <v>64</v>
      </c>
      <c r="J329" s="7" t="s">
        <v>404</v>
      </c>
    </row>
    <row r="330" spans="1:10" x14ac:dyDescent="0.3">
      <c r="A330" s="6" t="s">
        <v>2112</v>
      </c>
      <c r="B330" s="7" t="s">
        <v>1945</v>
      </c>
      <c r="C330" s="7" t="s">
        <v>1946</v>
      </c>
      <c r="D330" s="7" t="s">
        <v>15</v>
      </c>
      <c r="E330" s="7" t="s">
        <v>51</v>
      </c>
      <c r="F330" s="7" t="s">
        <v>2113</v>
      </c>
      <c r="G330" s="7" t="s">
        <v>50</v>
      </c>
      <c r="H330" s="7">
        <v>8</v>
      </c>
      <c r="I330" s="7" t="s">
        <v>52</v>
      </c>
      <c r="J330" s="7" t="s">
        <v>901</v>
      </c>
    </row>
    <row r="331" spans="1:10" x14ac:dyDescent="0.3">
      <c r="A331" s="6" t="s">
        <v>2130</v>
      </c>
      <c r="B331" s="7" t="s">
        <v>1945</v>
      </c>
      <c r="C331" s="7" t="s">
        <v>1946</v>
      </c>
      <c r="D331" s="7" t="s">
        <v>15</v>
      </c>
      <c r="E331" s="7" t="s">
        <v>2126</v>
      </c>
      <c r="F331" s="7" t="s">
        <v>2121</v>
      </c>
      <c r="G331" s="7" t="s">
        <v>2131</v>
      </c>
      <c r="H331" s="7">
        <v>20</v>
      </c>
      <c r="I331" s="7" t="s">
        <v>919</v>
      </c>
      <c r="J331" s="7" t="s">
        <v>404</v>
      </c>
    </row>
    <row r="332" spans="1:10" x14ac:dyDescent="0.3">
      <c r="A332" s="6" t="s">
        <v>2050</v>
      </c>
      <c r="B332" s="7" t="s">
        <v>1945</v>
      </c>
      <c r="C332" s="7" t="s">
        <v>1946</v>
      </c>
      <c r="D332" s="7" t="s">
        <v>15</v>
      </c>
      <c r="E332" s="7" t="s">
        <v>2051</v>
      </c>
      <c r="F332" s="7" t="s">
        <v>2052</v>
      </c>
      <c r="G332" s="7" t="s">
        <v>2053</v>
      </c>
      <c r="H332" s="7">
        <v>7</v>
      </c>
      <c r="I332" s="7" t="s">
        <v>160</v>
      </c>
      <c r="J332" s="7" t="s">
        <v>683</v>
      </c>
    </row>
    <row r="333" spans="1:10" x14ac:dyDescent="0.3">
      <c r="A333" s="6" t="s">
        <v>2177</v>
      </c>
      <c r="B333" s="7" t="s">
        <v>1945</v>
      </c>
      <c r="C333" s="7" t="s">
        <v>1946</v>
      </c>
      <c r="D333" s="7" t="s">
        <v>15</v>
      </c>
      <c r="E333" s="7" t="s">
        <v>2178</v>
      </c>
      <c r="F333" s="7"/>
      <c r="G333" s="7" t="s">
        <v>2179</v>
      </c>
      <c r="H333" s="7">
        <v>0</v>
      </c>
      <c r="I333" s="7" t="s">
        <v>2181</v>
      </c>
      <c r="J333" s="7" t="s">
        <v>2182</v>
      </c>
    </row>
    <row r="334" spans="1:10" x14ac:dyDescent="0.3">
      <c r="A334" s="6" t="s">
        <v>2188</v>
      </c>
      <c r="B334" s="7" t="s">
        <v>1945</v>
      </c>
      <c r="C334" s="7" t="s">
        <v>1946</v>
      </c>
      <c r="D334" s="7" t="s">
        <v>15</v>
      </c>
      <c r="E334" s="7" t="s">
        <v>2184</v>
      </c>
      <c r="F334" s="7" t="s">
        <v>566</v>
      </c>
      <c r="G334" s="7" t="s">
        <v>2189</v>
      </c>
      <c r="H334" s="7">
        <v>0</v>
      </c>
      <c r="I334" s="7" t="s">
        <v>2191</v>
      </c>
      <c r="J334" s="7" t="s">
        <v>1633</v>
      </c>
    </row>
    <row r="335" spans="1:10" x14ac:dyDescent="0.3">
      <c r="A335" s="6" t="s">
        <v>2183</v>
      </c>
      <c r="B335" s="7" t="s">
        <v>1945</v>
      </c>
      <c r="C335" s="7" t="s">
        <v>1946</v>
      </c>
      <c r="D335" s="7" t="s">
        <v>15</v>
      </c>
      <c r="E335" s="7" t="s">
        <v>2184</v>
      </c>
      <c r="F335" s="7" t="s">
        <v>566</v>
      </c>
      <c r="G335" s="7" t="s">
        <v>2185</v>
      </c>
      <c r="H335" s="7">
        <v>56</v>
      </c>
      <c r="I335" s="7" t="s">
        <v>2187</v>
      </c>
      <c r="J335" s="7" t="s">
        <v>404</v>
      </c>
    </row>
    <row r="336" spans="1:10" x14ac:dyDescent="0.3">
      <c r="A336" s="6" t="s">
        <v>2168</v>
      </c>
      <c r="B336" s="7" t="s">
        <v>1945</v>
      </c>
      <c r="C336" s="7" t="s">
        <v>1946</v>
      </c>
      <c r="D336" s="7" t="s">
        <v>15</v>
      </c>
      <c r="E336" s="7" t="s">
        <v>2162</v>
      </c>
      <c r="F336" s="7" t="s">
        <v>2163</v>
      </c>
      <c r="G336" s="7" t="s">
        <v>2169</v>
      </c>
      <c r="H336" s="7">
        <v>7</v>
      </c>
      <c r="I336" s="7" t="s">
        <v>2172</v>
      </c>
      <c r="J336" s="7" t="s">
        <v>553</v>
      </c>
    </row>
    <row r="337" spans="1:10" x14ac:dyDescent="0.3">
      <c r="A337" s="6" t="s">
        <v>2173</v>
      </c>
      <c r="B337" s="7" t="s">
        <v>1945</v>
      </c>
      <c r="C337" s="7" t="s">
        <v>1946</v>
      </c>
      <c r="D337" s="7" t="s">
        <v>15</v>
      </c>
      <c r="E337" s="7" t="s">
        <v>2162</v>
      </c>
      <c r="F337" s="7" t="s">
        <v>2163</v>
      </c>
      <c r="G337" s="7" t="s">
        <v>2174</v>
      </c>
      <c r="H337" s="7">
        <v>7</v>
      </c>
      <c r="I337" s="7" t="s">
        <v>2167</v>
      </c>
      <c r="J337" s="7" t="s">
        <v>640</v>
      </c>
    </row>
    <row r="338" spans="1:10" x14ac:dyDescent="0.3">
      <c r="A338" s="6" t="s">
        <v>2161</v>
      </c>
      <c r="B338" s="7" t="s">
        <v>1945</v>
      </c>
      <c r="C338" s="7" t="s">
        <v>1946</v>
      </c>
      <c r="D338" s="7" t="s">
        <v>15</v>
      </c>
      <c r="E338" s="7" t="s">
        <v>2162</v>
      </c>
      <c r="F338" s="7" t="s">
        <v>2163</v>
      </c>
      <c r="G338" s="7" t="s">
        <v>2164</v>
      </c>
      <c r="H338" s="7">
        <v>12</v>
      </c>
      <c r="I338" s="7" t="s">
        <v>2167</v>
      </c>
      <c r="J338" s="7" t="s">
        <v>640</v>
      </c>
    </row>
    <row r="339" spans="1:10" x14ac:dyDescent="0.3">
      <c r="A339" s="6" t="s">
        <v>2157</v>
      </c>
      <c r="B339" s="7" t="s">
        <v>1945</v>
      </c>
      <c r="C339" s="7" t="s">
        <v>1946</v>
      </c>
      <c r="D339" s="7" t="s">
        <v>15</v>
      </c>
      <c r="E339" s="7" t="s">
        <v>2148</v>
      </c>
      <c r="F339" s="7" t="s">
        <v>2149</v>
      </c>
      <c r="G339" s="7" t="s">
        <v>2158</v>
      </c>
      <c r="H339" s="7">
        <v>1</v>
      </c>
      <c r="I339" s="7" t="s">
        <v>2160</v>
      </c>
      <c r="J339" s="7" t="s">
        <v>527</v>
      </c>
    </row>
    <row r="340" spans="1:10" x14ac:dyDescent="0.3">
      <c r="A340" s="6" t="s">
        <v>2114</v>
      </c>
      <c r="B340" s="7" t="s">
        <v>1945</v>
      </c>
      <c r="C340" s="7" t="s">
        <v>1946</v>
      </c>
      <c r="D340" s="7" t="s">
        <v>15</v>
      </c>
      <c r="E340" s="7" t="s">
        <v>2115</v>
      </c>
      <c r="F340" s="7" t="s">
        <v>2116</v>
      </c>
      <c r="G340" s="7" t="s">
        <v>2117</v>
      </c>
      <c r="H340" s="7">
        <v>2</v>
      </c>
      <c r="I340" s="7" t="s">
        <v>154</v>
      </c>
      <c r="J340" s="7" t="s">
        <v>1131</v>
      </c>
    </row>
    <row r="341" spans="1:10" x14ac:dyDescent="0.3">
      <c r="A341" s="6" t="s">
        <v>2153</v>
      </c>
      <c r="B341" s="7" t="s">
        <v>1945</v>
      </c>
      <c r="C341" s="7" t="s">
        <v>1946</v>
      </c>
      <c r="D341" s="7" t="s">
        <v>15</v>
      </c>
      <c r="E341" s="7" t="s">
        <v>2148</v>
      </c>
      <c r="F341" s="7" t="s">
        <v>2149</v>
      </c>
      <c r="G341" s="7" t="s">
        <v>2154</v>
      </c>
      <c r="H341" s="7">
        <v>0</v>
      </c>
      <c r="I341" s="7" t="s">
        <v>773</v>
      </c>
      <c r="J341" s="7" t="s">
        <v>2156</v>
      </c>
    </row>
    <row r="342" spans="1:10" x14ac:dyDescent="0.3">
      <c r="A342" s="6" t="s">
        <v>2145</v>
      </c>
      <c r="B342" s="7" t="s">
        <v>1945</v>
      </c>
      <c r="C342" s="7" t="s">
        <v>1946</v>
      </c>
      <c r="D342" s="7" t="s">
        <v>15</v>
      </c>
      <c r="E342" s="7" t="s">
        <v>60</v>
      </c>
      <c r="F342" s="7"/>
      <c r="G342" s="7" t="s">
        <v>59</v>
      </c>
      <c r="H342" s="7">
        <v>8</v>
      </c>
      <c r="I342" s="7" t="s">
        <v>57</v>
      </c>
      <c r="J342" s="7" t="s">
        <v>2136</v>
      </c>
    </row>
    <row r="343" spans="1:10" x14ac:dyDescent="0.3">
      <c r="A343" s="6" t="s">
        <v>2143</v>
      </c>
      <c r="B343" s="7" t="s">
        <v>1945</v>
      </c>
      <c r="C343" s="7" t="s">
        <v>1946</v>
      </c>
      <c r="D343" s="7" t="s">
        <v>15</v>
      </c>
      <c r="E343" s="7" t="s">
        <v>60</v>
      </c>
      <c r="F343" s="7"/>
      <c r="G343" s="7" t="s">
        <v>59</v>
      </c>
      <c r="H343" s="7">
        <v>6</v>
      </c>
      <c r="I343" s="7" t="s">
        <v>57</v>
      </c>
      <c r="J343" s="7" t="s">
        <v>2136</v>
      </c>
    </row>
    <row r="344" spans="1:10" x14ac:dyDescent="0.3">
      <c r="A344" s="6" t="s">
        <v>2141</v>
      </c>
      <c r="B344" s="7" t="s">
        <v>1945</v>
      </c>
      <c r="C344" s="7" t="s">
        <v>1946</v>
      </c>
      <c r="D344" s="7" t="s">
        <v>15</v>
      </c>
      <c r="E344" s="7" t="s">
        <v>60</v>
      </c>
      <c r="F344" s="7"/>
      <c r="G344" s="7" t="s">
        <v>59</v>
      </c>
      <c r="H344" s="7">
        <v>2</v>
      </c>
      <c r="I344" s="7" t="s">
        <v>57</v>
      </c>
      <c r="J344" s="7" t="s">
        <v>2136</v>
      </c>
    </row>
    <row r="345" spans="1:10" x14ac:dyDescent="0.3">
      <c r="A345" s="6" t="s">
        <v>2137</v>
      </c>
      <c r="B345" s="7" t="s">
        <v>1945</v>
      </c>
      <c r="C345" s="7" t="s">
        <v>1946</v>
      </c>
      <c r="D345" s="7" t="s">
        <v>15</v>
      </c>
      <c r="E345" s="7" t="s">
        <v>60</v>
      </c>
      <c r="F345" s="7" t="s">
        <v>2138</v>
      </c>
      <c r="G345" s="7" t="s">
        <v>59</v>
      </c>
      <c r="H345" s="7">
        <v>3</v>
      </c>
      <c r="I345" s="7" t="s">
        <v>57</v>
      </c>
      <c r="J345" s="7" t="s">
        <v>2136</v>
      </c>
    </row>
    <row r="346" spans="1:10" x14ac:dyDescent="0.3">
      <c r="A346" s="6" t="s">
        <v>2133</v>
      </c>
      <c r="B346" s="7" t="s">
        <v>1945</v>
      </c>
      <c r="C346" s="7" t="s">
        <v>1946</v>
      </c>
      <c r="D346" s="7" t="s">
        <v>15</v>
      </c>
      <c r="E346" s="7" t="s">
        <v>60</v>
      </c>
      <c r="F346" s="7" t="s">
        <v>2134</v>
      </c>
      <c r="G346" s="7" t="s">
        <v>59</v>
      </c>
      <c r="H346" s="7">
        <v>96</v>
      </c>
      <c r="I346" s="7" t="s">
        <v>57</v>
      </c>
      <c r="J346" s="7" t="s">
        <v>2136</v>
      </c>
    </row>
    <row r="347" spans="1:10" x14ac:dyDescent="0.3">
      <c r="A347" s="6" t="s">
        <v>2119</v>
      </c>
      <c r="B347" s="7" t="s">
        <v>1945</v>
      </c>
      <c r="C347" s="7" t="s">
        <v>1946</v>
      </c>
      <c r="D347" s="7" t="s">
        <v>15</v>
      </c>
      <c r="E347" s="7" t="s">
        <v>2120</v>
      </c>
      <c r="F347" s="7" t="s">
        <v>2121</v>
      </c>
      <c r="G347" s="7" t="s">
        <v>2122</v>
      </c>
      <c r="H347" s="7">
        <v>8</v>
      </c>
      <c r="I347" s="7" t="s">
        <v>2124</v>
      </c>
      <c r="J347" s="7" t="s">
        <v>746</v>
      </c>
    </row>
    <row r="348" spans="1:10" x14ac:dyDescent="0.3">
      <c r="A348" s="6" t="s">
        <v>2125</v>
      </c>
      <c r="B348" s="7" t="s">
        <v>1945</v>
      </c>
      <c r="C348" s="7" t="s">
        <v>1946</v>
      </c>
      <c r="D348" s="7" t="s">
        <v>15</v>
      </c>
      <c r="E348" s="7" t="s">
        <v>2126</v>
      </c>
      <c r="F348" s="7" t="s">
        <v>2121</v>
      </c>
      <c r="G348" s="7" t="s">
        <v>2127</v>
      </c>
      <c r="H348" s="7">
        <v>14</v>
      </c>
      <c r="I348" s="7" t="s">
        <v>2129</v>
      </c>
      <c r="J348" s="7" t="s">
        <v>2039</v>
      </c>
    </row>
    <row r="349" spans="1:10" x14ac:dyDescent="0.3">
      <c r="A349" s="6" t="s">
        <v>2147</v>
      </c>
      <c r="B349" s="7" t="s">
        <v>1945</v>
      </c>
      <c r="C349" s="7" t="s">
        <v>1946</v>
      </c>
      <c r="D349" s="7" t="s">
        <v>15</v>
      </c>
      <c r="E349" s="7" t="s">
        <v>2148</v>
      </c>
      <c r="F349" s="7" t="s">
        <v>2149</v>
      </c>
      <c r="G349" s="7" t="s">
        <v>2150</v>
      </c>
      <c r="H349" s="7">
        <v>10</v>
      </c>
      <c r="I349" s="7" t="s">
        <v>2152</v>
      </c>
      <c r="J349" s="7" t="s">
        <v>788</v>
      </c>
    </row>
    <row r="350" spans="1:10" x14ac:dyDescent="0.3">
      <c r="A350" s="6" t="s">
        <v>2048</v>
      </c>
      <c r="B350" s="7" t="s">
        <v>1945</v>
      </c>
      <c r="C350" s="7" t="s">
        <v>1946</v>
      </c>
      <c r="D350" s="7" t="s">
        <v>15</v>
      </c>
      <c r="E350" s="7" t="s">
        <v>1203</v>
      </c>
      <c r="F350" s="7" t="s">
        <v>1204</v>
      </c>
      <c r="G350" s="7" t="s">
        <v>2049</v>
      </c>
      <c r="H350" s="7">
        <v>4</v>
      </c>
      <c r="I350" s="7" t="s">
        <v>2045</v>
      </c>
      <c r="J350" s="7" t="s">
        <v>1218</v>
      </c>
    </row>
    <row r="351" spans="1:10" x14ac:dyDescent="0.3">
      <c r="A351" s="6" t="s">
        <v>2040</v>
      </c>
      <c r="B351" s="7" t="s">
        <v>1945</v>
      </c>
      <c r="C351" s="7" t="s">
        <v>1946</v>
      </c>
      <c r="D351" s="7" t="s">
        <v>15</v>
      </c>
      <c r="E351" s="7" t="s">
        <v>1203</v>
      </c>
      <c r="F351" s="7" t="s">
        <v>1204</v>
      </c>
      <c r="G351" s="7" t="s">
        <v>2041</v>
      </c>
      <c r="H351" s="7">
        <v>4</v>
      </c>
      <c r="I351" s="7" t="s">
        <v>2045</v>
      </c>
      <c r="J351" s="7" t="s">
        <v>1218</v>
      </c>
    </row>
    <row r="352" spans="1:10" x14ac:dyDescent="0.3">
      <c r="A352" s="6" t="s">
        <v>1986</v>
      </c>
      <c r="B352" s="7" t="s">
        <v>1945</v>
      </c>
      <c r="C352" s="7" t="s">
        <v>1946</v>
      </c>
      <c r="D352" s="7" t="s">
        <v>15</v>
      </c>
      <c r="E352" s="7" t="s">
        <v>1982</v>
      </c>
      <c r="F352" s="7" t="s">
        <v>1983</v>
      </c>
      <c r="G352" s="7" t="s">
        <v>1987</v>
      </c>
      <c r="H352" s="7">
        <v>0</v>
      </c>
      <c r="I352" s="7" t="s">
        <v>131</v>
      </c>
      <c r="J352" s="7" t="s">
        <v>696</v>
      </c>
    </row>
    <row r="353" spans="1:10" x14ac:dyDescent="0.3">
      <c r="A353" s="6" t="s">
        <v>2025</v>
      </c>
      <c r="B353" s="7" t="s">
        <v>1945</v>
      </c>
      <c r="C353" s="7" t="s">
        <v>1946</v>
      </c>
      <c r="D353" s="7" t="s">
        <v>15</v>
      </c>
      <c r="E353" s="7" t="s">
        <v>56</v>
      </c>
      <c r="F353" s="7"/>
      <c r="G353" s="7" t="s">
        <v>55</v>
      </c>
      <c r="H353" s="7">
        <v>4</v>
      </c>
      <c r="I353" s="7" t="s">
        <v>57</v>
      </c>
      <c r="J353" s="7" t="s">
        <v>155</v>
      </c>
    </row>
    <row r="354" spans="1:10" x14ac:dyDescent="0.3">
      <c r="A354" s="6" t="s">
        <v>2024</v>
      </c>
      <c r="B354" s="7" t="s">
        <v>1945</v>
      </c>
      <c r="C354" s="7" t="s">
        <v>1946</v>
      </c>
      <c r="D354" s="7" t="s">
        <v>15</v>
      </c>
      <c r="E354" s="7" t="s">
        <v>56</v>
      </c>
      <c r="F354" s="7"/>
      <c r="G354" s="7" t="s">
        <v>55</v>
      </c>
      <c r="H354" s="7">
        <v>3</v>
      </c>
      <c r="I354" s="7" t="s">
        <v>57</v>
      </c>
      <c r="J354" s="7" t="s">
        <v>155</v>
      </c>
    </row>
    <row r="355" spans="1:10" x14ac:dyDescent="0.3">
      <c r="A355" s="6" t="s">
        <v>2022</v>
      </c>
      <c r="B355" s="7" t="s">
        <v>1945</v>
      </c>
      <c r="C355" s="7" t="s">
        <v>1946</v>
      </c>
      <c r="D355" s="7" t="s">
        <v>15</v>
      </c>
      <c r="E355" s="7" t="s">
        <v>56</v>
      </c>
      <c r="F355" s="7"/>
      <c r="G355" s="7" t="s">
        <v>55</v>
      </c>
      <c r="H355" s="7">
        <v>5</v>
      </c>
      <c r="I355" s="7" t="s">
        <v>57</v>
      </c>
      <c r="J355" s="7" t="s">
        <v>155</v>
      </c>
    </row>
    <row r="356" spans="1:10" x14ac:dyDescent="0.3">
      <c r="A356" s="6" t="s">
        <v>2021</v>
      </c>
      <c r="B356" s="7" t="s">
        <v>1945</v>
      </c>
      <c r="C356" s="7" t="s">
        <v>1946</v>
      </c>
      <c r="D356" s="7" t="s">
        <v>15</v>
      </c>
      <c r="E356" s="7" t="s">
        <v>56</v>
      </c>
      <c r="F356" s="7" t="s">
        <v>2018</v>
      </c>
      <c r="G356" s="7" t="s">
        <v>55</v>
      </c>
      <c r="H356" s="7">
        <v>142</v>
      </c>
      <c r="I356" s="7" t="s">
        <v>57</v>
      </c>
      <c r="J356" s="7" t="s">
        <v>155</v>
      </c>
    </row>
    <row r="357" spans="1:10" x14ac:dyDescent="0.3">
      <c r="A357" s="6" t="s">
        <v>2017</v>
      </c>
      <c r="B357" s="7" t="s">
        <v>1945</v>
      </c>
      <c r="C357" s="7" t="s">
        <v>1946</v>
      </c>
      <c r="D357" s="7" t="s">
        <v>15</v>
      </c>
      <c r="E357" s="7" t="s">
        <v>56</v>
      </c>
      <c r="F357" s="7" t="s">
        <v>2018</v>
      </c>
      <c r="G357" s="7" t="s">
        <v>2019</v>
      </c>
      <c r="H357" s="7">
        <v>28</v>
      </c>
      <c r="I357" s="7" t="s">
        <v>64</v>
      </c>
      <c r="J357" s="7" t="s">
        <v>605</v>
      </c>
    </row>
    <row r="358" spans="1:10" x14ac:dyDescent="0.3">
      <c r="A358" s="6" t="s">
        <v>2000</v>
      </c>
      <c r="B358" s="7" t="s">
        <v>1945</v>
      </c>
      <c r="C358" s="7" t="s">
        <v>1946</v>
      </c>
      <c r="D358" s="7" t="s">
        <v>15</v>
      </c>
      <c r="E358" s="7" t="s">
        <v>1994</v>
      </c>
      <c r="F358" s="7" t="s">
        <v>1098</v>
      </c>
      <c r="G358" s="7" t="s">
        <v>2001</v>
      </c>
      <c r="H358" s="7">
        <v>1</v>
      </c>
      <c r="I358" s="7" t="s">
        <v>196</v>
      </c>
      <c r="J358" s="7" t="s">
        <v>155</v>
      </c>
    </row>
    <row r="359" spans="1:10" x14ac:dyDescent="0.3">
      <c r="A359" s="6" t="s">
        <v>2013</v>
      </c>
      <c r="B359" s="7" t="s">
        <v>1945</v>
      </c>
      <c r="C359" s="7" t="s">
        <v>1946</v>
      </c>
      <c r="D359" s="7" t="s">
        <v>15</v>
      </c>
      <c r="E359" s="7" t="s">
        <v>1994</v>
      </c>
      <c r="F359" s="7" t="s">
        <v>1098</v>
      </c>
      <c r="G359" s="7" t="s">
        <v>2014</v>
      </c>
      <c r="H359" s="7">
        <v>1</v>
      </c>
      <c r="I359" s="7" t="s">
        <v>2012</v>
      </c>
      <c r="J359" s="7" t="s">
        <v>2007</v>
      </c>
    </row>
    <row r="360" spans="1:10" x14ac:dyDescent="0.3">
      <c r="A360" s="6" t="s">
        <v>1993</v>
      </c>
      <c r="B360" s="7" t="s">
        <v>1945</v>
      </c>
      <c r="C360" s="7" t="s">
        <v>1946</v>
      </c>
      <c r="D360" s="7" t="s">
        <v>15</v>
      </c>
      <c r="E360" s="7" t="s">
        <v>1994</v>
      </c>
      <c r="F360" s="7" t="s">
        <v>1098</v>
      </c>
      <c r="G360" s="7" t="s">
        <v>1995</v>
      </c>
      <c r="H360" s="7">
        <v>6</v>
      </c>
      <c r="I360" s="7" t="s">
        <v>1998</v>
      </c>
      <c r="J360" s="7" t="s">
        <v>1999</v>
      </c>
    </row>
    <row r="361" spans="1:10" x14ac:dyDescent="0.3">
      <c r="A361" s="6" t="s">
        <v>2008</v>
      </c>
      <c r="B361" s="7" t="s">
        <v>1945</v>
      </c>
      <c r="C361" s="7" t="s">
        <v>1946</v>
      </c>
      <c r="D361" s="7" t="s">
        <v>15</v>
      </c>
      <c r="E361" s="7" t="s">
        <v>1994</v>
      </c>
      <c r="F361" s="7" t="s">
        <v>1098</v>
      </c>
      <c r="G361" s="7" t="s">
        <v>2009</v>
      </c>
      <c r="H361" s="7">
        <v>2</v>
      </c>
      <c r="I361" s="7" t="s">
        <v>2012</v>
      </c>
      <c r="J361" s="7" t="s">
        <v>2007</v>
      </c>
    </row>
    <row r="362" spans="1:10" x14ac:dyDescent="0.3">
      <c r="A362" s="6" t="s">
        <v>2004</v>
      </c>
      <c r="B362" s="7" t="s">
        <v>1945</v>
      </c>
      <c r="C362" s="7" t="s">
        <v>1946</v>
      </c>
      <c r="D362" s="7" t="s">
        <v>15</v>
      </c>
      <c r="E362" s="7" t="s">
        <v>1994</v>
      </c>
      <c r="F362" s="7" t="s">
        <v>1098</v>
      </c>
      <c r="G362" s="7" t="s">
        <v>2005</v>
      </c>
      <c r="H362" s="7">
        <v>11</v>
      </c>
      <c r="I362" s="7" t="s">
        <v>660</v>
      </c>
      <c r="J362" s="7" t="s">
        <v>2007</v>
      </c>
    </row>
    <row r="363" spans="1:10" x14ac:dyDescent="0.3">
      <c r="A363" s="6" t="s">
        <v>1989</v>
      </c>
      <c r="B363" s="7" t="s">
        <v>1945</v>
      </c>
      <c r="C363" s="7" t="s">
        <v>1946</v>
      </c>
      <c r="D363" s="7" t="s">
        <v>15</v>
      </c>
      <c r="E363" s="7" t="s">
        <v>1982</v>
      </c>
      <c r="F363" s="7" t="s">
        <v>1983</v>
      </c>
      <c r="G363" s="7" t="s">
        <v>1990</v>
      </c>
      <c r="H363" s="7">
        <v>13</v>
      </c>
      <c r="I363" s="7" t="s">
        <v>339</v>
      </c>
      <c r="J363" s="7" t="s">
        <v>155</v>
      </c>
    </row>
    <row r="364" spans="1:10" x14ac:dyDescent="0.3">
      <c r="A364" s="6" t="s">
        <v>2046</v>
      </c>
      <c r="B364" s="7" t="s">
        <v>1945</v>
      </c>
      <c r="C364" s="7" t="s">
        <v>1946</v>
      </c>
      <c r="D364" s="7" t="s">
        <v>15</v>
      </c>
      <c r="E364" s="7" t="s">
        <v>1203</v>
      </c>
      <c r="F364" s="7" t="s">
        <v>1204</v>
      </c>
      <c r="G364" s="7" t="s">
        <v>2047</v>
      </c>
      <c r="H364" s="7">
        <v>34</v>
      </c>
      <c r="I364" s="7" t="s">
        <v>2045</v>
      </c>
      <c r="J364" s="7" t="s">
        <v>1218</v>
      </c>
    </row>
    <row r="365" spans="1:10" x14ac:dyDescent="0.3">
      <c r="A365" s="6" t="s">
        <v>1981</v>
      </c>
      <c r="B365" s="7" t="s">
        <v>1945</v>
      </c>
      <c r="C365" s="7" t="s">
        <v>1946</v>
      </c>
      <c r="D365" s="7" t="s">
        <v>15</v>
      </c>
      <c r="E365" s="7" t="s">
        <v>1982</v>
      </c>
      <c r="F365" s="7" t="s">
        <v>1983</v>
      </c>
      <c r="G365" s="7" t="s">
        <v>1984</v>
      </c>
      <c r="H365" s="7">
        <v>20</v>
      </c>
      <c r="I365" s="7" t="s">
        <v>621</v>
      </c>
      <c r="J365" s="7" t="s">
        <v>166</v>
      </c>
    </row>
    <row r="366" spans="1:10" x14ac:dyDescent="0.3">
      <c r="A366" s="6" t="s">
        <v>1974</v>
      </c>
      <c r="B366" s="7" t="s">
        <v>1945</v>
      </c>
      <c r="C366" s="7" t="s">
        <v>1946</v>
      </c>
      <c r="D366" s="7" t="s">
        <v>15</v>
      </c>
      <c r="E366" s="7" t="s">
        <v>1975</v>
      </c>
      <c r="F366" s="7" t="s">
        <v>1976</v>
      </c>
      <c r="G366" s="7" t="s">
        <v>1977</v>
      </c>
      <c r="H366" s="7">
        <v>22</v>
      </c>
      <c r="I366" s="7" t="s">
        <v>1980</v>
      </c>
      <c r="J366" s="7" t="s">
        <v>1518</v>
      </c>
    </row>
    <row r="367" spans="1:10" x14ac:dyDescent="0.3">
      <c r="A367" s="6" t="s">
        <v>2026</v>
      </c>
      <c r="B367" s="7" t="s">
        <v>1945</v>
      </c>
      <c r="C367" s="7" t="s">
        <v>1946</v>
      </c>
      <c r="D367" s="7" t="s">
        <v>15</v>
      </c>
      <c r="E367" s="7" t="s">
        <v>56</v>
      </c>
      <c r="F367" s="7"/>
      <c r="G367" s="7" t="s">
        <v>55</v>
      </c>
      <c r="H367" s="7">
        <v>3</v>
      </c>
      <c r="I367" s="7" t="s">
        <v>57</v>
      </c>
      <c r="J367" s="7" t="s">
        <v>155</v>
      </c>
    </row>
    <row r="368" spans="1:10" x14ac:dyDescent="0.3">
      <c r="A368" s="6" t="s">
        <v>1969</v>
      </c>
      <c r="B368" s="7" t="s">
        <v>1945</v>
      </c>
      <c r="C368" s="7" t="s">
        <v>1946</v>
      </c>
      <c r="D368" s="7" t="s">
        <v>15</v>
      </c>
      <c r="E368" s="7" t="s">
        <v>1970</v>
      </c>
      <c r="F368" s="7" t="s">
        <v>194</v>
      </c>
      <c r="G368" s="7" t="s">
        <v>1971</v>
      </c>
      <c r="H368" s="7">
        <v>10</v>
      </c>
      <c r="I368" s="7" t="s">
        <v>1973</v>
      </c>
      <c r="J368" s="7" t="s">
        <v>806</v>
      </c>
    </row>
    <row r="369" spans="1:10" x14ac:dyDescent="0.3">
      <c r="A369" s="6" t="s">
        <v>1953</v>
      </c>
      <c r="B369" s="7" t="s">
        <v>1945</v>
      </c>
      <c r="C369" s="7" t="s">
        <v>1946</v>
      </c>
      <c r="D369" s="7" t="s">
        <v>15</v>
      </c>
      <c r="E369" s="7" t="s">
        <v>1954</v>
      </c>
      <c r="F369" s="7" t="s">
        <v>1955</v>
      </c>
      <c r="G369" s="7" t="s">
        <v>1956</v>
      </c>
      <c r="H369" s="7">
        <v>28</v>
      </c>
      <c r="I369" s="7" t="s">
        <v>893</v>
      </c>
      <c r="J369" s="7" t="s">
        <v>155</v>
      </c>
    </row>
    <row r="370" spans="1:10" x14ac:dyDescent="0.3">
      <c r="A370" s="6" t="s">
        <v>1959</v>
      </c>
      <c r="B370" s="7" t="s">
        <v>1945</v>
      </c>
      <c r="C370" s="7" t="s">
        <v>1946</v>
      </c>
      <c r="D370" s="7" t="s">
        <v>15</v>
      </c>
      <c r="E370" s="7" t="s">
        <v>1954</v>
      </c>
      <c r="F370" s="7" t="s">
        <v>1955</v>
      </c>
      <c r="G370" s="7" t="s">
        <v>1960</v>
      </c>
      <c r="H370" s="7">
        <v>28</v>
      </c>
      <c r="I370" s="7" t="s">
        <v>604</v>
      </c>
      <c r="J370" s="7" t="s">
        <v>1963</v>
      </c>
    </row>
    <row r="371" spans="1:10" x14ac:dyDescent="0.3">
      <c r="A371" s="6" t="s">
        <v>1944</v>
      </c>
      <c r="B371" s="7" t="s">
        <v>1945</v>
      </c>
      <c r="C371" s="7" t="s">
        <v>1946</v>
      </c>
      <c r="D371" s="7" t="s">
        <v>15</v>
      </c>
      <c r="E371" s="7" t="s">
        <v>1947</v>
      </c>
      <c r="F371" s="7" t="s">
        <v>1948</v>
      </c>
      <c r="G371" s="7" t="s">
        <v>1949</v>
      </c>
      <c r="H371" s="7">
        <v>7</v>
      </c>
      <c r="I371" s="7" t="s">
        <v>303</v>
      </c>
      <c r="J371" s="7" t="s">
        <v>166</v>
      </c>
    </row>
    <row r="372" spans="1:10" x14ac:dyDescent="0.3">
      <c r="A372" s="6" t="s">
        <v>2036</v>
      </c>
      <c r="B372" s="7" t="s">
        <v>1945</v>
      </c>
      <c r="C372" s="7" t="s">
        <v>1946</v>
      </c>
      <c r="D372" s="7" t="s">
        <v>15</v>
      </c>
      <c r="E372" s="7" t="s">
        <v>2031</v>
      </c>
      <c r="F372" s="7" t="s">
        <v>283</v>
      </c>
      <c r="G372" s="7" t="s">
        <v>2037</v>
      </c>
      <c r="H372" s="7">
        <v>12</v>
      </c>
      <c r="I372" s="7" t="s">
        <v>82</v>
      </c>
      <c r="J372" s="7" t="s">
        <v>2039</v>
      </c>
    </row>
    <row r="373" spans="1:10" x14ac:dyDescent="0.3">
      <c r="A373" s="6" t="s">
        <v>2030</v>
      </c>
      <c r="B373" s="7" t="s">
        <v>1945</v>
      </c>
      <c r="C373" s="7" t="s">
        <v>1946</v>
      </c>
      <c r="D373" s="7" t="s">
        <v>15</v>
      </c>
      <c r="E373" s="7" t="s">
        <v>2031</v>
      </c>
      <c r="F373" s="7" t="s">
        <v>283</v>
      </c>
      <c r="G373" s="7" t="s">
        <v>2032</v>
      </c>
      <c r="H373" s="7">
        <v>40</v>
      </c>
      <c r="I373" s="7" t="s">
        <v>2034</v>
      </c>
      <c r="J373" s="7" t="s">
        <v>2035</v>
      </c>
    </row>
    <row r="374" spans="1:10" x14ac:dyDescent="0.3">
      <c r="A374" s="6" t="s">
        <v>2028</v>
      </c>
      <c r="B374" s="7" t="s">
        <v>1945</v>
      </c>
      <c r="C374" s="7" t="s">
        <v>1946</v>
      </c>
      <c r="D374" s="7" t="s">
        <v>15</v>
      </c>
      <c r="E374" s="7" t="s">
        <v>56</v>
      </c>
      <c r="F374" s="7" t="s">
        <v>2029</v>
      </c>
      <c r="G374" s="7" t="s">
        <v>55</v>
      </c>
      <c r="H374" s="7">
        <v>2</v>
      </c>
      <c r="I374" s="7" t="s">
        <v>57</v>
      </c>
      <c r="J374" s="7" t="s">
        <v>155</v>
      </c>
    </row>
    <row r="375" spans="1:10" x14ac:dyDescent="0.3">
      <c r="A375" s="6" t="s">
        <v>1964</v>
      </c>
      <c r="B375" s="7" t="s">
        <v>1945</v>
      </c>
      <c r="C375" s="7" t="s">
        <v>1946</v>
      </c>
      <c r="D375" s="7" t="s">
        <v>15</v>
      </c>
      <c r="E375" s="7" t="s">
        <v>1965</v>
      </c>
      <c r="F375" s="7" t="s">
        <v>1966</v>
      </c>
      <c r="G375" s="7" t="s">
        <v>1967</v>
      </c>
      <c r="H375" s="7">
        <v>3</v>
      </c>
      <c r="I375" s="7" t="s">
        <v>82</v>
      </c>
      <c r="J375" s="7" t="s">
        <v>304</v>
      </c>
    </row>
    <row r="376" spans="1:10" x14ac:dyDescent="0.3">
      <c r="A376" s="6" t="s">
        <v>2027</v>
      </c>
      <c r="B376" s="7" t="s">
        <v>1945</v>
      </c>
      <c r="C376" s="7" t="s">
        <v>1946</v>
      </c>
      <c r="D376" s="7" t="s">
        <v>15</v>
      </c>
      <c r="E376" s="7" t="s">
        <v>56</v>
      </c>
      <c r="F376" s="7"/>
      <c r="G376" s="7" t="s">
        <v>55</v>
      </c>
      <c r="H376" s="7">
        <v>2</v>
      </c>
      <c r="I376" s="7" t="s">
        <v>57</v>
      </c>
      <c r="J376" s="7" t="s">
        <v>155</v>
      </c>
    </row>
    <row r="377" spans="1:10" ht="15" x14ac:dyDescent="0.3">
      <c r="A377" s="10"/>
      <c r="B377" s="11"/>
      <c r="C377" s="11"/>
      <c r="D377" s="11" t="s">
        <v>2547</v>
      </c>
      <c r="E377" s="11" t="s">
        <v>2534</v>
      </c>
      <c r="F377" s="11"/>
      <c r="G377" s="11" t="s">
        <v>2548</v>
      </c>
      <c r="H377" s="11">
        <v>1189</v>
      </c>
      <c r="I377" s="11"/>
      <c r="J377" s="11"/>
    </row>
    <row r="378" spans="1:10" x14ac:dyDescent="0.3">
      <c r="A378" s="6" t="s">
        <v>2192</v>
      </c>
      <c r="B378" s="7" t="s">
        <v>127</v>
      </c>
      <c r="C378" s="7" t="s">
        <v>2193</v>
      </c>
      <c r="D378" s="7" t="s">
        <v>16</v>
      </c>
      <c r="E378" s="7" t="s">
        <v>2194</v>
      </c>
      <c r="F378" s="7" t="s">
        <v>322</v>
      </c>
      <c r="G378" s="7" t="s">
        <v>2195</v>
      </c>
      <c r="H378" s="7">
        <v>2</v>
      </c>
      <c r="I378" s="7" t="s">
        <v>2199</v>
      </c>
      <c r="J378" s="7" t="s">
        <v>2200</v>
      </c>
    </row>
    <row r="379" spans="1:10" ht="15" x14ac:dyDescent="0.3">
      <c r="A379" s="10"/>
      <c r="B379" s="11"/>
      <c r="C379" s="11"/>
      <c r="D379" s="11" t="s">
        <v>2549</v>
      </c>
      <c r="E379" s="11" t="s">
        <v>2534</v>
      </c>
      <c r="F379" s="11"/>
      <c r="G379" s="11" t="s">
        <v>2535</v>
      </c>
      <c r="H379" s="11">
        <v>2</v>
      </c>
      <c r="I379" s="11"/>
      <c r="J379" s="11"/>
    </row>
    <row r="380" spans="1:10" x14ac:dyDescent="0.3">
      <c r="A380" s="6" t="s">
        <v>1210</v>
      </c>
      <c r="B380" s="7" t="s">
        <v>127</v>
      </c>
      <c r="C380" s="7" t="s">
        <v>589</v>
      </c>
      <c r="D380" s="7" t="s">
        <v>17</v>
      </c>
      <c r="E380" s="7" t="s">
        <v>515</v>
      </c>
      <c r="F380" s="7" t="s">
        <v>516</v>
      </c>
      <c r="G380" s="7" t="s">
        <v>1211</v>
      </c>
      <c r="H380" s="7"/>
      <c r="I380" s="7" t="s">
        <v>1212</v>
      </c>
      <c r="J380" s="7" t="s">
        <v>1213</v>
      </c>
    </row>
    <row r="381" spans="1:10" ht="15" x14ac:dyDescent="0.3">
      <c r="A381" s="10"/>
      <c r="B381" s="11"/>
      <c r="C381" s="11"/>
      <c r="D381" s="11" t="s">
        <v>2550</v>
      </c>
      <c r="E381" s="11" t="s">
        <v>2534</v>
      </c>
      <c r="F381" s="11"/>
      <c r="G381" s="11" t="s">
        <v>2535</v>
      </c>
      <c r="H381" s="11">
        <v>0</v>
      </c>
      <c r="I381" s="11"/>
      <c r="J381" s="11"/>
    </row>
    <row r="382" spans="1:10" x14ac:dyDescent="0.3">
      <c r="A382" s="6" t="s">
        <v>2201</v>
      </c>
      <c r="B382" s="7" t="s">
        <v>127</v>
      </c>
      <c r="C382" s="7" t="s">
        <v>589</v>
      </c>
      <c r="D382" s="7" t="s">
        <v>18</v>
      </c>
      <c r="E382" s="7" t="s">
        <v>515</v>
      </c>
      <c r="F382" s="7" t="s">
        <v>516</v>
      </c>
      <c r="G382" s="7" t="s">
        <v>2202</v>
      </c>
      <c r="H382" s="7"/>
      <c r="I382" s="7" t="s">
        <v>170</v>
      </c>
      <c r="J382" s="7" t="s">
        <v>2205</v>
      </c>
    </row>
    <row r="383" spans="1:10" ht="15" x14ac:dyDescent="0.3">
      <c r="A383" s="10"/>
      <c r="B383" s="11"/>
      <c r="C383" s="11"/>
      <c r="D383" s="11" t="s">
        <v>2551</v>
      </c>
      <c r="E383" s="11" t="s">
        <v>2534</v>
      </c>
      <c r="F383" s="11"/>
      <c r="G383" s="11" t="s">
        <v>2535</v>
      </c>
      <c r="H383" s="11">
        <v>0</v>
      </c>
      <c r="I383" s="11"/>
      <c r="J383" s="11"/>
    </row>
    <row r="384" spans="1:10" x14ac:dyDescent="0.3">
      <c r="A384" s="6" t="s">
        <v>2206</v>
      </c>
      <c r="B384" s="7" t="s">
        <v>1215</v>
      </c>
      <c r="C384" s="7" t="s">
        <v>1045</v>
      </c>
      <c r="D384" s="7" t="s">
        <v>19</v>
      </c>
      <c r="E384" s="7" t="s">
        <v>2207</v>
      </c>
      <c r="F384" s="7" t="s">
        <v>2208</v>
      </c>
      <c r="G384" s="7" t="s">
        <v>2209</v>
      </c>
      <c r="H384" s="7">
        <v>2</v>
      </c>
      <c r="I384" s="7" t="s">
        <v>403</v>
      </c>
      <c r="J384" s="7" t="s">
        <v>462</v>
      </c>
    </row>
    <row r="385" spans="1:10" x14ac:dyDescent="0.3">
      <c r="A385" s="6" t="s">
        <v>2496</v>
      </c>
      <c r="B385" s="7" t="s">
        <v>1215</v>
      </c>
      <c r="C385" s="7" t="s">
        <v>1045</v>
      </c>
      <c r="D385" s="7" t="s">
        <v>19</v>
      </c>
      <c r="E385" s="7" t="s">
        <v>2497</v>
      </c>
      <c r="F385" s="7" t="s">
        <v>2498</v>
      </c>
      <c r="G385" s="7" t="s">
        <v>2499</v>
      </c>
      <c r="H385" s="7">
        <v>12</v>
      </c>
      <c r="I385" s="7"/>
      <c r="J385" s="7"/>
    </row>
    <row r="386" spans="1:10" x14ac:dyDescent="0.3">
      <c r="A386" s="6" t="s">
        <v>1214</v>
      </c>
      <c r="B386" s="7" t="s">
        <v>1215</v>
      </c>
      <c r="C386" s="7" t="s">
        <v>1045</v>
      </c>
      <c r="D386" s="7" t="s">
        <v>19</v>
      </c>
      <c r="E386" s="7" t="s">
        <v>1216</v>
      </c>
      <c r="F386" s="7" t="s">
        <v>236</v>
      </c>
      <c r="G386" s="7" t="s">
        <v>1217</v>
      </c>
      <c r="H386" s="7">
        <v>9</v>
      </c>
      <c r="I386" s="7" t="s">
        <v>165</v>
      </c>
      <c r="J386" s="7" t="s">
        <v>1218</v>
      </c>
    </row>
    <row r="387" spans="1:10" x14ac:dyDescent="0.3">
      <c r="A387" s="6" t="s">
        <v>1219</v>
      </c>
      <c r="B387" s="7" t="s">
        <v>1215</v>
      </c>
      <c r="C387" s="7" t="s">
        <v>1045</v>
      </c>
      <c r="D387" s="7" t="s">
        <v>19</v>
      </c>
      <c r="E387" s="7" t="s">
        <v>1220</v>
      </c>
      <c r="F387" s="7" t="s">
        <v>1221</v>
      </c>
      <c r="G387" s="7" t="s">
        <v>1222</v>
      </c>
      <c r="H387" s="7">
        <v>4</v>
      </c>
      <c r="I387" s="7" t="s">
        <v>324</v>
      </c>
      <c r="J387" s="7" t="s">
        <v>1223</v>
      </c>
    </row>
    <row r="388" spans="1:10" x14ac:dyDescent="0.3">
      <c r="A388" s="6" t="s">
        <v>2212</v>
      </c>
      <c r="B388" s="7" t="s">
        <v>1215</v>
      </c>
      <c r="C388" s="7" t="s">
        <v>1045</v>
      </c>
      <c r="D388" s="7" t="s">
        <v>19</v>
      </c>
      <c r="E388" s="7" t="s">
        <v>2213</v>
      </c>
      <c r="F388" s="7" t="s">
        <v>1025</v>
      </c>
      <c r="G388" s="7" t="s">
        <v>2214</v>
      </c>
      <c r="H388" s="7">
        <v>14</v>
      </c>
      <c r="I388" s="7" t="s">
        <v>1190</v>
      </c>
      <c r="J388" s="7" t="s">
        <v>2216</v>
      </c>
    </row>
    <row r="389" spans="1:10" ht="15" x14ac:dyDescent="0.3">
      <c r="A389" s="10"/>
      <c r="B389" s="11"/>
      <c r="C389" s="11"/>
      <c r="D389" s="11" t="s">
        <v>2552</v>
      </c>
      <c r="E389" s="11" t="s">
        <v>2534</v>
      </c>
      <c r="F389" s="11"/>
      <c r="G389" s="11" t="s">
        <v>2553</v>
      </c>
      <c r="H389" s="11">
        <v>41</v>
      </c>
      <c r="I389" s="11"/>
      <c r="J389" s="11"/>
    </row>
    <row r="390" spans="1:10" x14ac:dyDescent="0.3">
      <c r="A390" s="6" t="s">
        <v>1267</v>
      </c>
      <c r="B390" s="7" t="s">
        <v>127</v>
      </c>
      <c r="C390" s="7" t="s">
        <v>589</v>
      </c>
      <c r="D390" s="7" t="s">
        <v>20</v>
      </c>
      <c r="E390" s="7" t="s">
        <v>1268</v>
      </c>
      <c r="F390" s="7" t="s">
        <v>322</v>
      </c>
      <c r="G390" s="7" t="s">
        <v>1269</v>
      </c>
      <c r="H390" s="7"/>
      <c r="I390" s="7" t="s">
        <v>995</v>
      </c>
      <c r="J390" s="7" t="s">
        <v>1270</v>
      </c>
    </row>
    <row r="391" spans="1:10" x14ac:dyDescent="0.3">
      <c r="A391" s="6" t="s">
        <v>1245</v>
      </c>
      <c r="B391" s="7" t="s">
        <v>127</v>
      </c>
      <c r="C391" s="7" t="s">
        <v>589</v>
      </c>
      <c r="D391" s="7" t="s">
        <v>20</v>
      </c>
      <c r="E391" s="7" t="s">
        <v>1246</v>
      </c>
      <c r="F391" s="7" t="s">
        <v>1247</v>
      </c>
      <c r="G391" s="7" t="s">
        <v>1248</v>
      </c>
      <c r="H391" s="7"/>
      <c r="I391" s="7" t="s">
        <v>1249</v>
      </c>
      <c r="J391" s="7" t="s">
        <v>1081</v>
      </c>
    </row>
    <row r="392" spans="1:10" x14ac:dyDescent="0.3">
      <c r="A392" s="6" t="s">
        <v>1239</v>
      </c>
      <c r="B392" s="7" t="s">
        <v>127</v>
      </c>
      <c r="C392" s="7" t="s">
        <v>589</v>
      </c>
      <c r="D392" s="7" t="s">
        <v>20</v>
      </c>
      <c r="E392" s="7" t="s">
        <v>1240</v>
      </c>
      <c r="F392" s="7" t="s">
        <v>1241</v>
      </c>
      <c r="G392" s="7" t="s">
        <v>1242</v>
      </c>
      <c r="H392" s="7"/>
      <c r="I392" s="7" t="s">
        <v>1243</v>
      </c>
      <c r="J392" s="7" t="s">
        <v>1244</v>
      </c>
    </row>
    <row r="393" spans="1:10" x14ac:dyDescent="0.3">
      <c r="A393" s="6" t="s">
        <v>1271</v>
      </c>
      <c r="B393" s="7" t="s">
        <v>127</v>
      </c>
      <c r="C393" s="7" t="s">
        <v>589</v>
      </c>
      <c r="D393" s="7" t="s">
        <v>20</v>
      </c>
      <c r="E393" s="7" t="s">
        <v>1272</v>
      </c>
      <c r="F393" s="7" t="s">
        <v>1273</v>
      </c>
      <c r="G393" s="7" t="s">
        <v>1274</v>
      </c>
      <c r="H393" s="7"/>
      <c r="I393" s="7" t="s">
        <v>279</v>
      </c>
      <c r="J393" s="7" t="s">
        <v>1275</v>
      </c>
    </row>
    <row r="394" spans="1:10" x14ac:dyDescent="0.3">
      <c r="A394" s="6" t="s">
        <v>1228</v>
      </c>
      <c r="B394" s="7" t="s">
        <v>127</v>
      </c>
      <c r="C394" s="7" t="s">
        <v>589</v>
      </c>
      <c r="D394" s="7" t="s">
        <v>20</v>
      </c>
      <c r="E394" s="7" t="s">
        <v>1229</v>
      </c>
      <c r="F394" s="7" t="s">
        <v>1230</v>
      </c>
      <c r="G394" s="7" t="s">
        <v>1231</v>
      </c>
      <c r="H394" s="7"/>
      <c r="I394" s="7" t="s">
        <v>1232</v>
      </c>
      <c r="J394" s="7" t="s">
        <v>1233</v>
      </c>
    </row>
    <row r="395" spans="1:10" x14ac:dyDescent="0.3">
      <c r="A395" s="6" t="s">
        <v>1265</v>
      </c>
      <c r="B395" s="7" t="s">
        <v>127</v>
      </c>
      <c r="C395" s="7" t="s">
        <v>589</v>
      </c>
      <c r="D395" s="7" t="s">
        <v>20</v>
      </c>
      <c r="E395" s="7" t="s">
        <v>1266</v>
      </c>
      <c r="F395" s="7" t="s">
        <v>649</v>
      </c>
      <c r="G395" s="7" t="s">
        <v>66</v>
      </c>
      <c r="H395" s="7"/>
      <c r="I395" s="7" t="s">
        <v>69</v>
      </c>
      <c r="J395" s="7" t="s">
        <v>348</v>
      </c>
    </row>
    <row r="396" spans="1:10" x14ac:dyDescent="0.3">
      <c r="A396" s="6" t="s">
        <v>1261</v>
      </c>
      <c r="B396" s="7" t="s">
        <v>127</v>
      </c>
      <c r="C396" s="7" t="s">
        <v>589</v>
      </c>
      <c r="D396" s="7" t="s">
        <v>20</v>
      </c>
      <c r="E396" s="7" t="s">
        <v>1262</v>
      </c>
      <c r="F396" s="7" t="s">
        <v>1263</v>
      </c>
      <c r="G396" s="7" t="s">
        <v>1264</v>
      </c>
      <c r="H396" s="7"/>
      <c r="I396" s="7" t="s">
        <v>308</v>
      </c>
      <c r="J396" s="7" t="s">
        <v>189</v>
      </c>
    </row>
    <row r="397" spans="1:10" x14ac:dyDescent="0.3">
      <c r="A397" s="6" t="s">
        <v>1224</v>
      </c>
      <c r="B397" s="7" t="s">
        <v>127</v>
      </c>
      <c r="C397" s="7" t="s">
        <v>589</v>
      </c>
      <c r="D397" s="7" t="s">
        <v>20</v>
      </c>
      <c r="E397" s="7" t="s">
        <v>1225</v>
      </c>
      <c r="F397" s="7" t="s">
        <v>1226</v>
      </c>
      <c r="G397" s="7" t="s">
        <v>1227</v>
      </c>
      <c r="H397" s="7"/>
      <c r="I397" s="7" t="s">
        <v>308</v>
      </c>
      <c r="J397" s="7" t="s">
        <v>199</v>
      </c>
    </row>
    <row r="398" spans="1:10" x14ac:dyDescent="0.3">
      <c r="A398" s="6" t="s">
        <v>2219</v>
      </c>
      <c r="B398" s="7" t="s">
        <v>127</v>
      </c>
      <c r="C398" s="7" t="s">
        <v>589</v>
      </c>
      <c r="D398" s="7" t="s">
        <v>20</v>
      </c>
      <c r="E398" s="7" t="s">
        <v>2220</v>
      </c>
      <c r="F398" s="7" t="s">
        <v>2221</v>
      </c>
      <c r="G398" s="7" t="s">
        <v>2222</v>
      </c>
      <c r="H398" s="7"/>
      <c r="I398" s="7" t="s">
        <v>2225</v>
      </c>
      <c r="J398" s="7" t="s">
        <v>2129</v>
      </c>
    </row>
    <row r="399" spans="1:10" x14ac:dyDescent="0.3">
      <c r="A399" s="6" t="s">
        <v>1259</v>
      </c>
      <c r="B399" s="7" t="s">
        <v>127</v>
      </c>
      <c r="C399" s="7" t="s">
        <v>589</v>
      </c>
      <c r="D399" s="7" t="s">
        <v>20</v>
      </c>
      <c r="E399" s="7" t="s">
        <v>1260</v>
      </c>
      <c r="F399" s="7" t="s">
        <v>723</v>
      </c>
      <c r="G399" s="7" t="s">
        <v>84</v>
      </c>
      <c r="H399" s="7"/>
      <c r="I399" s="7" t="s">
        <v>87</v>
      </c>
      <c r="J399" s="7" t="s">
        <v>725</v>
      </c>
    </row>
    <row r="400" spans="1:10" x14ac:dyDescent="0.3">
      <c r="A400" s="6" t="s">
        <v>1234</v>
      </c>
      <c r="B400" s="7" t="s">
        <v>127</v>
      </c>
      <c r="C400" s="7" t="s">
        <v>589</v>
      </c>
      <c r="D400" s="7" t="s">
        <v>20</v>
      </c>
      <c r="E400" s="7" t="s">
        <v>1235</v>
      </c>
      <c r="F400" s="7" t="s">
        <v>591</v>
      </c>
      <c r="G400" s="7" t="s">
        <v>1236</v>
      </c>
      <c r="H400" s="7"/>
      <c r="I400" s="7" t="s">
        <v>1237</v>
      </c>
      <c r="J400" s="7" t="s">
        <v>1238</v>
      </c>
    </row>
    <row r="401" spans="1:10" x14ac:dyDescent="0.3">
      <c r="A401" s="6" t="s">
        <v>1281</v>
      </c>
      <c r="B401" s="7" t="s">
        <v>127</v>
      </c>
      <c r="C401" s="7" t="s">
        <v>589</v>
      </c>
      <c r="D401" s="7" t="s">
        <v>20</v>
      </c>
      <c r="E401" s="7" t="s">
        <v>1282</v>
      </c>
      <c r="F401" s="7" t="s">
        <v>1283</v>
      </c>
      <c r="G401" s="7" t="s">
        <v>1284</v>
      </c>
      <c r="H401" s="7"/>
      <c r="I401" s="7" t="s">
        <v>1280</v>
      </c>
      <c r="J401" s="7" t="s">
        <v>781</v>
      </c>
    </row>
    <row r="402" spans="1:10" x14ac:dyDescent="0.3">
      <c r="A402" s="6" t="s">
        <v>1276</v>
      </c>
      <c r="B402" s="7" t="s">
        <v>127</v>
      </c>
      <c r="C402" s="7" t="s">
        <v>589</v>
      </c>
      <c r="D402" s="7" t="s">
        <v>20</v>
      </c>
      <c r="E402" s="7" t="s">
        <v>1277</v>
      </c>
      <c r="F402" s="7" t="s">
        <v>1278</v>
      </c>
      <c r="G402" s="7" t="s">
        <v>1279</v>
      </c>
      <c r="H402" s="7"/>
      <c r="I402" s="7" t="s">
        <v>1280</v>
      </c>
      <c r="J402" s="7" t="s">
        <v>781</v>
      </c>
    </row>
    <row r="403" spans="1:10" x14ac:dyDescent="0.3">
      <c r="A403" s="6" t="s">
        <v>1285</v>
      </c>
      <c r="B403" s="7" t="s">
        <v>127</v>
      </c>
      <c r="C403" s="7" t="s">
        <v>589</v>
      </c>
      <c r="D403" s="7" t="s">
        <v>20</v>
      </c>
      <c r="E403" s="7" t="s">
        <v>1286</v>
      </c>
      <c r="F403" s="7" t="s">
        <v>1287</v>
      </c>
      <c r="G403" s="7" t="s">
        <v>1288</v>
      </c>
      <c r="H403" s="7"/>
      <c r="I403" s="7" t="s">
        <v>621</v>
      </c>
      <c r="J403" s="7" t="s">
        <v>1289</v>
      </c>
    </row>
    <row r="404" spans="1:10" x14ac:dyDescent="0.3">
      <c r="A404" s="6" t="s">
        <v>1326</v>
      </c>
      <c r="B404" s="7" t="s">
        <v>127</v>
      </c>
      <c r="C404" s="7" t="s">
        <v>589</v>
      </c>
      <c r="D404" s="7" t="s">
        <v>20</v>
      </c>
      <c r="E404" s="7" t="s">
        <v>1327</v>
      </c>
      <c r="F404" s="7" t="s">
        <v>1035</v>
      </c>
      <c r="G404" s="7" t="s">
        <v>1328</v>
      </c>
      <c r="H404" s="7"/>
      <c r="I404" s="7" t="s">
        <v>1329</v>
      </c>
      <c r="J404" s="7" t="s">
        <v>1330</v>
      </c>
    </row>
    <row r="405" spans="1:10" x14ac:dyDescent="0.3">
      <c r="A405" s="6" t="s">
        <v>1331</v>
      </c>
      <c r="B405" s="7" t="s">
        <v>127</v>
      </c>
      <c r="C405" s="7" t="s">
        <v>589</v>
      </c>
      <c r="D405" s="7" t="s">
        <v>20</v>
      </c>
      <c r="E405" s="7" t="s">
        <v>1327</v>
      </c>
      <c r="F405" s="7" t="s">
        <v>1035</v>
      </c>
      <c r="G405" s="7" t="s">
        <v>1332</v>
      </c>
      <c r="H405" s="7"/>
      <c r="I405" s="7" t="s">
        <v>290</v>
      </c>
      <c r="J405" s="7" t="s">
        <v>1333</v>
      </c>
    </row>
    <row r="406" spans="1:10" x14ac:dyDescent="0.3">
      <c r="A406" s="6" t="s">
        <v>1322</v>
      </c>
      <c r="B406" s="7" t="s">
        <v>127</v>
      </c>
      <c r="C406" s="7" t="s">
        <v>589</v>
      </c>
      <c r="D406" s="7" t="s">
        <v>20</v>
      </c>
      <c r="E406" s="7" t="s">
        <v>1323</v>
      </c>
      <c r="F406" s="7" t="s">
        <v>1324</v>
      </c>
      <c r="G406" s="7" t="s">
        <v>1325</v>
      </c>
      <c r="H406" s="7"/>
      <c r="I406" s="7" t="s">
        <v>1280</v>
      </c>
      <c r="J406" s="7" t="s">
        <v>781</v>
      </c>
    </row>
    <row r="407" spans="1:10" x14ac:dyDescent="0.3">
      <c r="A407" s="6" t="s">
        <v>1319</v>
      </c>
      <c r="B407" s="7" t="s">
        <v>127</v>
      </c>
      <c r="C407" s="7" t="s">
        <v>589</v>
      </c>
      <c r="D407" s="7" t="s">
        <v>20</v>
      </c>
      <c r="E407" s="7" t="s">
        <v>1320</v>
      </c>
      <c r="F407" s="7" t="s">
        <v>516</v>
      </c>
      <c r="G407" s="7" t="s">
        <v>1321</v>
      </c>
      <c r="H407" s="7"/>
      <c r="I407" s="7" t="s">
        <v>1212</v>
      </c>
      <c r="J407" s="7" t="s">
        <v>1308</v>
      </c>
    </row>
    <row r="408" spans="1:10" x14ac:dyDescent="0.3">
      <c r="A408" s="6" t="s">
        <v>2245</v>
      </c>
      <c r="B408" s="7" t="s">
        <v>127</v>
      </c>
      <c r="C408" s="7" t="s">
        <v>589</v>
      </c>
      <c r="D408" s="7" t="s">
        <v>20</v>
      </c>
      <c r="E408" s="7" t="s">
        <v>2246</v>
      </c>
      <c r="F408" s="7" t="s">
        <v>2247</v>
      </c>
      <c r="G408" s="7" t="s">
        <v>2247</v>
      </c>
      <c r="H408" s="7"/>
      <c r="I408" s="7" t="s">
        <v>2249</v>
      </c>
      <c r="J408" s="7" t="s">
        <v>666</v>
      </c>
    </row>
    <row r="409" spans="1:10" x14ac:dyDescent="0.3">
      <c r="A409" s="6" t="s">
        <v>1314</v>
      </c>
      <c r="B409" s="7" t="s">
        <v>127</v>
      </c>
      <c r="C409" s="7" t="s">
        <v>589</v>
      </c>
      <c r="D409" s="7" t="s">
        <v>20</v>
      </c>
      <c r="E409" s="7" t="s">
        <v>1315</v>
      </c>
      <c r="F409" s="7"/>
      <c r="G409" s="7" t="s">
        <v>1316</v>
      </c>
      <c r="H409" s="7"/>
      <c r="I409" s="7" t="s">
        <v>1317</v>
      </c>
      <c r="J409" s="7" t="s">
        <v>1318</v>
      </c>
    </row>
    <row r="410" spans="1:10" x14ac:dyDescent="0.3">
      <c r="A410" s="6" t="s">
        <v>2226</v>
      </c>
      <c r="B410" s="7" t="s">
        <v>127</v>
      </c>
      <c r="C410" s="7" t="s">
        <v>589</v>
      </c>
      <c r="D410" s="7" t="s">
        <v>20</v>
      </c>
      <c r="E410" s="7" t="s">
        <v>2227</v>
      </c>
      <c r="F410" s="7" t="s">
        <v>669</v>
      </c>
      <c r="G410" s="7" t="s">
        <v>2228</v>
      </c>
      <c r="H410" s="7"/>
      <c r="I410" s="7" t="s">
        <v>1233</v>
      </c>
      <c r="J410" s="7" t="s">
        <v>736</v>
      </c>
    </row>
    <row r="411" spans="1:10" x14ac:dyDescent="0.3">
      <c r="A411" s="6" t="s">
        <v>1309</v>
      </c>
      <c r="B411" s="7" t="s">
        <v>127</v>
      </c>
      <c r="C411" s="7" t="s">
        <v>589</v>
      </c>
      <c r="D411" s="7" t="s">
        <v>20</v>
      </c>
      <c r="E411" s="7" t="s">
        <v>1310</v>
      </c>
      <c r="F411" s="7" t="s">
        <v>1311</v>
      </c>
      <c r="G411" s="7" t="s">
        <v>1312</v>
      </c>
      <c r="H411" s="7"/>
      <c r="I411" s="7" t="s">
        <v>1313</v>
      </c>
      <c r="J411" s="7" t="s">
        <v>189</v>
      </c>
    </row>
    <row r="412" spans="1:10" x14ac:dyDescent="0.3">
      <c r="A412" s="6" t="s">
        <v>2238</v>
      </c>
      <c r="B412" s="7" t="s">
        <v>127</v>
      </c>
      <c r="C412" s="7" t="s">
        <v>589</v>
      </c>
      <c r="D412" s="7" t="s">
        <v>20</v>
      </c>
      <c r="E412" s="7" t="s">
        <v>2239</v>
      </c>
      <c r="F412" s="7" t="s">
        <v>2240</v>
      </c>
      <c r="G412" s="7" t="s">
        <v>2241</v>
      </c>
      <c r="H412" s="7"/>
      <c r="I412" s="7" t="s">
        <v>265</v>
      </c>
      <c r="J412" s="7" t="s">
        <v>612</v>
      </c>
    </row>
    <row r="413" spans="1:10" x14ac:dyDescent="0.3">
      <c r="A413" s="6" t="s">
        <v>1250</v>
      </c>
      <c r="B413" s="7" t="s">
        <v>127</v>
      </c>
      <c r="C413" s="7" t="s">
        <v>589</v>
      </c>
      <c r="D413" s="7" t="s">
        <v>20</v>
      </c>
      <c r="E413" s="7" t="s">
        <v>1251</v>
      </c>
      <c r="F413" s="7" t="s">
        <v>633</v>
      </c>
      <c r="G413" s="7" t="s">
        <v>1252</v>
      </c>
      <c r="H413" s="7"/>
      <c r="I413" s="7" t="s">
        <v>1253</v>
      </c>
      <c r="J413" s="7" t="s">
        <v>404</v>
      </c>
    </row>
    <row r="414" spans="1:10" x14ac:dyDescent="0.3">
      <c r="A414" s="6" t="s">
        <v>1298</v>
      </c>
      <c r="B414" s="7" t="s">
        <v>127</v>
      </c>
      <c r="C414" s="7" t="s">
        <v>589</v>
      </c>
      <c r="D414" s="7" t="s">
        <v>20</v>
      </c>
      <c r="E414" s="7" t="s">
        <v>1299</v>
      </c>
      <c r="F414" s="7" t="s">
        <v>1300</v>
      </c>
      <c r="G414" s="7" t="s">
        <v>1301</v>
      </c>
      <c r="H414" s="7"/>
      <c r="I414" s="7" t="s">
        <v>328</v>
      </c>
      <c r="J414" s="7" t="s">
        <v>1302</v>
      </c>
    </row>
    <row r="415" spans="1:10" x14ac:dyDescent="0.3">
      <c r="A415" s="6" t="s">
        <v>2231</v>
      </c>
      <c r="B415" s="7" t="s">
        <v>127</v>
      </c>
      <c r="C415" s="7" t="s">
        <v>589</v>
      </c>
      <c r="D415" s="7" t="s">
        <v>20</v>
      </c>
      <c r="E415" s="7" t="s">
        <v>2232</v>
      </c>
      <c r="F415" s="7" t="s">
        <v>2233</v>
      </c>
      <c r="G415" s="7" t="s">
        <v>2234</v>
      </c>
      <c r="H415" s="7"/>
      <c r="I415" s="7" t="s">
        <v>2237</v>
      </c>
      <c r="J415" s="7" t="s">
        <v>199</v>
      </c>
    </row>
    <row r="416" spans="1:10" x14ac:dyDescent="0.3">
      <c r="A416" s="6" t="s">
        <v>1292</v>
      </c>
      <c r="B416" s="7" t="s">
        <v>127</v>
      </c>
      <c r="C416" s="7" t="s">
        <v>589</v>
      </c>
      <c r="D416" s="7" t="s">
        <v>20</v>
      </c>
      <c r="E416" s="7" t="s">
        <v>1293</v>
      </c>
      <c r="F416" s="7" t="s">
        <v>1294</v>
      </c>
      <c r="G416" s="7" t="s">
        <v>1295</v>
      </c>
      <c r="H416" s="7"/>
      <c r="I416" s="7" t="s">
        <v>1296</v>
      </c>
      <c r="J416" s="7" t="s">
        <v>1297</v>
      </c>
    </row>
    <row r="417" spans="1:10" x14ac:dyDescent="0.3">
      <c r="A417" s="6" t="s">
        <v>1290</v>
      </c>
      <c r="B417" s="7" t="s">
        <v>127</v>
      </c>
      <c r="C417" s="7" t="s">
        <v>589</v>
      </c>
      <c r="D417" s="7" t="s">
        <v>20</v>
      </c>
      <c r="E417" s="7" t="s">
        <v>1291</v>
      </c>
      <c r="F417" s="7"/>
      <c r="G417" s="7" t="s">
        <v>112</v>
      </c>
      <c r="H417" s="7"/>
      <c r="I417" s="7" t="s">
        <v>487</v>
      </c>
      <c r="J417" s="7" t="s">
        <v>683</v>
      </c>
    </row>
    <row r="418" spans="1:10" x14ac:dyDescent="0.3">
      <c r="A418" s="6" t="s">
        <v>1303</v>
      </c>
      <c r="B418" s="7" t="s">
        <v>127</v>
      </c>
      <c r="C418" s="7" t="s">
        <v>589</v>
      </c>
      <c r="D418" s="7" t="s">
        <v>20</v>
      </c>
      <c r="E418" s="7" t="s">
        <v>1304</v>
      </c>
      <c r="F418" s="7" t="s">
        <v>1305</v>
      </c>
      <c r="G418" s="7" t="s">
        <v>1306</v>
      </c>
      <c r="H418" s="7"/>
      <c r="I418" s="7" t="s">
        <v>1307</v>
      </c>
      <c r="J418" s="7" t="s">
        <v>1308</v>
      </c>
    </row>
    <row r="419" spans="1:10" x14ac:dyDescent="0.3">
      <c r="A419" s="6" t="s">
        <v>1254</v>
      </c>
      <c r="B419" s="7" t="s">
        <v>127</v>
      </c>
      <c r="C419" s="7" t="s">
        <v>589</v>
      </c>
      <c r="D419" s="7" t="s">
        <v>20</v>
      </c>
      <c r="E419" s="7" t="s">
        <v>1255</v>
      </c>
      <c r="F419" s="7" t="s">
        <v>1256</v>
      </c>
      <c r="G419" s="7" t="s">
        <v>1257</v>
      </c>
      <c r="H419" s="7"/>
      <c r="I419" s="7" t="s">
        <v>1258</v>
      </c>
      <c r="J419" s="7" t="s">
        <v>189</v>
      </c>
    </row>
    <row r="420" spans="1:10" ht="15" x14ac:dyDescent="0.3">
      <c r="A420" s="10"/>
      <c r="B420" s="11"/>
      <c r="C420" s="11"/>
      <c r="D420" s="11" t="s">
        <v>2554</v>
      </c>
      <c r="E420" s="11" t="s">
        <v>2534</v>
      </c>
      <c r="F420" s="11"/>
      <c r="G420" s="11" t="s">
        <v>2555</v>
      </c>
      <c r="H420" s="11">
        <v>0</v>
      </c>
      <c r="I420" s="11"/>
      <c r="J420" s="11"/>
    </row>
    <row r="421" spans="1:10" x14ac:dyDescent="0.3">
      <c r="A421" s="6" t="s">
        <v>1334</v>
      </c>
      <c r="B421" s="7" t="s">
        <v>127</v>
      </c>
      <c r="C421" s="7" t="s">
        <v>589</v>
      </c>
      <c r="D421" s="7" t="s">
        <v>21</v>
      </c>
      <c r="E421" s="7" t="s">
        <v>1335</v>
      </c>
      <c r="F421" s="7" t="s">
        <v>1336</v>
      </c>
      <c r="G421" s="7" t="s">
        <v>1337</v>
      </c>
      <c r="H421" s="7">
        <v>38</v>
      </c>
      <c r="I421" s="7" t="s">
        <v>1338</v>
      </c>
      <c r="J421" s="7" t="s">
        <v>1339</v>
      </c>
    </row>
    <row r="422" spans="1:10" x14ac:dyDescent="0.3">
      <c r="A422" s="6" t="s">
        <v>1340</v>
      </c>
      <c r="B422" s="7" t="s">
        <v>127</v>
      </c>
      <c r="C422" s="7" t="s">
        <v>589</v>
      </c>
      <c r="D422" s="7" t="s">
        <v>21</v>
      </c>
      <c r="E422" s="7" t="s">
        <v>1341</v>
      </c>
      <c r="F422" s="7" t="s">
        <v>1342</v>
      </c>
      <c r="G422" s="7" t="s">
        <v>1343</v>
      </c>
      <c r="H422" s="7">
        <v>8</v>
      </c>
      <c r="I422" s="7" t="s">
        <v>764</v>
      </c>
      <c r="J422" s="7" t="s">
        <v>1344</v>
      </c>
    </row>
    <row r="423" spans="1:10" ht="15" x14ac:dyDescent="0.3">
      <c r="A423" s="10"/>
      <c r="B423" s="11"/>
      <c r="C423" s="11"/>
      <c r="D423" s="11" t="s">
        <v>2556</v>
      </c>
      <c r="E423" s="11" t="s">
        <v>2534</v>
      </c>
      <c r="F423" s="11"/>
      <c r="G423" s="11" t="s">
        <v>2557</v>
      </c>
      <c r="H423" s="11">
        <v>46</v>
      </c>
      <c r="I423" s="11"/>
      <c r="J423" s="11"/>
    </row>
    <row r="424" spans="1:10" x14ac:dyDescent="0.3">
      <c r="A424" s="6" t="s">
        <v>1357</v>
      </c>
      <c r="B424" s="7" t="s">
        <v>127</v>
      </c>
      <c r="C424" s="7" t="s">
        <v>589</v>
      </c>
      <c r="D424" s="7" t="s">
        <v>22</v>
      </c>
      <c r="E424" s="7" t="s">
        <v>1034</v>
      </c>
      <c r="F424" s="7" t="s">
        <v>1035</v>
      </c>
      <c r="G424" s="7" t="s">
        <v>1358</v>
      </c>
      <c r="H424" s="7"/>
      <c r="I424" s="7" t="s">
        <v>1359</v>
      </c>
      <c r="J424" s="7" t="s">
        <v>1360</v>
      </c>
    </row>
    <row r="425" spans="1:10" x14ac:dyDescent="0.3">
      <c r="A425" s="6" t="s">
        <v>1353</v>
      </c>
      <c r="B425" s="7" t="s">
        <v>127</v>
      </c>
      <c r="C425" s="7" t="s">
        <v>589</v>
      </c>
      <c r="D425" s="7" t="s">
        <v>22</v>
      </c>
      <c r="E425" s="7" t="s">
        <v>1354</v>
      </c>
      <c r="F425" s="7" t="s">
        <v>1355</v>
      </c>
      <c r="G425" s="7" t="s">
        <v>1356</v>
      </c>
      <c r="H425" s="7"/>
      <c r="I425" s="7" t="s">
        <v>196</v>
      </c>
      <c r="J425" s="7" t="s">
        <v>676</v>
      </c>
    </row>
    <row r="426" spans="1:10" x14ac:dyDescent="0.3">
      <c r="A426" s="6" t="s">
        <v>2253</v>
      </c>
      <c r="B426" s="7" t="s">
        <v>127</v>
      </c>
      <c r="C426" s="7" t="s">
        <v>589</v>
      </c>
      <c r="D426" s="7" t="s">
        <v>22</v>
      </c>
      <c r="E426" s="7" t="s">
        <v>1347</v>
      </c>
      <c r="F426" s="7" t="s">
        <v>1204</v>
      </c>
      <c r="G426" s="7" t="s">
        <v>2254</v>
      </c>
      <c r="H426" s="7"/>
      <c r="I426" s="7" t="s">
        <v>2256</v>
      </c>
      <c r="J426" s="7" t="s">
        <v>542</v>
      </c>
    </row>
    <row r="427" spans="1:10" x14ac:dyDescent="0.3">
      <c r="A427" s="6" t="s">
        <v>1345</v>
      </c>
      <c r="B427" s="7" t="s">
        <v>127</v>
      </c>
      <c r="C427" s="7" t="s">
        <v>589</v>
      </c>
      <c r="D427" s="7" t="s">
        <v>22</v>
      </c>
      <c r="E427" s="7" t="s">
        <v>722</v>
      </c>
      <c r="F427" s="7" t="s">
        <v>723</v>
      </c>
      <c r="G427" s="7" t="s">
        <v>724</v>
      </c>
      <c r="H427" s="7"/>
      <c r="I427" s="7" t="s">
        <v>87</v>
      </c>
      <c r="J427" s="7" t="s">
        <v>725</v>
      </c>
    </row>
    <row r="428" spans="1:10" x14ac:dyDescent="0.3">
      <c r="A428" s="6" t="s">
        <v>1348</v>
      </c>
      <c r="B428" s="7" t="s">
        <v>127</v>
      </c>
      <c r="C428" s="7" t="s">
        <v>589</v>
      </c>
      <c r="D428" s="7" t="s">
        <v>22</v>
      </c>
      <c r="E428" s="7" t="s">
        <v>515</v>
      </c>
      <c r="F428" s="7" t="s">
        <v>516</v>
      </c>
      <c r="G428" s="7" t="s">
        <v>1349</v>
      </c>
      <c r="H428" s="7"/>
      <c r="I428" s="7" t="s">
        <v>1350</v>
      </c>
      <c r="J428" s="7" t="s">
        <v>367</v>
      </c>
    </row>
    <row r="429" spans="1:10" x14ac:dyDescent="0.3">
      <c r="A429" s="6" t="s">
        <v>1351</v>
      </c>
      <c r="B429" s="7" t="s">
        <v>127</v>
      </c>
      <c r="C429" s="7" t="s">
        <v>589</v>
      </c>
      <c r="D429" s="7" t="s">
        <v>22</v>
      </c>
      <c r="E429" s="7" t="s">
        <v>515</v>
      </c>
      <c r="F429" s="7" t="s">
        <v>516</v>
      </c>
      <c r="G429" s="7" t="s">
        <v>1352</v>
      </c>
      <c r="H429" s="7"/>
      <c r="I429" s="7" t="s">
        <v>165</v>
      </c>
      <c r="J429" s="7" t="s">
        <v>143</v>
      </c>
    </row>
    <row r="430" spans="1:10" x14ac:dyDescent="0.3">
      <c r="A430" s="6" t="s">
        <v>1361</v>
      </c>
      <c r="B430" s="7" t="s">
        <v>127</v>
      </c>
      <c r="C430" s="7" t="s">
        <v>589</v>
      </c>
      <c r="D430" s="7" t="s">
        <v>22</v>
      </c>
      <c r="E430" s="7" t="s">
        <v>1034</v>
      </c>
      <c r="F430" s="7" t="s">
        <v>1035</v>
      </c>
      <c r="G430" s="7" t="s">
        <v>1362</v>
      </c>
      <c r="H430" s="7"/>
      <c r="I430" s="7" t="s">
        <v>1363</v>
      </c>
      <c r="J430" s="7" t="s">
        <v>885</v>
      </c>
    </row>
    <row r="431" spans="1:10" x14ac:dyDescent="0.3">
      <c r="A431" s="6" t="s">
        <v>1346</v>
      </c>
      <c r="B431" s="7" t="s">
        <v>127</v>
      </c>
      <c r="C431" s="7" t="s">
        <v>589</v>
      </c>
      <c r="D431" s="7" t="s">
        <v>22</v>
      </c>
      <c r="E431" s="7" t="s">
        <v>1347</v>
      </c>
      <c r="F431" s="7" t="s">
        <v>1204</v>
      </c>
      <c r="G431" s="7" t="s">
        <v>96</v>
      </c>
      <c r="H431" s="7"/>
      <c r="I431" s="7" t="s">
        <v>99</v>
      </c>
      <c r="J431" s="7" t="s">
        <v>593</v>
      </c>
    </row>
    <row r="432" spans="1:10" ht="15" x14ac:dyDescent="0.3">
      <c r="A432" s="10"/>
      <c r="B432" s="11"/>
      <c r="C432" s="11"/>
      <c r="D432" s="11" t="s">
        <v>2558</v>
      </c>
      <c r="E432" s="11" t="s">
        <v>2534</v>
      </c>
      <c r="F432" s="11"/>
      <c r="G432" s="11" t="s">
        <v>2559</v>
      </c>
      <c r="H432" s="11">
        <v>0</v>
      </c>
      <c r="I432" s="11"/>
      <c r="J432" s="11"/>
    </row>
    <row r="433" spans="1:10" x14ac:dyDescent="0.3">
      <c r="A433" s="6" t="s">
        <v>2257</v>
      </c>
      <c r="B433" s="7" t="s">
        <v>127</v>
      </c>
      <c r="C433" s="7" t="s">
        <v>589</v>
      </c>
      <c r="D433" s="7" t="s">
        <v>23</v>
      </c>
      <c r="E433" s="7" t="s">
        <v>2258</v>
      </c>
      <c r="F433" s="7" t="s">
        <v>2259</v>
      </c>
      <c r="G433" s="7" t="s">
        <v>2260</v>
      </c>
      <c r="H433" s="7"/>
      <c r="I433" s="7" t="s">
        <v>324</v>
      </c>
      <c r="J433" s="7" t="s">
        <v>294</v>
      </c>
    </row>
    <row r="434" spans="1:10" ht="15" x14ac:dyDescent="0.3">
      <c r="A434" s="10"/>
      <c r="B434" s="11"/>
      <c r="C434" s="11"/>
      <c r="D434" s="11" t="s">
        <v>2560</v>
      </c>
      <c r="E434" s="11" t="s">
        <v>2534</v>
      </c>
      <c r="F434" s="11"/>
      <c r="G434" s="11" t="s">
        <v>2535</v>
      </c>
      <c r="H434" s="11">
        <v>0</v>
      </c>
      <c r="I434" s="11"/>
      <c r="J434" s="11"/>
    </row>
    <row r="435" spans="1:10" x14ac:dyDescent="0.3">
      <c r="A435" s="6" t="s">
        <v>1364</v>
      </c>
      <c r="B435" s="7" t="s">
        <v>127</v>
      </c>
      <c r="C435" s="7" t="s">
        <v>1365</v>
      </c>
      <c r="D435" s="7" t="s">
        <v>24</v>
      </c>
      <c r="E435" s="7" t="s">
        <v>1034</v>
      </c>
      <c r="F435" s="7" t="s">
        <v>1035</v>
      </c>
      <c r="G435" s="7" t="s">
        <v>1366</v>
      </c>
      <c r="H435" s="7"/>
      <c r="I435" s="7" t="s">
        <v>1367</v>
      </c>
      <c r="J435" s="7" t="s">
        <v>1063</v>
      </c>
    </row>
    <row r="436" spans="1:10" x14ac:dyDescent="0.3">
      <c r="A436" s="6" t="s">
        <v>2263</v>
      </c>
      <c r="B436" s="7" t="s">
        <v>127</v>
      </c>
      <c r="C436" s="7" t="s">
        <v>1365</v>
      </c>
      <c r="D436" s="7" t="s">
        <v>24</v>
      </c>
      <c r="E436" s="7" t="s">
        <v>515</v>
      </c>
      <c r="F436" s="7" t="s">
        <v>516</v>
      </c>
      <c r="G436" s="7" t="s">
        <v>2264</v>
      </c>
      <c r="H436" s="7"/>
      <c r="I436" s="7" t="s">
        <v>2268</v>
      </c>
      <c r="J436" s="7" t="s">
        <v>2269</v>
      </c>
    </row>
    <row r="437" spans="1:10" ht="15" x14ac:dyDescent="0.3">
      <c r="A437" s="10"/>
      <c r="B437" s="11"/>
      <c r="C437" s="11"/>
      <c r="D437" s="11" t="s">
        <v>2561</v>
      </c>
      <c r="E437" s="11" t="s">
        <v>2534</v>
      </c>
      <c r="F437" s="11"/>
      <c r="G437" s="11" t="s">
        <v>2557</v>
      </c>
      <c r="H437" s="11">
        <v>0</v>
      </c>
      <c r="I437" s="11"/>
      <c r="J437" s="11"/>
    </row>
    <row r="438" spans="1:10" x14ac:dyDescent="0.3">
      <c r="A438" s="6" t="s">
        <v>1423</v>
      </c>
      <c r="B438" s="7" t="s">
        <v>127</v>
      </c>
      <c r="C438" s="7" t="s">
        <v>589</v>
      </c>
      <c r="D438" s="7" t="s">
        <v>26</v>
      </c>
      <c r="E438" s="7" t="s">
        <v>1424</v>
      </c>
      <c r="F438" s="7" t="s">
        <v>1425</v>
      </c>
      <c r="G438" s="7" t="s">
        <v>1426</v>
      </c>
      <c r="H438" s="7">
        <v>33</v>
      </c>
      <c r="I438" s="7" t="s">
        <v>308</v>
      </c>
      <c r="J438" s="7" t="s">
        <v>774</v>
      </c>
    </row>
    <row r="439" spans="1:10" x14ac:dyDescent="0.3">
      <c r="A439" s="6" t="s">
        <v>2319</v>
      </c>
      <c r="B439" s="7" t="s">
        <v>127</v>
      </c>
      <c r="C439" s="7" t="s">
        <v>589</v>
      </c>
      <c r="D439" s="7" t="s">
        <v>26</v>
      </c>
      <c r="E439" s="7" t="s">
        <v>2320</v>
      </c>
      <c r="F439" s="7" t="s">
        <v>2321</v>
      </c>
      <c r="G439" s="7" t="s">
        <v>2322</v>
      </c>
      <c r="H439" s="7">
        <v>7</v>
      </c>
      <c r="I439" s="7" t="s">
        <v>343</v>
      </c>
      <c r="J439" s="7" t="s">
        <v>2324</v>
      </c>
    </row>
    <row r="440" spans="1:10" x14ac:dyDescent="0.3">
      <c r="A440" s="6" t="s">
        <v>2312</v>
      </c>
      <c r="B440" s="7" t="s">
        <v>127</v>
      </c>
      <c r="C440" s="7" t="s">
        <v>589</v>
      </c>
      <c r="D440" s="7" t="s">
        <v>26</v>
      </c>
      <c r="E440" s="7" t="s">
        <v>2313</v>
      </c>
      <c r="F440" s="7" t="s">
        <v>2314</v>
      </c>
      <c r="G440" s="7" t="s">
        <v>2315</v>
      </c>
      <c r="H440" s="7">
        <v>40</v>
      </c>
      <c r="I440" s="7" t="s">
        <v>82</v>
      </c>
      <c r="J440" s="7" t="s">
        <v>2318</v>
      </c>
    </row>
    <row r="441" spans="1:10" x14ac:dyDescent="0.3">
      <c r="A441" s="6" t="s">
        <v>1430</v>
      </c>
      <c r="B441" s="7" t="s">
        <v>127</v>
      </c>
      <c r="C441" s="7" t="s">
        <v>589</v>
      </c>
      <c r="D441" s="7" t="s">
        <v>26</v>
      </c>
      <c r="E441" s="7" t="s">
        <v>1431</v>
      </c>
      <c r="F441" s="7" t="s">
        <v>1432</v>
      </c>
      <c r="G441" s="7" t="s">
        <v>1433</v>
      </c>
      <c r="H441" s="7">
        <v>1</v>
      </c>
      <c r="I441" s="7" t="s">
        <v>290</v>
      </c>
      <c r="J441" s="7" t="s">
        <v>542</v>
      </c>
    </row>
    <row r="442" spans="1:10" x14ac:dyDescent="0.3">
      <c r="A442" s="6" t="s">
        <v>2325</v>
      </c>
      <c r="B442" s="7" t="s">
        <v>127</v>
      </c>
      <c r="C442" s="7" t="s">
        <v>589</v>
      </c>
      <c r="D442" s="7" t="s">
        <v>26</v>
      </c>
      <c r="E442" s="7" t="s">
        <v>1431</v>
      </c>
      <c r="F442" s="7" t="s">
        <v>1432</v>
      </c>
      <c r="G442" s="7" t="s">
        <v>2326</v>
      </c>
      <c r="H442" s="7">
        <v>8</v>
      </c>
      <c r="I442" s="7" t="s">
        <v>874</v>
      </c>
      <c r="J442" s="7" t="s">
        <v>179</v>
      </c>
    </row>
    <row r="443" spans="1:10" x14ac:dyDescent="0.3">
      <c r="A443" s="6" t="s">
        <v>1440</v>
      </c>
      <c r="B443" s="7" t="s">
        <v>127</v>
      </c>
      <c r="C443" s="7" t="s">
        <v>589</v>
      </c>
      <c r="D443" s="7" t="s">
        <v>26</v>
      </c>
      <c r="E443" s="7" t="s">
        <v>1435</v>
      </c>
      <c r="F443" s="7" t="s">
        <v>1436</v>
      </c>
      <c r="G443" s="7" t="s">
        <v>1441</v>
      </c>
      <c r="H443" s="7">
        <v>6</v>
      </c>
      <c r="I443" s="7" t="s">
        <v>1442</v>
      </c>
      <c r="J443" s="7" t="s">
        <v>901</v>
      </c>
    </row>
    <row r="444" spans="1:10" x14ac:dyDescent="0.3">
      <c r="A444" s="6" t="s">
        <v>1434</v>
      </c>
      <c r="B444" s="7" t="s">
        <v>127</v>
      </c>
      <c r="C444" s="7" t="s">
        <v>589</v>
      </c>
      <c r="D444" s="7" t="s">
        <v>26</v>
      </c>
      <c r="E444" s="7" t="s">
        <v>1435</v>
      </c>
      <c r="F444" s="7" t="s">
        <v>1436</v>
      </c>
      <c r="G444" s="7" t="s">
        <v>1437</v>
      </c>
      <c r="H444" s="7">
        <v>7</v>
      </c>
      <c r="I444" s="7" t="s">
        <v>1438</v>
      </c>
      <c r="J444" s="7" t="s">
        <v>1439</v>
      </c>
    </row>
    <row r="445" spans="1:10" x14ac:dyDescent="0.3">
      <c r="A445" s="6" t="s">
        <v>1421</v>
      </c>
      <c r="B445" s="7" t="s">
        <v>127</v>
      </c>
      <c r="C445" s="7" t="s">
        <v>589</v>
      </c>
      <c r="D445" s="7" t="s">
        <v>26</v>
      </c>
      <c r="E445" s="7" t="s">
        <v>1422</v>
      </c>
      <c r="F445" s="7" t="s">
        <v>649</v>
      </c>
      <c r="G445" s="7" t="s">
        <v>66</v>
      </c>
      <c r="H445" s="7">
        <v>36</v>
      </c>
      <c r="I445" s="7" t="s">
        <v>69</v>
      </c>
      <c r="J445" s="7" t="s">
        <v>348</v>
      </c>
    </row>
    <row r="446" spans="1:10" x14ac:dyDescent="0.3">
      <c r="A446" s="6" t="s">
        <v>1412</v>
      </c>
      <c r="B446" s="7" t="s">
        <v>127</v>
      </c>
      <c r="C446" s="7" t="s">
        <v>589</v>
      </c>
      <c r="D446" s="7" t="s">
        <v>26</v>
      </c>
      <c r="E446" s="7" t="s">
        <v>1413</v>
      </c>
      <c r="F446" s="7" t="s">
        <v>1414</v>
      </c>
      <c r="G446" s="7" t="s">
        <v>1415</v>
      </c>
      <c r="H446" s="7">
        <v>41</v>
      </c>
      <c r="I446" s="7" t="s">
        <v>1416</v>
      </c>
      <c r="J446" s="7" t="s">
        <v>599</v>
      </c>
    </row>
    <row r="447" spans="1:10" x14ac:dyDescent="0.3">
      <c r="A447" s="6" t="s">
        <v>2328</v>
      </c>
      <c r="B447" s="7" t="s">
        <v>127</v>
      </c>
      <c r="C447" s="7" t="s">
        <v>589</v>
      </c>
      <c r="D447" s="7" t="s">
        <v>26</v>
      </c>
      <c r="E447" s="7" t="s">
        <v>1435</v>
      </c>
      <c r="F447" s="7" t="s">
        <v>1436</v>
      </c>
      <c r="G447" s="7" t="s">
        <v>2329</v>
      </c>
      <c r="H447" s="7">
        <v>7</v>
      </c>
      <c r="I447" s="7" t="s">
        <v>69</v>
      </c>
      <c r="J447" s="7" t="s">
        <v>2304</v>
      </c>
    </row>
    <row r="448" spans="1:10" x14ac:dyDescent="0.3">
      <c r="A448" s="6" t="s">
        <v>1427</v>
      </c>
      <c r="B448" s="7" t="s">
        <v>127</v>
      </c>
      <c r="C448" s="7" t="s">
        <v>589</v>
      </c>
      <c r="D448" s="7" t="s">
        <v>26</v>
      </c>
      <c r="E448" s="7" t="s">
        <v>1428</v>
      </c>
      <c r="F448" s="7" t="s">
        <v>415</v>
      </c>
      <c r="G448" s="7" t="s">
        <v>1429</v>
      </c>
      <c r="H448" s="7">
        <v>4</v>
      </c>
      <c r="I448" s="7" t="s">
        <v>270</v>
      </c>
      <c r="J448" s="7" t="s">
        <v>189</v>
      </c>
    </row>
    <row r="449" spans="1:10" x14ac:dyDescent="0.3">
      <c r="A449" s="6" t="s">
        <v>1443</v>
      </c>
      <c r="B449" s="7" t="s">
        <v>127</v>
      </c>
      <c r="C449" s="7" t="s">
        <v>589</v>
      </c>
      <c r="D449" s="7" t="s">
        <v>26</v>
      </c>
      <c r="E449" s="7" t="s">
        <v>1444</v>
      </c>
      <c r="F449" s="7" t="s">
        <v>1445</v>
      </c>
      <c r="G449" s="7" t="s">
        <v>1446</v>
      </c>
      <c r="H449" s="7">
        <v>3</v>
      </c>
      <c r="I449" s="7" t="s">
        <v>154</v>
      </c>
      <c r="J449" s="7" t="s">
        <v>612</v>
      </c>
    </row>
    <row r="450" spans="1:10" x14ac:dyDescent="0.3">
      <c r="A450" s="6" t="s">
        <v>1407</v>
      </c>
      <c r="B450" s="7" t="s">
        <v>127</v>
      </c>
      <c r="C450" s="7" t="s">
        <v>589</v>
      </c>
      <c r="D450" s="7" t="s">
        <v>26</v>
      </c>
      <c r="E450" s="7" t="s">
        <v>1408</v>
      </c>
      <c r="F450" s="7" t="s">
        <v>1409</v>
      </c>
      <c r="G450" s="7" t="s">
        <v>1410</v>
      </c>
      <c r="H450" s="7">
        <v>4</v>
      </c>
      <c r="I450" s="7" t="s">
        <v>1411</v>
      </c>
      <c r="J450" s="7" t="s">
        <v>199</v>
      </c>
    </row>
    <row r="451" spans="1:10" x14ac:dyDescent="0.3">
      <c r="A451" s="6" t="s">
        <v>2305</v>
      </c>
      <c r="B451" s="7" t="s">
        <v>127</v>
      </c>
      <c r="C451" s="7" t="s">
        <v>589</v>
      </c>
      <c r="D451" s="7" t="s">
        <v>26</v>
      </c>
      <c r="E451" s="7" t="s">
        <v>2306</v>
      </c>
      <c r="F451" s="7" t="s">
        <v>2307</v>
      </c>
      <c r="G451" s="7" t="s">
        <v>2308</v>
      </c>
      <c r="H451" s="7">
        <v>23</v>
      </c>
      <c r="I451" s="7" t="s">
        <v>2311</v>
      </c>
      <c r="J451" s="7" t="s">
        <v>404</v>
      </c>
    </row>
    <row r="452" spans="1:10" x14ac:dyDescent="0.3">
      <c r="A452" s="6" t="s">
        <v>1458</v>
      </c>
      <c r="B452" s="7" t="s">
        <v>127</v>
      </c>
      <c r="C452" s="7" t="s">
        <v>589</v>
      </c>
      <c r="D452" s="7" t="s">
        <v>26</v>
      </c>
      <c r="E452" s="7" t="s">
        <v>1455</v>
      </c>
      <c r="F452" s="7" t="s">
        <v>704</v>
      </c>
      <c r="G452" s="7" t="s">
        <v>1459</v>
      </c>
      <c r="H452" s="7">
        <v>15</v>
      </c>
      <c r="I452" s="7" t="s">
        <v>290</v>
      </c>
      <c r="J452" s="7" t="s">
        <v>1333</v>
      </c>
    </row>
    <row r="453" spans="1:10" x14ac:dyDescent="0.3">
      <c r="A453" s="6" t="s">
        <v>1454</v>
      </c>
      <c r="B453" s="7" t="s">
        <v>127</v>
      </c>
      <c r="C453" s="7" t="s">
        <v>589</v>
      </c>
      <c r="D453" s="7" t="s">
        <v>26</v>
      </c>
      <c r="E453" s="7" t="s">
        <v>1455</v>
      </c>
      <c r="F453" s="7" t="s">
        <v>704</v>
      </c>
      <c r="G453" s="7" t="s">
        <v>1456</v>
      </c>
      <c r="H453" s="7">
        <v>2</v>
      </c>
      <c r="I453" s="7" t="s">
        <v>1457</v>
      </c>
      <c r="J453" s="7" t="s">
        <v>998</v>
      </c>
    </row>
    <row r="454" spans="1:10" x14ac:dyDescent="0.3">
      <c r="A454" s="6" t="s">
        <v>2331</v>
      </c>
      <c r="B454" s="7" t="s">
        <v>127</v>
      </c>
      <c r="C454" s="7" t="s">
        <v>589</v>
      </c>
      <c r="D454" s="7" t="s">
        <v>26</v>
      </c>
      <c r="E454" s="7" t="s">
        <v>2332</v>
      </c>
      <c r="F454" s="7" t="s">
        <v>2333</v>
      </c>
      <c r="G454" s="7" t="s">
        <v>2334</v>
      </c>
      <c r="H454" s="7">
        <v>28</v>
      </c>
      <c r="I454" s="7" t="s">
        <v>2336</v>
      </c>
      <c r="J454" s="7" t="s">
        <v>955</v>
      </c>
    </row>
    <row r="455" spans="1:10" x14ac:dyDescent="0.3">
      <c r="A455" s="6" t="s">
        <v>2341</v>
      </c>
      <c r="B455" s="7" t="s">
        <v>127</v>
      </c>
      <c r="C455" s="7" t="s">
        <v>589</v>
      </c>
      <c r="D455" s="7" t="s">
        <v>26</v>
      </c>
      <c r="E455" s="7" t="s">
        <v>2342</v>
      </c>
      <c r="F455" s="7" t="s">
        <v>516</v>
      </c>
      <c r="G455" s="7" t="s">
        <v>2343</v>
      </c>
      <c r="H455" s="7">
        <v>21</v>
      </c>
      <c r="I455" s="7" t="s">
        <v>111</v>
      </c>
      <c r="J455" s="7" t="s">
        <v>1218</v>
      </c>
    </row>
    <row r="456" spans="1:10" x14ac:dyDescent="0.3">
      <c r="A456" s="6" t="s">
        <v>2337</v>
      </c>
      <c r="B456" s="7" t="s">
        <v>127</v>
      </c>
      <c r="C456" s="7" t="s">
        <v>589</v>
      </c>
      <c r="D456" s="7" t="s">
        <v>26</v>
      </c>
      <c r="E456" s="7" t="s">
        <v>1461</v>
      </c>
      <c r="F456" s="7" t="s">
        <v>1462</v>
      </c>
      <c r="G456" s="7" t="s">
        <v>2338</v>
      </c>
      <c r="H456" s="7">
        <v>4</v>
      </c>
      <c r="I456" s="7" t="s">
        <v>2340</v>
      </c>
      <c r="J456" s="7" t="s">
        <v>2336</v>
      </c>
    </row>
    <row r="457" spans="1:10" x14ac:dyDescent="0.3">
      <c r="A457" s="6" t="s">
        <v>1460</v>
      </c>
      <c r="B457" s="7" t="s">
        <v>127</v>
      </c>
      <c r="C457" s="7" t="s">
        <v>589</v>
      </c>
      <c r="D457" s="7" t="s">
        <v>26</v>
      </c>
      <c r="E457" s="7" t="s">
        <v>1461</v>
      </c>
      <c r="F457" s="7" t="s">
        <v>1462</v>
      </c>
      <c r="G457" s="7" t="s">
        <v>1463</v>
      </c>
      <c r="H457" s="7">
        <v>3</v>
      </c>
      <c r="I457" s="7" t="s">
        <v>1464</v>
      </c>
      <c r="J457" s="7" t="s">
        <v>593</v>
      </c>
    </row>
    <row r="458" spans="1:10" x14ac:dyDescent="0.3">
      <c r="A458" s="6" t="s">
        <v>1417</v>
      </c>
      <c r="B458" s="7" t="s">
        <v>127</v>
      </c>
      <c r="C458" s="7" t="s">
        <v>589</v>
      </c>
      <c r="D458" s="7" t="s">
        <v>26</v>
      </c>
      <c r="E458" s="7" t="s">
        <v>1418</v>
      </c>
      <c r="F458" s="7" t="s">
        <v>1419</v>
      </c>
      <c r="G458" s="7" t="s">
        <v>1420</v>
      </c>
      <c r="H458" s="7">
        <v>24</v>
      </c>
      <c r="I458" s="7" t="s">
        <v>196</v>
      </c>
      <c r="J458" s="7" t="s">
        <v>199</v>
      </c>
    </row>
    <row r="459" spans="1:10" x14ac:dyDescent="0.3">
      <c r="A459" s="6" t="s">
        <v>1402</v>
      </c>
      <c r="B459" s="7" t="s">
        <v>127</v>
      </c>
      <c r="C459" s="7" t="s">
        <v>589</v>
      </c>
      <c r="D459" s="7" t="s">
        <v>26</v>
      </c>
      <c r="E459" s="7" t="s">
        <v>1403</v>
      </c>
      <c r="F459" s="7" t="s">
        <v>1404</v>
      </c>
      <c r="G459" s="7" t="s">
        <v>1405</v>
      </c>
      <c r="H459" s="7">
        <v>23</v>
      </c>
      <c r="I459" s="7" t="s">
        <v>328</v>
      </c>
      <c r="J459" s="7" t="s">
        <v>1406</v>
      </c>
    </row>
    <row r="460" spans="1:10" x14ac:dyDescent="0.3">
      <c r="A460" s="6" t="s">
        <v>2301</v>
      </c>
      <c r="B460" s="7" t="s">
        <v>127</v>
      </c>
      <c r="C460" s="7" t="s">
        <v>589</v>
      </c>
      <c r="D460" s="7" t="s">
        <v>26</v>
      </c>
      <c r="E460" s="7" t="s">
        <v>1388</v>
      </c>
      <c r="F460" s="7" t="s">
        <v>1389</v>
      </c>
      <c r="G460" s="7" t="s">
        <v>2302</v>
      </c>
      <c r="H460" s="7">
        <v>4</v>
      </c>
      <c r="I460" s="7" t="s">
        <v>290</v>
      </c>
      <c r="J460" s="7" t="s">
        <v>2304</v>
      </c>
    </row>
    <row r="461" spans="1:10" x14ac:dyDescent="0.3">
      <c r="A461" s="6" t="s">
        <v>2298</v>
      </c>
      <c r="B461" s="7" t="s">
        <v>127</v>
      </c>
      <c r="C461" s="7" t="s">
        <v>589</v>
      </c>
      <c r="D461" s="7" t="s">
        <v>26</v>
      </c>
      <c r="E461" s="7" t="s">
        <v>1388</v>
      </c>
      <c r="F461" s="7" t="s">
        <v>1389</v>
      </c>
      <c r="G461" s="7" t="s">
        <v>2299</v>
      </c>
      <c r="H461" s="7">
        <v>1</v>
      </c>
      <c r="I461" s="7" t="s">
        <v>1684</v>
      </c>
      <c r="J461" s="7" t="s">
        <v>2269</v>
      </c>
    </row>
    <row r="462" spans="1:10" x14ac:dyDescent="0.3">
      <c r="A462" s="6" t="s">
        <v>1387</v>
      </c>
      <c r="B462" s="7" t="s">
        <v>127</v>
      </c>
      <c r="C462" s="7" t="s">
        <v>589</v>
      </c>
      <c r="D462" s="7" t="s">
        <v>26</v>
      </c>
      <c r="E462" s="7" t="s">
        <v>1388</v>
      </c>
      <c r="F462" s="7" t="s">
        <v>1389</v>
      </c>
      <c r="G462" s="7" t="s">
        <v>1390</v>
      </c>
      <c r="H462" s="7">
        <v>12</v>
      </c>
      <c r="I462" s="7" t="s">
        <v>250</v>
      </c>
      <c r="J462" s="7" t="s">
        <v>370</v>
      </c>
    </row>
    <row r="463" spans="1:10" x14ac:dyDescent="0.3">
      <c r="A463" s="6" t="s">
        <v>1452</v>
      </c>
      <c r="B463" s="7" t="s">
        <v>127</v>
      </c>
      <c r="C463" s="7" t="s">
        <v>589</v>
      </c>
      <c r="D463" s="7" t="s">
        <v>26</v>
      </c>
      <c r="E463" s="7" t="s">
        <v>1448</v>
      </c>
      <c r="F463" s="7" t="s">
        <v>1449</v>
      </c>
      <c r="G463" s="7" t="s">
        <v>1453</v>
      </c>
      <c r="H463" s="7">
        <v>27</v>
      </c>
      <c r="I463" s="7" t="s">
        <v>577</v>
      </c>
      <c r="J463" s="7" t="s">
        <v>294</v>
      </c>
    </row>
    <row r="464" spans="1:10" x14ac:dyDescent="0.3">
      <c r="A464" s="6" t="s">
        <v>1399</v>
      </c>
      <c r="B464" s="7" t="s">
        <v>127</v>
      </c>
      <c r="C464" s="7" t="s">
        <v>589</v>
      </c>
      <c r="D464" s="7" t="s">
        <v>26</v>
      </c>
      <c r="E464" s="7" t="s">
        <v>1392</v>
      </c>
      <c r="F464" s="7" t="s">
        <v>1393</v>
      </c>
      <c r="G464" s="7" t="s">
        <v>1400</v>
      </c>
      <c r="H464" s="7">
        <v>7</v>
      </c>
      <c r="I464" s="7" t="s">
        <v>328</v>
      </c>
      <c r="J464" s="7" t="s">
        <v>1401</v>
      </c>
    </row>
    <row r="465" spans="1:10" x14ac:dyDescent="0.3">
      <c r="A465" s="6" t="s">
        <v>1447</v>
      </c>
      <c r="B465" s="7" t="s">
        <v>127</v>
      </c>
      <c r="C465" s="7" t="s">
        <v>589</v>
      </c>
      <c r="D465" s="7" t="s">
        <v>26</v>
      </c>
      <c r="E465" s="7" t="s">
        <v>1448</v>
      </c>
      <c r="F465" s="7" t="s">
        <v>1449</v>
      </c>
      <c r="G465" s="7" t="s">
        <v>1450</v>
      </c>
      <c r="H465" s="7">
        <v>9</v>
      </c>
      <c r="I465" s="7" t="s">
        <v>170</v>
      </c>
      <c r="J465" s="7" t="s">
        <v>1451</v>
      </c>
    </row>
    <row r="466" spans="1:10" x14ac:dyDescent="0.3">
      <c r="A466" s="6" t="s">
        <v>1397</v>
      </c>
      <c r="B466" s="7" t="s">
        <v>127</v>
      </c>
      <c r="C466" s="7" t="s">
        <v>589</v>
      </c>
      <c r="D466" s="7" t="s">
        <v>26</v>
      </c>
      <c r="E466" s="7" t="s">
        <v>1392</v>
      </c>
      <c r="F466" s="7" t="s">
        <v>1393</v>
      </c>
      <c r="G466" s="7" t="s">
        <v>1398</v>
      </c>
      <c r="H466" s="7">
        <v>1</v>
      </c>
      <c r="I466" s="7" t="s">
        <v>328</v>
      </c>
      <c r="J466" s="7" t="s">
        <v>371</v>
      </c>
    </row>
    <row r="467" spans="1:10" x14ac:dyDescent="0.3">
      <c r="A467" s="6" t="s">
        <v>1391</v>
      </c>
      <c r="B467" s="7" t="s">
        <v>127</v>
      </c>
      <c r="C467" s="7" t="s">
        <v>589</v>
      </c>
      <c r="D467" s="7" t="s">
        <v>26</v>
      </c>
      <c r="E467" s="7" t="s">
        <v>1392</v>
      </c>
      <c r="F467" s="7" t="s">
        <v>1393</v>
      </c>
      <c r="G467" s="7" t="s">
        <v>1394</v>
      </c>
      <c r="H467" s="7">
        <v>12</v>
      </c>
      <c r="I467" s="7" t="s">
        <v>69</v>
      </c>
      <c r="J467" s="7" t="s">
        <v>696</v>
      </c>
    </row>
    <row r="468" spans="1:10" x14ac:dyDescent="0.3">
      <c r="A468" s="6" t="s">
        <v>1368</v>
      </c>
      <c r="B468" s="7" t="s">
        <v>127</v>
      </c>
      <c r="C468" s="7" t="s">
        <v>589</v>
      </c>
      <c r="D468" s="7" t="s">
        <v>26</v>
      </c>
      <c r="E468" s="7" t="s">
        <v>1369</v>
      </c>
      <c r="F468" s="7" t="s">
        <v>607</v>
      </c>
      <c r="G468" s="7" t="s">
        <v>1370</v>
      </c>
      <c r="H468" s="7">
        <v>24</v>
      </c>
      <c r="I468" s="7" t="s">
        <v>1212</v>
      </c>
      <c r="J468" s="7" t="s">
        <v>1371</v>
      </c>
    </row>
    <row r="469" spans="1:10" x14ac:dyDescent="0.3">
      <c r="A469" s="6" t="s">
        <v>2279</v>
      </c>
      <c r="B469" s="7" t="s">
        <v>127</v>
      </c>
      <c r="C469" s="7" t="s">
        <v>589</v>
      </c>
      <c r="D469" s="7" t="s">
        <v>26</v>
      </c>
      <c r="E469" s="7" t="s">
        <v>2280</v>
      </c>
      <c r="F469" s="7" t="s">
        <v>2281</v>
      </c>
      <c r="G469" s="7" t="s">
        <v>2282</v>
      </c>
      <c r="H469" s="7">
        <v>52</v>
      </c>
      <c r="I469" s="7" t="s">
        <v>423</v>
      </c>
      <c r="J469" s="7" t="s">
        <v>246</v>
      </c>
    </row>
    <row r="470" spans="1:10" x14ac:dyDescent="0.3">
      <c r="A470" s="6" t="s">
        <v>1372</v>
      </c>
      <c r="B470" s="7" t="s">
        <v>127</v>
      </c>
      <c r="C470" s="7" t="s">
        <v>589</v>
      </c>
      <c r="D470" s="7" t="s">
        <v>26</v>
      </c>
      <c r="E470" s="7" t="s">
        <v>1373</v>
      </c>
      <c r="F470" s="7" t="s">
        <v>615</v>
      </c>
      <c r="G470" s="7" t="s">
        <v>1374</v>
      </c>
      <c r="H470" s="7">
        <v>20</v>
      </c>
      <c r="I470" s="7" t="s">
        <v>131</v>
      </c>
      <c r="J470" s="7" t="s">
        <v>955</v>
      </c>
    </row>
    <row r="471" spans="1:10" x14ac:dyDescent="0.3">
      <c r="A471" s="6" t="s">
        <v>1375</v>
      </c>
      <c r="B471" s="7" t="s">
        <v>127</v>
      </c>
      <c r="C471" s="7" t="s">
        <v>589</v>
      </c>
      <c r="D471" s="7" t="s">
        <v>26</v>
      </c>
      <c r="E471" s="7" t="s">
        <v>1376</v>
      </c>
      <c r="F471" s="7" t="s">
        <v>1377</v>
      </c>
      <c r="G471" s="7" t="s">
        <v>1378</v>
      </c>
      <c r="H471" s="7">
        <v>2</v>
      </c>
      <c r="I471" s="7" t="s">
        <v>562</v>
      </c>
      <c r="J471" s="7" t="s">
        <v>294</v>
      </c>
    </row>
    <row r="472" spans="1:10" x14ac:dyDescent="0.3">
      <c r="A472" s="6" t="s">
        <v>2270</v>
      </c>
      <c r="B472" s="7" t="s">
        <v>127</v>
      </c>
      <c r="C472" s="7" t="s">
        <v>589</v>
      </c>
      <c r="D472" s="7" t="s">
        <v>26</v>
      </c>
      <c r="E472" s="7" t="s">
        <v>2271</v>
      </c>
      <c r="F472" s="7" t="s">
        <v>2272</v>
      </c>
      <c r="G472" s="7" t="s">
        <v>2273</v>
      </c>
      <c r="H472" s="7">
        <v>4</v>
      </c>
      <c r="I472" s="7" t="s">
        <v>328</v>
      </c>
      <c r="J472" s="7" t="s">
        <v>2278</v>
      </c>
    </row>
    <row r="473" spans="1:10" x14ac:dyDescent="0.3">
      <c r="A473" s="6" t="s">
        <v>1379</v>
      </c>
      <c r="B473" s="7" t="s">
        <v>127</v>
      </c>
      <c r="C473" s="7" t="s">
        <v>589</v>
      </c>
      <c r="D473" s="7" t="s">
        <v>26</v>
      </c>
      <c r="E473" s="7" t="s">
        <v>1380</v>
      </c>
      <c r="F473" s="7" t="s">
        <v>1381</v>
      </c>
      <c r="G473" s="7" t="s">
        <v>1382</v>
      </c>
      <c r="H473" s="7">
        <v>6</v>
      </c>
      <c r="I473" s="7" t="s">
        <v>604</v>
      </c>
      <c r="J473" s="7" t="s">
        <v>294</v>
      </c>
    </row>
    <row r="474" spans="1:10" x14ac:dyDescent="0.3">
      <c r="A474" s="6" t="s">
        <v>2288</v>
      </c>
      <c r="B474" s="7" t="s">
        <v>127</v>
      </c>
      <c r="C474" s="7" t="s">
        <v>589</v>
      </c>
      <c r="D474" s="7" t="s">
        <v>26</v>
      </c>
      <c r="E474" s="7" t="s">
        <v>2289</v>
      </c>
      <c r="F474" s="7" t="s">
        <v>2290</v>
      </c>
      <c r="G474" s="7" t="s">
        <v>2291</v>
      </c>
      <c r="H474" s="7">
        <v>2</v>
      </c>
      <c r="I474" s="7" t="s">
        <v>111</v>
      </c>
      <c r="J474" s="7" t="s">
        <v>1218</v>
      </c>
    </row>
    <row r="475" spans="1:10" x14ac:dyDescent="0.3">
      <c r="A475" s="6" t="s">
        <v>2294</v>
      </c>
      <c r="B475" s="7" t="s">
        <v>127</v>
      </c>
      <c r="C475" s="7" t="s">
        <v>589</v>
      </c>
      <c r="D475" s="7" t="s">
        <v>26</v>
      </c>
      <c r="E475" s="7" t="s">
        <v>1384</v>
      </c>
      <c r="F475" s="7" t="s">
        <v>1385</v>
      </c>
      <c r="G475" s="7" t="s">
        <v>2295</v>
      </c>
      <c r="H475" s="7">
        <v>23</v>
      </c>
      <c r="I475" s="7" t="s">
        <v>232</v>
      </c>
      <c r="J475" s="7" t="s">
        <v>2297</v>
      </c>
    </row>
    <row r="476" spans="1:10" x14ac:dyDescent="0.3">
      <c r="A476" s="6" t="s">
        <v>1383</v>
      </c>
      <c r="B476" s="7" t="s">
        <v>127</v>
      </c>
      <c r="C476" s="7" t="s">
        <v>589</v>
      </c>
      <c r="D476" s="7" t="s">
        <v>26</v>
      </c>
      <c r="E476" s="7" t="s">
        <v>1384</v>
      </c>
      <c r="F476" s="7" t="s">
        <v>1385</v>
      </c>
      <c r="G476" s="7" t="s">
        <v>1386</v>
      </c>
      <c r="H476" s="7">
        <v>20</v>
      </c>
      <c r="I476" s="7" t="s">
        <v>394</v>
      </c>
      <c r="J476" s="7" t="s">
        <v>612</v>
      </c>
    </row>
    <row r="477" spans="1:10" x14ac:dyDescent="0.3">
      <c r="A477" s="6" t="s">
        <v>1395</v>
      </c>
      <c r="B477" s="7" t="s">
        <v>127</v>
      </c>
      <c r="C477" s="7" t="s">
        <v>589</v>
      </c>
      <c r="D477" s="7" t="s">
        <v>26</v>
      </c>
      <c r="E477" s="7" t="s">
        <v>1392</v>
      </c>
      <c r="F477" s="7" t="s">
        <v>1393</v>
      </c>
      <c r="G477" s="7" t="s">
        <v>1396</v>
      </c>
      <c r="H477" s="7">
        <v>12</v>
      </c>
      <c r="I477" s="7" t="s">
        <v>69</v>
      </c>
      <c r="J477" s="7" t="s">
        <v>423</v>
      </c>
    </row>
    <row r="478" spans="1:10" x14ac:dyDescent="0.3">
      <c r="A478" s="6" t="s">
        <v>2284</v>
      </c>
      <c r="B478" s="7" t="s">
        <v>127</v>
      </c>
      <c r="C478" s="7" t="s">
        <v>589</v>
      </c>
      <c r="D478" s="7" t="s">
        <v>26</v>
      </c>
      <c r="E478" s="7" t="s">
        <v>1380</v>
      </c>
      <c r="F478" s="7" t="s">
        <v>1381</v>
      </c>
      <c r="G478" s="7" t="s">
        <v>2285</v>
      </c>
      <c r="H478" s="7">
        <v>44</v>
      </c>
      <c r="I478" s="7" t="s">
        <v>2287</v>
      </c>
      <c r="J478" s="7" t="s">
        <v>199</v>
      </c>
    </row>
    <row r="479" spans="1:10" ht="15" x14ac:dyDescent="0.3">
      <c r="A479" s="10"/>
      <c r="B479" s="11"/>
      <c r="C479" s="11"/>
      <c r="D479" s="11" t="s">
        <v>2562</v>
      </c>
      <c r="E479" s="11" t="s">
        <v>2534</v>
      </c>
      <c r="F479" s="11"/>
      <c r="G479" s="11" t="s">
        <v>2563</v>
      </c>
      <c r="H479" s="11">
        <v>622</v>
      </c>
      <c r="I479" s="11"/>
      <c r="J479" s="11"/>
    </row>
    <row r="480" spans="1:10" x14ac:dyDescent="0.3">
      <c r="A480" s="6" t="s">
        <v>1536</v>
      </c>
      <c r="B480" s="7" t="s">
        <v>127</v>
      </c>
      <c r="C480" s="7" t="s">
        <v>589</v>
      </c>
      <c r="D480" s="7" t="s">
        <v>27</v>
      </c>
      <c r="E480" s="7" t="s">
        <v>1537</v>
      </c>
      <c r="F480" s="7" t="s">
        <v>1538</v>
      </c>
      <c r="G480" s="7" t="s">
        <v>1539</v>
      </c>
      <c r="H480" s="7">
        <v>0</v>
      </c>
      <c r="I480" s="7" t="s">
        <v>1540</v>
      </c>
      <c r="J480" s="7" t="s">
        <v>192</v>
      </c>
    </row>
    <row r="481" spans="1:10" x14ac:dyDescent="0.3">
      <c r="A481" s="6" t="s">
        <v>1519</v>
      </c>
      <c r="B481" s="7" t="s">
        <v>127</v>
      </c>
      <c r="C481" s="7" t="s">
        <v>589</v>
      </c>
      <c r="D481" s="7" t="s">
        <v>27</v>
      </c>
      <c r="E481" s="7" t="s">
        <v>1520</v>
      </c>
      <c r="F481" s="7" t="s">
        <v>1521</v>
      </c>
      <c r="G481" s="7" t="s">
        <v>1522</v>
      </c>
      <c r="H481" s="7">
        <v>16</v>
      </c>
      <c r="I481" s="7" t="s">
        <v>1523</v>
      </c>
      <c r="J481" s="7" t="s">
        <v>1524</v>
      </c>
    </row>
    <row r="482" spans="1:10" x14ac:dyDescent="0.3">
      <c r="A482" s="6" t="s">
        <v>1534</v>
      </c>
      <c r="B482" s="7" t="s">
        <v>127</v>
      </c>
      <c r="C482" s="7" t="s">
        <v>589</v>
      </c>
      <c r="D482" s="7" t="s">
        <v>27</v>
      </c>
      <c r="E482" s="7" t="s">
        <v>1530</v>
      </c>
      <c r="F482" s="7" t="s">
        <v>1531</v>
      </c>
      <c r="G482" s="7" t="s">
        <v>1535</v>
      </c>
      <c r="H482" s="7">
        <v>7</v>
      </c>
      <c r="I482" s="7" t="s">
        <v>69</v>
      </c>
      <c r="J482" s="7" t="s">
        <v>404</v>
      </c>
    </row>
    <row r="483" spans="1:10" x14ac:dyDescent="0.3">
      <c r="A483" s="6" t="s">
        <v>1529</v>
      </c>
      <c r="B483" s="7" t="s">
        <v>127</v>
      </c>
      <c r="C483" s="7" t="s">
        <v>589</v>
      </c>
      <c r="D483" s="7" t="s">
        <v>27</v>
      </c>
      <c r="E483" s="7" t="s">
        <v>1530</v>
      </c>
      <c r="F483" s="7" t="s">
        <v>1531</v>
      </c>
      <c r="G483" s="7" t="s">
        <v>1532</v>
      </c>
      <c r="H483" s="7">
        <v>11</v>
      </c>
      <c r="I483" s="7" t="s">
        <v>1533</v>
      </c>
      <c r="J483" s="7" t="s">
        <v>1518</v>
      </c>
    </row>
    <row r="484" spans="1:10" x14ac:dyDescent="0.3">
      <c r="A484" s="6" t="s">
        <v>1544</v>
      </c>
      <c r="B484" s="7" t="s">
        <v>127</v>
      </c>
      <c r="C484" s="7" t="s">
        <v>589</v>
      </c>
      <c r="D484" s="7" t="s">
        <v>27</v>
      </c>
      <c r="E484" s="7" t="s">
        <v>1545</v>
      </c>
      <c r="F484" s="7" t="s">
        <v>1546</v>
      </c>
      <c r="G484" s="7" t="s">
        <v>1547</v>
      </c>
      <c r="H484" s="7">
        <v>0</v>
      </c>
      <c r="I484" s="7" t="s">
        <v>604</v>
      </c>
      <c r="J484" s="7" t="s">
        <v>404</v>
      </c>
    </row>
    <row r="485" spans="1:10" x14ac:dyDescent="0.3">
      <c r="A485" s="6" t="s">
        <v>1548</v>
      </c>
      <c r="B485" s="7" t="s">
        <v>127</v>
      </c>
      <c r="C485" s="7" t="s">
        <v>589</v>
      </c>
      <c r="D485" s="7" t="s">
        <v>27</v>
      </c>
      <c r="E485" s="7" t="s">
        <v>1545</v>
      </c>
      <c r="F485" s="7" t="s">
        <v>1546</v>
      </c>
      <c r="G485" s="7" t="s">
        <v>1549</v>
      </c>
      <c r="H485" s="7">
        <v>10</v>
      </c>
      <c r="I485" s="7" t="s">
        <v>1550</v>
      </c>
      <c r="J485" s="7" t="s">
        <v>612</v>
      </c>
    </row>
    <row r="486" spans="1:10" x14ac:dyDescent="0.3">
      <c r="A486" s="6" t="s">
        <v>1551</v>
      </c>
      <c r="B486" s="7" t="s">
        <v>127</v>
      </c>
      <c r="C486" s="7" t="s">
        <v>589</v>
      </c>
      <c r="D486" s="7" t="s">
        <v>27</v>
      </c>
      <c r="E486" s="7" t="s">
        <v>1545</v>
      </c>
      <c r="F486" s="7" t="s">
        <v>1546</v>
      </c>
      <c r="G486" s="7" t="s">
        <v>1552</v>
      </c>
      <c r="H486" s="7">
        <v>6</v>
      </c>
      <c r="I486" s="7" t="s">
        <v>1553</v>
      </c>
      <c r="J486" s="7" t="s">
        <v>612</v>
      </c>
    </row>
    <row r="487" spans="1:10" x14ac:dyDescent="0.3">
      <c r="A487" s="6" t="s">
        <v>1554</v>
      </c>
      <c r="B487" s="7" t="s">
        <v>127</v>
      </c>
      <c r="C487" s="7" t="s">
        <v>589</v>
      </c>
      <c r="D487" s="7" t="s">
        <v>27</v>
      </c>
      <c r="E487" s="7" t="s">
        <v>1555</v>
      </c>
      <c r="F487" s="7" t="s">
        <v>1556</v>
      </c>
      <c r="G487" s="7" t="s">
        <v>1557</v>
      </c>
      <c r="H487" s="7">
        <v>10</v>
      </c>
      <c r="I487" s="7" t="s">
        <v>78</v>
      </c>
      <c r="J487" s="7" t="s">
        <v>1558</v>
      </c>
    </row>
    <row r="488" spans="1:10" x14ac:dyDescent="0.3">
      <c r="A488" s="6" t="s">
        <v>1559</v>
      </c>
      <c r="B488" s="7" t="s">
        <v>127</v>
      </c>
      <c r="C488" s="7" t="s">
        <v>589</v>
      </c>
      <c r="D488" s="7" t="s">
        <v>27</v>
      </c>
      <c r="E488" s="7" t="s">
        <v>1560</v>
      </c>
      <c r="F488" s="7" t="s">
        <v>1561</v>
      </c>
      <c r="G488" s="7" t="s">
        <v>1562</v>
      </c>
      <c r="H488" s="7">
        <v>15</v>
      </c>
      <c r="I488" s="7" t="s">
        <v>625</v>
      </c>
      <c r="J488" s="7" t="s">
        <v>696</v>
      </c>
    </row>
    <row r="489" spans="1:10" x14ac:dyDescent="0.3">
      <c r="A489" s="6" t="s">
        <v>1541</v>
      </c>
      <c r="B489" s="7" t="s">
        <v>127</v>
      </c>
      <c r="C489" s="7" t="s">
        <v>589</v>
      </c>
      <c r="D489" s="7" t="s">
        <v>27</v>
      </c>
      <c r="E489" s="7" t="s">
        <v>1537</v>
      </c>
      <c r="F489" s="7" t="s">
        <v>1538</v>
      </c>
      <c r="G489" s="7" t="s">
        <v>1542</v>
      </c>
      <c r="H489" s="7">
        <v>7</v>
      </c>
      <c r="I489" s="7" t="s">
        <v>279</v>
      </c>
      <c r="J489" s="7" t="s">
        <v>1543</v>
      </c>
    </row>
    <row r="490" spans="1:10" x14ac:dyDescent="0.3">
      <c r="A490" s="6" t="s">
        <v>2368</v>
      </c>
      <c r="B490" s="7" t="s">
        <v>127</v>
      </c>
      <c r="C490" s="7" t="s">
        <v>589</v>
      </c>
      <c r="D490" s="7" t="s">
        <v>27</v>
      </c>
      <c r="E490" s="7" t="s">
        <v>2369</v>
      </c>
      <c r="F490" s="7" t="s">
        <v>2370</v>
      </c>
      <c r="G490" s="7" t="s">
        <v>2371</v>
      </c>
      <c r="H490" s="7">
        <v>4</v>
      </c>
      <c r="I490" s="7" t="s">
        <v>303</v>
      </c>
      <c r="J490" s="7" t="s">
        <v>294</v>
      </c>
    </row>
    <row r="491" spans="1:10" x14ac:dyDescent="0.3">
      <c r="A491" s="6" t="s">
        <v>1583</v>
      </c>
      <c r="B491" s="7" t="s">
        <v>127</v>
      </c>
      <c r="C491" s="7" t="s">
        <v>589</v>
      </c>
      <c r="D491" s="7" t="s">
        <v>27</v>
      </c>
      <c r="E491" s="7" t="s">
        <v>1584</v>
      </c>
      <c r="F491" s="7" t="s">
        <v>1585</v>
      </c>
      <c r="G491" s="7" t="s">
        <v>1586</v>
      </c>
      <c r="H491" s="7">
        <v>170</v>
      </c>
      <c r="I491" s="7" t="s">
        <v>992</v>
      </c>
      <c r="J491" s="7" t="s">
        <v>1587</v>
      </c>
    </row>
    <row r="492" spans="1:10" x14ac:dyDescent="0.3">
      <c r="A492" s="6" t="s">
        <v>1576</v>
      </c>
      <c r="B492" s="7" t="s">
        <v>127</v>
      </c>
      <c r="C492" s="7" t="s">
        <v>589</v>
      </c>
      <c r="D492" s="7" t="s">
        <v>27</v>
      </c>
      <c r="E492" s="7" t="s">
        <v>1577</v>
      </c>
      <c r="F492" s="7"/>
      <c r="G492" s="7" t="s">
        <v>1578</v>
      </c>
      <c r="H492" s="7">
        <v>3</v>
      </c>
      <c r="I492" s="7" t="s">
        <v>780</v>
      </c>
      <c r="J492" s="7" t="s">
        <v>304</v>
      </c>
    </row>
    <row r="493" spans="1:10" x14ac:dyDescent="0.3">
      <c r="A493" s="6" t="s">
        <v>2362</v>
      </c>
      <c r="B493" s="7" t="s">
        <v>127</v>
      </c>
      <c r="C493" s="7" t="s">
        <v>589</v>
      </c>
      <c r="D493" s="7" t="s">
        <v>27</v>
      </c>
      <c r="E493" s="7" t="s">
        <v>2363</v>
      </c>
      <c r="F493" s="7" t="s">
        <v>2364</v>
      </c>
      <c r="G493" s="7" t="s">
        <v>2365</v>
      </c>
      <c r="H493" s="7">
        <v>3</v>
      </c>
      <c r="I493" s="7" t="s">
        <v>811</v>
      </c>
      <c r="J493" s="7" t="s">
        <v>505</v>
      </c>
    </row>
    <row r="494" spans="1:10" x14ac:dyDescent="0.3">
      <c r="A494" s="6" t="s">
        <v>1600</v>
      </c>
      <c r="B494" s="7" t="s">
        <v>127</v>
      </c>
      <c r="C494" s="7" t="s">
        <v>589</v>
      </c>
      <c r="D494" s="7" t="s">
        <v>27</v>
      </c>
      <c r="E494" s="7" t="s">
        <v>1601</v>
      </c>
      <c r="F494" s="7" t="s">
        <v>1602</v>
      </c>
      <c r="G494" s="7" t="s">
        <v>1603</v>
      </c>
      <c r="H494" s="7">
        <v>20</v>
      </c>
      <c r="I494" s="7" t="s">
        <v>1604</v>
      </c>
      <c r="J494" s="7" t="s">
        <v>199</v>
      </c>
    </row>
    <row r="495" spans="1:10" x14ac:dyDescent="0.3">
      <c r="A495" s="6" t="s">
        <v>1513</v>
      </c>
      <c r="B495" s="7" t="s">
        <v>127</v>
      </c>
      <c r="C495" s="7" t="s">
        <v>589</v>
      </c>
      <c r="D495" s="7" t="s">
        <v>27</v>
      </c>
      <c r="E495" s="7" t="s">
        <v>1514</v>
      </c>
      <c r="F495" s="7" t="s">
        <v>1515</v>
      </c>
      <c r="G495" s="7" t="s">
        <v>1516</v>
      </c>
      <c r="H495" s="7">
        <v>10</v>
      </c>
      <c r="I495" s="7" t="s">
        <v>1517</v>
      </c>
      <c r="J495" s="7" t="s">
        <v>1518</v>
      </c>
    </row>
    <row r="496" spans="1:10" x14ac:dyDescent="0.3">
      <c r="A496" s="6" t="s">
        <v>1607</v>
      </c>
      <c r="B496" s="7" t="s">
        <v>127</v>
      </c>
      <c r="C496" s="7" t="s">
        <v>589</v>
      </c>
      <c r="D496" s="7" t="s">
        <v>27</v>
      </c>
      <c r="E496" s="7" t="s">
        <v>1608</v>
      </c>
      <c r="F496" s="7" t="s">
        <v>1609</v>
      </c>
      <c r="G496" s="7" t="s">
        <v>1610</v>
      </c>
      <c r="H496" s="7">
        <v>2</v>
      </c>
      <c r="I496" s="7" t="s">
        <v>339</v>
      </c>
      <c r="J496" s="7" t="s">
        <v>1333</v>
      </c>
    </row>
    <row r="497" spans="1:10" x14ac:dyDescent="0.3">
      <c r="A497" s="6" t="s">
        <v>1614</v>
      </c>
      <c r="B497" s="7" t="s">
        <v>127</v>
      </c>
      <c r="C497" s="7" t="s">
        <v>589</v>
      </c>
      <c r="D497" s="7" t="s">
        <v>27</v>
      </c>
      <c r="E497" s="7" t="s">
        <v>1608</v>
      </c>
      <c r="F497" s="7" t="s">
        <v>1609</v>
      </c>
      <c r="G497" s="7" t="s">
        <v>1615</v>
      </c>
      <c r="H497" s="7">
        <v>8</v>
      </c>
      <c r="I497" s="7" t="s">
        <v>196</v>
      </c>
      <c r="J497" s="7" t="s">
        <v>197</v>
      </c>
    </row>
    <row r="498" spans="1:10" x14ac:dyDescent="0.3">
      <c r="A498" s="6" t="s">
        <v>1611</v>
      </c>
      <c r="B498" s="7" t="s">
        <v>127</v>
      </c>
      <c r="C498" s="7" t="s">
        <v>589</v>
      </c>
      <c r="D498" s="7" t="s">
        <v>27</v>
      </c>
      <c r="E498" s="7" t="s">
        <v>1608</v>
      </c>
      <c r="F498" s="7" t="s">
        <v>1609</v>
      </c>
      <c r="G498" s="7" t="s">
        <v>1612</v>
      </c>
      <c r="H498" s="7">
        <v>1</v>
      </c>
      <c r="I498" s="7" t="s">
        <v>939</v>
      </c>
      <c r="J498" s="7" t="s">
        <v>1613</v>
      </c>
    </row>
    <row r="499" spans="1:10" x14ac:dyDescent="0.3">
      <c r="A499" s="6" t="s">
        <v>1616</v>
      </c>
      <c r="B499" s="7" t="s">
        <v>127</v>
      </c>
      <c r="C499" s="7" t="s">
        <v>589</v>
      </c>
      <c r="D499" s="7" t="s">
        <v>27</v>
      </c>
      <c r="E499" s="7" t="s">
        <v>1617</v>
      </c>
      <c r="F499" s="7" t="s">
        <v>1618</v>
      </c>
      <c r="G499" s="7" t="s">
        <v>1619</v>
      </c>
      <c r="H499" s="7">
        <v>3</v>
      </c>
      <c r="I499" s="7" t="s">
        <v>1620</v>
      </c>
      <c r="J499" s="7" t="s">
        <v>1621</v>
      </c>
    </row>
    <row r="500" spans="1:10" x14ac:dyDescent="0.3">
      <c r="A500" s="6" t="s">
        <v>1634</v>
      </c>
      <c r="B500" s="7" t="s">
        <v>127</v>
      </c>
      <c r="C500" s="7" t="s">
        <v>589</v>
      </c>
      <c r="D500" s="7" t="s">
        <v>27</v>
      </c>
      <c r="E500" s="7" t="s">
        <v>1635</v>
      </c>
      <c r="F500" s="7" t="s">
        <v>1636</v>
      </c>
      <c r="G500" s="7" t="s">
        <v>1637</v>
      </c>
      <c r="H500" s="7">
        <v>20</v>
      </c>
      <c r="I500" s="7" t="s">
        <v>1638</v>
      </c>
      <c r="J500" s="7" t="s">
        <v>294</v>
      </c>
    </row>
    <row r="501" spans="1:10" x14ac:dyDescent="0.3">
      <c r="A501" s="6" t="s">
        <v>1639</v>
      </c>
      <c r="B501" s="7" t="s">
        <v>127</v>
      </c>
      <c r="C501" s="7" t="s">
        <v>589</v>
      </c>
      <c r="D501" s="7" t="s">
        <v>27</v>
      </c>
      <c r="E501" s="7" t="s">
        <v>1640</v>
      </c>
      <c r="F501" s="7" t="s">
        <v>1188</v>
      </c>
      <c r="G501" s="7" t="s">
        <v>1641</v>
      </c>
      <c r="H501" s="7">
        <v>49</v>
      </c>
      <c r="I501" s="7" t="s">
        <v>1134</v>
      </c>
      <c r="J501" s="7" t="s">
        <v>189</v>
      </c>
    </row>
    <row r="502" spans="1:10" x14ac:dyDescent="0.3">
      <c r="A502" s="6" t="s">
        <v>1579</v>
      </c>
      <c r="B502" s="7" t="s">
        <v>127</v>
      </c>
      <c r="C502" s="7" t="s">
        <v>589</v>
      </c>
      <c r="D502" s="7" t="s">
        <v>27</v>
      </c>
      <c r="E502" s="7" t="s">
        <v>1580</v>
      </c>
      <c r="F502" s="7" t="s">
        <v>1581</v>
      </c>
      <c r="G502" s="7" t="s">
        <v>1582</v>
      </c>
      <c r="H502" s="7">
        <v>64</v>
      </c>
      <c r="I502" s="7" t="s">
        <v>541</v>
      </c>
      <c r="J502" s="7" t="s">
        <v>189</v>
      </c>
    </row>
    <row r="503" spans="1:10" x14ac:dyDescent="0.3">
      <c r="A503" s="6" t="s">
        <v>1508</v>
      </c>
      <c r="B503" s="7" t="s">
        <v>127</v>
      </c>
      <c r="C503" s="7" t="s">
        <v>589</v>
      </c>
      <c r="D503" s="7" t="s">
        <v>27</v>
      </c>
      <c r="E503" s="7" t="s">
        <v>1509</v>
      </c>
      <c r="F503" s="7" t="s">
        <v>283</v>
      </c>
      <c r="G503" s="7" t="s">
        <v>1510</v>
      </c>
      <c r="H503" s="7">
        <v>15</v>
      </c>
      <c r="I503" s="7" t="s">
        <v>1511</v>
      </c>
      <c r="J503" s="7" t="s">
        <v>1512</v>
      </c>
    </row>
    <row r="504" spans="1:10" x14ac:dyDescent="0.3">
      <c r="A504" s="6" t="s">
        <v>1484</v>
      </c>
      <c r="B504" s="7" t="s">
        <v>127</v>
      </c>
      <c r="C504" s="7" t="s">
        <v>589</v>
      </c>
      <c r="D504" s="7" t="s">
        <v>27</v>
      </c>
      <c r="E504" s="7" t="s">
        <v>1485</v>
      </c>
      <c r="F504" s="7" t="s">
        <v>1486</v>
      </c>
      <c r="G504" s="7" t="s">
        <v>1487</v>
      </c>
      <c r="H504" s="7">
        <v>14</v>
      </c>
      <c r="I504" s="7" t="s">
        <v>625</v>
      </c>
      <c r="J504" s="7" t="s">
        <v>622</v>
      </c>
    </row>
    <row r="505" spans="1:10" x14ac:dyDescent="0.3">
      <c r="A505" s="6" t="s">
        <v>2351</v>
      </c>
      <c r="B505" s="7" t="s">
        <v>127</v>
      </c>
      <c r="C505" s="7" t="s">
        <v>589</v>
      </c>
      <c r="D505" s="7" t="s">
        <v>27</v>
      </c>
      <c r="E505" s="7" t="s">
        <v>1497</v>
      </c>
      <c r="F505" s="7" t="s">
        <v>638</v>
      </c>
      <c r="G505" s="7" t="s">
        <v>2352</v>
      </c>
      <c r="H505" s="7">
        <v>7</v>
      </c>
      <c r="I505" s="7" t="s">
        <v>793</v>
      </c>
      <c r="J505" s="7" t="s">
        <v>640</v>
      </c>
    </row>
    <row r="506" spans="1:10" x14ac:dyDescent="0.3">
      <c r="A506" s="6" t="s">
        <v>1567</v>
      </c>
      <c r="B506" s="7" t="s">
        <v>127</v>
      </c>
      <c r="C506" s="7" t="s">
        <v>589</v>
      </c>
      <c r="D506" s="7" t="s">
        <v>27</v>
      </c>
      <c r="E506" s="7" t="s">
        <v>1568</v>
      </c>
      <c r="F506" s="7" t="s">
        <v>1569</v>
      </c>
      <c r="G506" s="7" t="s">
        <v>1570</v>
      </c>
      <c r="H506" s="7">
        <v>7</v>
      </c>
      <c r="I506" s="7" t="s">
        <v>1571</v>
      </c>
      <c r="J506" s="7" t="s">
        <v>404</v>
      </c>
    </row>
    <row r="507" spans="1:10" x14ac:dyDescent="0.3">
      <c r="A507" s="6" t="s">
        <v>1631</v>
      </c>
      <c r="B507" s="7" t="s">
        <v>127</v>
      </c>
      <c r="C507" s="7" t="s">
        <v>589</v>
      </c>
      <c r="D507" s="7" t="s">
        <v>27</v>
      </c>
      <c r="E507" s="7" t="s">
        <v>1627</v>
      </c>
      <c r="F507" s="7" t="s">
        <v>1628</v>
      </c>
      <c r="G507" s="7" t="s">
        <v>1632</v>
      </c>
      <c r="H507" s="7">
        <v>6</v>
      </c>
      <c r="I507" s="7" t="s">
        <v>64</v>
      </c>
      <c r="J507" s="7" t="s">
        <v>1633</v>
      </c>
    </row>
    <row r="508" spans="1:10" x14ac:dyDescent="0.3">
      <c r="A508" s="6" t="s">
        <v>1503</v>
      </c>
      <c r="B508" s="7" t="s">
        <v>127</v>
      </c>
      <c r="C508" s="7" t="s">
        <v>589</v>
      </c>
      <c r="D508" s="7" t="s">
        <v>27</v>
      </c>
      <c r="E508" s="7" t="s">
        <v>1504</v>
      </c>
      <c r="F508" s="7" t="s">
        <v>1505</v>
      </c>
      <c r="G508" s="7" t="s">
        <v>1506</v>
      </c>
      <c r="H508" s="7">
        <v>7</v>
      </c>
      <c r="I508" s="7" t="s">
        <v>487</v>
      </c>
      <c r="J508" s="7" t="s">
        <v>1507</v>
      </c>
    </row>
    <row r="509" spans="1:10" x14ac:dyDescent="0.3">
      <c r="A509" s="6" t="s">
        <v>1465</v>
      </c>
      <c r="B509" s="7" t="s">
        <v>127</v>
      </c>
      <c r="C509" s="7" t="s">
        <v>589</v>
      </c>
      <c r="D509" s="7" t="s">
        <v>27</v>
      </c>
      <c r="E509" s="7" t="s">
        <v>1466</v>
      </c>
      <c r="F509" s="7" t="s">
        <v>1467</v>
      </c>
      <c r="G509" s="7" t="s">
        <v>1468</v>
      </c>
      <c r="H509" s="7">
        <v>12</v>
      </c>
      <c r="I509" s="7" t="s">
        <v>604</v>
      </c>
      <c r="J509" s="7" t="s">
        <v>166</v>
      </c>
    </row>
    <row r="510" spans="1:10" x14ac:dyDescent="0.3">
      <c r="A510" s="6" t="s">
        <v>1469</v>
      </c>
      <c r="B510" s="7" t="s">
        <v>127</v>
      </c>
      <c r="C510" s="7" t="s">
        <v>589</v>
      </c>
      <c r="D510" s="7" t="s">
        <v>27</v>
      </c>
      <c r="E510" s="7" t="s">
        <v>1466</v>
      </c>
      <c r="F510" s="7" t="s">
        <v>1467</v>
      </c>
      <c r="G510" s="7" t="s">
        <v>1470</v>
      </c>
      <c r="H510" s="7">
        <v>5</v>
      </c>
      <c r="I510" s="7" t="s">
        <v>645</v>
      </c>
      <c r="J510" s="7" t="s">
        <v>1471</v>
      </c>
    </row>
    <row r="511" spans="1:10" x14ac:dyDescent="0.3">
      <c r="A511" s="6" t="s">
        <v>1593</v>
      </c>
      <c r="B511" s="7" t="s">
        <v>127</v>
      </c>
      <c r="C511" s="7" t="s">
        <v>589</v>
      </c>
      <c r="D511" s="7" t="s">
        <v>27</v>
      </c>
      <c r="E511" s="7" t="s">
        <v>1594</v>
      </c>
      <c r="F511" s="7" t="s">
        <v>1595</v>
      </c>
      <c r="G511" s="7" t="s">
        <v>1596</v>
      </c>
      <c r="H511" s="7">
        <v>8</v>
      </c>
      <c r="I511" s="7" t="s">
        <v>1212</v>
      </c>
      <c r="J511" s="7" t="s">
        <v>404</v>
      </c>
    </row>
    <row r="512" spans="1:10" x14ac:dyDescent="0.3">
      <c r="A512" s="6" t="s">
        <v>2356</v>
      </c>
      <c r="B512" s="7" t="s">
        <v>127</v>
      </c>
      <c r="C512" s="7" t="s">
        <v>589</v>
      </c>
      <c r="D512" s="7" t="s">
        <v>27</v>
      </c>
      <c r="E512" s="7" t="s">
        <v>2357</v>
      </c>
      <c r="F512" s="7" t="s">
        <v>2358</v>
      </c>
      <c r="G512" s="7" t="s">
        <v>2359</v>
      </c>
      <c r="H512" s="7">
        <v>6</v>
      </c>
      <c r="I512" s="7" t="s">
        <v>208</v>
      </c>
      <c r="J512" s="7" t="s">
        <v>166</v>
      </c>
    </row>
    <row r="513" spans="1:10" x14ac:dyDescent="0.3">
      <c r="A513" s="6" t="s">
        <v>1642</v>
      </c>
      <c r="B513" s="7" t="s">
        <v>127</v>
      </c>
      <c r="C513" s="7" t="s">
        <v>589</v>
      </c>
      <c r="D513" s="7" t="s">
        <v>27</v>
      </c>
      <c r="E513" s="7" t="s">
        <v>709</v>
      </c>
      <c r="F513" s="7" t="s">
        <v>710</v>
      </c>
      <c r="G513" s="7" t="s">
        <v>1643</v>
      </c>
      <c r="H513" s="7">
        <v>7</v>
      </c>
      <c r="I513" s="7" t="s">
        <v>1212</v>
      </c>
      <c r="J513" s="7" t="s">
        <v>149</v>
      </c>
    </row>
    <row r="514" spans="1:10" x14ac:dyDescent="0.3">
      <c r="A514" s="6" t="s">
        <v>1525</v>
      </c>
      <c r="B514" s="7" t="s">
        <v>127</v>
      </c>
      <c r="C514" s="7" t="s">
        <v>589</v>
      </c>
      <c r="D514" s="7" t="s">
        <v>27</v>
      </c>
      <c r="E514" s="7" t="s">
        <v>1526</v>
      </c>
      <c r="F514" s="7" t="s">
        <v>1527</v>
      </c>
      <c r="G514" s="7" t="s">
        <v>1528</v>
      </c>
      <c r="H514" s="7">
        <v>6</v>
      </c>
      <c r="I514" s="7" t="s">
        <v>1212</v>
      </c>
      <c r="J514" s="7" t="s">
        <v>189</v>
      </c>
    </row>
    <row r="515" spans="1:10" x14ac:dyDescent="0.3">
      <c r="A515" s="6" t="s">
        <v>1605</v>
      </c>
      <c r="B515" s="7" t="s">
        <v>127</v>
      </c>
      <c r="C515" s="7" t="s">
        <v>589</v>
      </c>
      <c r="D515" s="7" t="s">
        <v>27</v>
      </c>
      <c r="E515" s="7" t="s">
        <v>1341</v>
      </c>
      <c r="F515" s="7" t="s">
        <v>516</v>
      </c>
      <c r="G515" s="7" t="s">
        <v>1606</v>
      </c>
      <c r="H515" s="7">
        <v>20</v>
      </c>
      <c r="I515" s="7" t="s">
        <v>407</v>
      </c>
      <c r="J515" s="7" t="s">
        <v>408</v>
      </c>
    </row>
    <row r="516" spans="1:10" x14ac:dyDescent="0.3">
      <c r="A516" s="6" t="s">
        <v>1572</v>
      </c>
      <c r="B516" s="7" t="s">
        <v>127</v>
      </c>
      <c r="C516" s="7" t="s">
        <v>589</v>
      </c>
      <c r="D516" s="7" t="s">
        <v>27</v>
      </c>
      <c r="E516" s="7" t="s">
        <v>1573</v>
      </c>
      <c r="F516" s="7" t="s">
        <v>1574</v>
      </c>
      <c r="G516" s="7" t="s">
        <v>1575</v>
      </c>
      <c r="H516" s="7">
        <v>8</v>
      </c>
      <c r="I516" s="7" t="s">
        <v>407</v>
      </c>
      <c r="J516" s="7" t="s">
        <v>666</v>
      </c>
    </row>
    <row r="517" spans="1:10" x14ac:dyDescent="0.3">
      <c r="A517" s="6" t="s">
        <v>1563</v>
      </c>
      <c r="B517" s="7" t="s">
        <v>127</v>
      </c>
      <c r="C517" s="7" t="s">
        <v>589</v>
      </c>
      <c r="D517" s="7" t="s">
        <v>27</v>
      </c>
      <c r="E517" s="7" t="s">
        <v>1564</v>
      </c>
      <c r="F517" s="7" t="s">
        <v>1565</v>
      </c>
      <c r="G517" s="7" t="s">
        <v>1566</v>
      </c>
      <c r="H517" s="7">
        <v>12</v>
      </c>
      <c r="I517" s="7" t="s">
        <v>208</v>
      </c>
      <c r="J517" s="7" t="s">
        <v>612</v>
      </c>
    </row>
    <row r="518" spans="1:10" x14ac:dyDescent="0.3">
      <c r="A518" s="6" t="s">
        <v>1622</v>
      </c>
      <c r="B518" s="7" t="s">
        <v>127</v>
      </c>
      <c r="C518" s="7" t="s">
        <v>589</v>
      </c>
      <c r="D518" s="7" t="s">
        <v>27</v>
      </c>
      <c r="E518" s="7" t="s">
        <v>1623</v>
      </c>
      <c r="F518" s="7" t="s">
        <v>1624</v>
      </c>
      <c r="G518" s="7" t="s">
        <v>1625</v>
      </c>
      <c r="H518" s="7">
        <v>9</v>
      </c>
      <c r="I518" s="7" t="s">
        <v>568</v>
      </c>
      <c r="J518" s="7" t="s">
        <v>189</v>
      </c>
    </row>
    <row r="519" spans="1:10" x14ac:dyDescent="0.3">
      <c r="A519" s="6" t="s">
        <v>1588</v>
      </c>
      <c r="B519" s="7" t="s">
        <v>127</v>
      </c>
      <c r="C519" s="7" t="s">
        <v>589</v>
      </c>
      <c r="D519" s="7" t="s">
        <v>27</v>
      </c>
      <c r="E519" s="7" t="s">
        <v>1589</v>
      </c>
      <c r="F519" s="7" t="s">
        <v>1590</v>
      </c>
      <c r="G519" s="7" t="s">
        <v>1591</v>
      </c>
      <c r="H519" s="7">
        <v>12</v>
      </c>
      <c r="I519" s="7" t="s">
        <v>1592</v>
      </c>
      <c r="J519" s="7" t="s">
        <v>189</v>
      </c>
    </row>
    <row r="520" spans="1:10" x14ac:dyDescent="0.3">
      <c r="A520" s="6" t="s">
        <v>1597</v>
      </c>
      <c r="B520" s="7" t="s">
        <v>127</v>
      </c>
      <c r="C520" s="7" t="s">
        <v>589</v>
      </c>
      <c r="D520" s="7" t="s">
        <v>27</v>
      </c>
      <c r="E520" s="7" t="s">
        <v>1598</v>
      </c>
      <c r="F520" s="7" t="s">
        <v>1311</v>
      </c>
      <c r="G520" s="7" t="s">
        <v>1599</v>
      </c>
      <c r="H520" s="7">
        <v>12</v>
      </c>
      <c r="I520" s="7" t="s">
        <v>1313</v>
      </c>
      <c r="J520" s="7" t="s">
        <v>612</v>
      </c>
    </row>
    <row r="521" spans="1:10" x14ac:dyDescent="0.3">
      <c r="A521" s="6" t="s">
        <v>2345</v>
      </c>
      <c r="B521" s="7" t="s">
        <v>127</v>
      </c>
      <c r="C521" s="7" t="s">
        <v>589</v>
      </c>
      <c r="D521" s="7" t="s">
        <v>27</v>
      </c>
      <c r="E521" s="7" t="s">
        <v>2346</v>
      </c>
      <c r="F521" s="7" t="s">
        <v>2347</v>
      </c>
      <c r="G521" s="7" t="s">
        <v>2348</v>
      </c>
      <c r="H521" s="7">
        <v>1</v>
      </c>
      <c r="I521" s="7" t="s">
        <v>2350</v>
      </c>
      <c r="J521" s="7" t="s">
        <v>612</v>
      </c>
    </row>
    <row r="522" spans="1:10" x14ac:dyDescent="0.3">
      <c r="A522" s="6" t="s">
        <v>1472</v>
      </c>
      <c r="B522" s="7" t="s">
        <v>127</v>
      </c>
      <c r="C522" s="7" t="s">
        <v>589</v>
      </c>
      <c r="D522" s="7" t="s">
        <v>27</v>
      </c>
      <c r="E522" s="7" t="s">
        <v>1473</v>
      </c>
      <c r="F522" s="7" t="s">
        <v>1474</v>
      </c>
      <c r="G522" s="7" t="s">
        <v>1475</v>
      </c>
      <c r="H522" s="7">
        <v>17</v>
      </c>
      <c r="I522" s="7" t="s">
        <v>394</v>
      </c>
      <c r="J522" s="7" t="s">
        <v>1476</v>
      </c>
    </row>
    <row r="523" spans="1:10" x14ac:dyDescent="0.3">
      <c r="A523" s="6" t="s">
        <v>1477</v>
      </c>
      <c r="B523" s="7" t="s">
        <v>127</v>
      </c>
      <c r="C523" s="7" t="s">
        <v>589</v>
      </c>
      <c r="D523" s="7" t="s">
        <v>27</v>
      </c>
      <c r="E523" s="7" t="s">
        <v>1473</v>
      </c>
      <c r="F523" s="7" t="s">
        <v>1474</v>
      </c>
      <c r="G523" s="7" t="s">
        <v>1478</v>
      </c>
      <c r="H523" s="7">
        <v>8</v>
      </c>
      <c r="I523" s="7" t="s">
        <v>879</v>
      </c>
      <c r="J523" s="7" t="s">
        <v>1479</v>
      </c>
    </row>
    <row r="524" spans="1:10" x14ac:dyDescent="0.3">
      <c r="A524" s="6" t="s">
        <v>1480</v>
      </c>
      <c r="B524" s="7" t="s">
        <v>127</v>
      </c>
      <c r="C524" s="7" t="s">
        <v>589</v>
      </c>
      <c r="D524" s="7" t="s">
        <v>27</v>
      </c>
      <c r="E524" s="7" t="s">
        <v>1481</v>
      </c>
      <c r="F524" s="7" t="s">
        <v>1482</v>
      </c>
      <c r="G524" s="7" t="s">
        <v>1483</v>
      </c>
      <c r="H524" s="7">
        <v>18</v>
      </c>
      <c r="I524" s="7" t="s">
        <v>196</v>
      </c>
      <c r="J524" s="7" t="s">
        <v>505</v>
      </c>
    </row>
    <row r="525" spans="1:10" x14ac:dyDescent="0.3">
      <c r="A525" s="6" t="s">
        <v>1488</v>
      </c>
      <c r="B525" s="7" t="s">
        <v>127</v>
      </c>
      <c r="C525" s="7" t="s">
        <v>589</v>
      </c>
      <c r="D525" s="7" t="s">
        <v>27</v>
      </c>
      <c r="E525" s="7" t="s">
        <v>1485</v>
      </c>
      <c r="F525" s="7" t="s">
        <v>1486</v>
      </c>
      <c r="G525" s="7" t="s">
        <v>1489</v>
      </c>
      <c r="H525" s="7">
        <v>9</v>
      </c>
      <c r="I525" s="7" t="s">
        <v>290</v>
      </c>
      <c r="J525" s="7" t="s">
        <v>1333</v>
      </c>
    </row>
    <row r="526" spans="1:10" x14ac:dyDescent="0.3">
      <c r="A526" s="6" t="s">
        <v>1493</v>
      </c>
      <c r="B526" s="7" t="s">
        <v>127</v>
      </c>
      <c r="C526" s="7" t="s">
        <v>589</v>
      </c>
      <c r="D526" s="7" t="s">
        <v>27</v>
      </c>
      <c r="E526" s="7" t="s">
        <v>1485</v>
      </c>
      <c r="F526" s="7" t="s">
        <v>1486</v>
      </c>
      <c r="G526" s="7" t="s">
        <v>1494</v>
      </c>
      <c r="H526" s="7">
        <v>8</v>
      </c>
      <c r="I526" s="7" t="s">
        <v>1495</v>
      </c>
      <c r="J526" s="7" t="s">
        <v>612</v>
      </c>
    </row>
    <row r="527" spans="1:10" x14ac:dyDescent="0.3">
      <c r="A527" s="6" t="s">
        <v>1490</v>
      </c>
      <c r="B527" s="7" t="s">
        <v>127</v>
      </c>
      <c r="C527" s="7" t="s">
        <v>589</v>
      </c>
      <c r="D527" s="7" t="s">
        <v>27</v>
      </c>
      <c r="E527" s="7" t="s">
        <v>1485</v>
      </c>
      <c r="F527" s="7" t="s">
        <v>1486</v>
      </c>
      <c r="G527" s="7" t="s">
        <v>1491</v>
      </c>
      <c r="H527" s="7">
        <v>6</v>
      </c>
      <c r="I527" s="7" t="s">
        <v>1492</v>
      </c>
      <c r="J527" s="7" t="s">
        <v>696</v>
      </c>
    </row>
    <row r="528" spans="1:10" x14ac:dyDescent="0.3">
      <c r="A528" s="6" t="s">
        <v>1496</v>
      </c>
      <c r="B528" s="7" t="s">
        <v>127</v>
      </c>
      <c r="C528" s="7" t="s">
        <v>589</v>
      </c>
      <c r="D528" s="7" t="s">
        <v>27</v>
      </c>
      <c r="E528" s="7" t="s">
        <v>1497</v>
      </c>
      <c r="F528" s="7" t="s">
        <v>638</v>
      </c>
      <c r="G528" s="7" t="s">
        <v>1498</v>
      </c>
      <c r="H528" s="7">
        <v>4</v>
      </c>
      <c r="I528" s="7" t="s">
        <v>934</v>
      </c>
      <c r="J528" s="7" t="s">
        <v>945</v>
      </c>
    </row>
    <row r="529" spans="1:10" x14ac:dyDescent="0.3">
      <c r="A529" s="6" t="s">
        <v>1499</v>
      </c>
      <c r="B529" s="7" t="s">
        <v>127</v>
      </c>
      <c r="C529" s="7" t="s">
        <v>589</v>
      </c>
      <c r="D529" s="7" t="s">
        <v>27</v>
      </c>
      <c r="E529" s="7" t="s">
        <v>1500</v>
      </c>
      <c r="F529" s="7" t="s">
        <v>1501</v>
      </c>
      <c r="G529" s="7" t="s">
        <v>1502</v>
      </c>
      <c r="H529" s="7">
        <v>2</v>
      </c>
      <c r="I529" s="7" t="s">
        <v>176</v>
      </c>
      <c r="J529" s="7" t="s">
        <v>856</v>
      </c>
    </row>
    <row r="530" spans="1:10" x14ac:dyDescent="0.3">
      <c r="A530" s="6" t="s">
        <v>1626</v>
      </c>
      <c r="B530" s="7" t="s">
        <v>127</v>
      </c>
      <c r="C530" s="7" t="s">
        <v>589</v>
      </c>
      <c r="D530" s="7" t="s">
        <v>27</v>
      </c>
      <c r="E530" s="7" t="s">
        <v>1627</v>
      </c>
      <c r="F530" s="7" t="s">
        <v>1628</v>
      </c>
      <c r="G530" s="7" t="s">
        <v>1629</v>
      </c>
      <c r="H530" s="7">
        <v>3</v>
      </c>
      <c r="I530" s="7" t="s">
        <v>1630</v>
      </c>
      <c r="J530" s="7" t="s">
        <v>781</v>
      </c>
    </row>
    <row r="531" spans="1:10" ht="15" x14ac:dyDescent="0.3">
      <c r="A531" s="10"/>
      <c r="B531" s="11"/>
      <c r="C531" s="11"/>
      <c r="D531" s="11" t="s">
        <v>2564</v>
      </c>
      <c r="E531" s="11" t="s">
        <v>2534</v>
      </c>
      <c r="F531" s="11"/>
      <c r="G531" s="11" t="s">
        <v>2565</v>
      </c>
      <c r="H531" s="11">
        <v>688</v>
      </c>
      <c r="I531" s="11"/>
      <c r="J531" s="11"/>
    </row>
    <row r="532" spans="1:10" x14ac:dyDescent="0.3">
      <c r="A532" s="6" t="s">
        <v>2413</v>
      </c>
      <c r="B532" s="7" t="s">
        <v>127</v>
      </c>
      <c r="C532" s="7"/>
      <c r="D532" s="7" t="s">
        <v>28</v>
      </c>
      <c r="E532" s="7" t="s">
        <v>2414</v>
      </c>
      <c r="F532" s="7" t="s">
        <v>2415</v>
      </c>
      <c r="G532" s="7" t="s">
        <v>2416</v>
      </c>
      <c r="H532" s="7">
        <v>5</v>
      </c>
      <c r="I532" s="7" t="s">
        <v>2418</v>
      </c>
      <c r="J532" s="7" t="s">
        <v>404</v>
      </c>
    </row>
    <row r="533" spans="1:10" x14ac:dyDescent="0.3">
      <c r="A533" s="6" t="s">
        <v>2425</v>
      </c>
      <c r="B533" s="7" t="s">
        <v>1945</v>
      </c>
      <c r="C533" s="7" t="s">
        <v>2426</v>
      </c>
      <c r="D533" s="7" t="s">
        <v>28</v>
      </c>
      <c r="E533" s="7" t="s">
        <v>2427</v>
      </c>
      <c r="F533" s="7" t="s">
        <v>2428</v>
      </c>
      <c r="G533" s="7" t="s">
        <v>2429</v>
      </c>
      <c r="H533" s="7">
        <v>10</v>
      </c>
      <c r="I533" s="7" t="s">
        <v>492</v>
      </c>
      <c r="J533" s="7" t="s">
        <v>2431</v>
      </c>
    </row>
    <row r="534" spans="1:10" x14ac:dyDescent="0.3">
      <c r="A534" s="6" t="s">
        <v>2436</v>
      </c>
      <c r="B534" s="7" t="s">
        <v>127</v>
      </c>
      <c r="C534" s="7"/>
      <c r="D534" s="7" t="s">
        <v>28</v>
      </c>
      <c r="E534" s="7" t="s">
        <v>2437</v>
      </c>
      <c r="F534" s="7" t="s">
        <v>2438</v>
      </c>
      <c r="G534" s="7" t="s">
        <v>2439</v>
      </c>
      <c r="H534" s="7">
        <v>2</v>
      </c>
      <c r="I534" s="7" t="s">
        <v>1307</v>
      </c>
      <c r="J534" s="7" t="s">
        <v>294</v>
      </c>
    </row>
    <row r="535" spans="1:10" x14ac:dyDescent="0.3">
      <c r="A535" s="6" t="s">
        <v>2392</v>
      </c>
      <c r="B535" s="7" t="s">
        <v>127</v>
      </c>
      <c r="C535" s="7"/>
      <c r="D535" s="7" t="s">
        <v>28</v>
      </c>
      <c r="E535" s="7" t="s">
        <v>2393</v>
      </c>
      <c r="F535" s="7" t="s">
        <v>1098</v>
      </c>
      <c r="G535" s="7" t="s">
        <v>2394</v>
      </c>
      <c r="H535" s="7">
        <v>2</v>
      </c>
      <c r="I535" s="7" t="s">
        <v>196</v>
      </c>
      <c r="J535" s="7" t="s">
        <v>155</v>
      </c>
    </row>
    <row r="536" spans="1:10" x14ac:dyDescent="0.3">
      <c r="A536" s="6" t="s">
        <v>2408</v>
      </c>
      <c r="B536" s="7" t="s">
        <v>127</v>
      </c>
      <c r="C536" s="7"/>
      <c r="D536" s="7" t="s">
        <v>28</v>
      </c>
      <c r="E536" s="7" t="s">
        <v>2409</v>
      </c>
      <c r="F536" s="7" t="s">
        <v>862</v>
      </c>
      <c r="G536" s="7" t="s">
        <v>2410</v>
      </c>
      <c r="H536" s="7">
        <v>1</v>
      </c>
      <c r="I536" s="7" t="s">
        <v>165</v>
      </c>
      <c r="J536" s="7" t="s">
        <v>2412</v>
      </c>
    </row>
    <row r="537" spans="1:10" x14ac:dyDescent="0.3">
      <c r="A537" s="6" t="s">
        <v>2387</v>
      </c>
      <c r="B537" s="7" t="s">
        <v>127</v>
      </c>
      <c r="C537" s="7"/>
      <c r="D537" s="7" t="s">
        <v>28</v>
      </c>
      <c r="E537" s="7" t="s">
        <v>2388</v>
      </c>
      <c r="F537" s="7" t="s">
        <v>2389</v>
      </c>
      <c r="G537" s="7" t="s">
        <v>2390</v>
      </c>
      <c r="H537" s="7">
        <v>73</v>
      </c>
      <c r="I537" s="7" t="s">
        <v>324</v>
      </c>
      <c r="J537" s="7" t="s">
        <v>155</v>
      </c>
    </row>
    <row r="538" spans="1:10" x14ac:dyDescent="0.3">
      <c r="A538" s="6" t="s">
        <v>2401</v>
      </c>
      <c r="B538" s="7" t="s">
        <v>127</v>
      </c>
      <c r="C538" s="7"/>
      <c r="D538" s="7" t="s">
        <v>28</v>
      </c>
      <c r="E538" s="7" t="s">
        <v>2402</v>
      </c>
      <c r="F538" s="7" t="s">
        <v>2403</v>
      </c>
      <c r="G538" s="7" t="s">
        <v>2404</v>
      </c>
      <c r="H538" s="7">
        <v>4</v>
      </c>
      <c r="I538" s="7" t="s">
        <v>2407</v>
      </c>
      <c r="J538" s="7" t="s">
        <v>232</v>
      </c>
    </row>
    <row r="539" spans="1:10" x14ac:dyDescent="0.3">
      <c r="A539" s="6" t="s">
        <v>2441</v>
      </c>
      <c r="B539" s="7" t="s">
        <v>127</v>
      </c>
      <c r="C539" s="7"/>
      <c r="D539" s="7" t="s">
        <v>28</v>
      </c>
      <c r="E539" s="7" t="s">
        <v>2442</v>
      </c>
      <c r="F539" s="7" t="s">
        <v>2443</v>
      </c>
      <c r="G539" s="7" t="s">
        <v>2444</v>
      </c>
      <c r="H539" s="7">
        <v>1</v>
      </c>
      <c r="I539" s="7" t="s">
        <v>1066</v>
      </c>
      <c r="J539" s="7" t="s">
        <v>2446</v>
      </c>
    </row>
    <row r="540" spans="1:10" x14ac:dyDescent="0.3">
      <c r="A540" s="6" t="s">
        <v>2432</v>
      </c>
      <c r="B540" s="7" t="s">
        <v>127</v>
      </c>
      <c r="C540" s="7"/>
      <c r="D540" s="7" t="s">
        <v>28</v>
      </c>
      <c r="E540" s="7" t="s">
        <v>2433</v>
      </c>
      <c r="F540" s="7" t="s">
        <v>1182</v>
      </c>
      <c r="G540" s="7" t="s">
        <v>2434</v>
      </c>
      <c r="H540" s="7">
        <v>5</v>
      </c>
      <c r="I540" s="7" t="s">
        <v>99</v>
      </c>
      <c r="J540" s="7" t="s">
        <v>189</v>
      </c>
    </row>
    <row r="541" spans="1:10" x14ac:dyDescent="0.3">
      <c r="A541" s="6" t="s">
        <v>2419</v>
      </c>
      <c r="B541" s="7" t="s">
        <v>127</v>
      </c>
      <c r="C541" s="7"/>
      <c r="D541" s="7" t="s">
        <v>28</v>
      </c>
      <c r="E541" s="7" t="s">
        <v>2420</v>
      </c>
      <c r="F541" s="7" t="s">
        <v>2421</v>
      </c>
      <c r="G541" s="7" t="s">
        <v>2422</v>
      </c>
      <c r="H541" s="7">
        <v>2</v>
      </c>
      <c r="I541" s="7" t="s">
        <v>366</v>
      </c>
      <c r="J541" s="7" t="s">
        <v>2424</v>
      </c>
    </row>
    <row r="542" spans="1:10" x14ac:dyDescent="0.3">
      <c r="A542" s="6" t="s">
        <v>2396</v>
      </c>
      <c r="B542" s="7" t="s">
        <v>127</v>
      </c>
      <c r="C542" s="7"/>
      <c r="D542" s="7" t="s">
        <v>28</v>
      </c>
      <c r="E542" s="7" t="s">
        <v>2397</v>
      </c>
      <c r="F542" s="7" t="s">
        <v>2398</v>
      </c>
      <c r="G542" s="7" t="s">
        <v>2399</v>
      </c>
      <c r="H542" s="7">
        <v>1</v>
      </c>
      <c r="I542" s="7" t="s">
        <v>562</v>
      </c>
      <c r="J542" s="7" t="s">
        <v>1218</v>
      </c>
    </row>
    <row r="543" spans="1:10" x14ac:dyDescent="0.3">
      <c r="A543" s="6" t="s">
        <v>2447</v>
      </c>
      <c r="B543" s="7" t="s">
        <v>127</v>
      </c>
      <c r="C543" s="7"/>
      <c r="D543" s="7" t="s">
        <v>28</v>
      </c>
      <c r="E543" s="7" t="s">
        <v>2448</v>
      </c>
      <c r="F543" s="7" t="s">
        <v>1025</v>
      </c>
      <c r="G543" s="7" t="s">
        <v>2449</v>
      </c>
      <c r="H543" s="7">
        <v>3</v>
      </c>
      <c r="I543" s="7" t="s">
        <v>604</v>
      </c>
      <c r="J543" s="7" t="s">
        <v>266</v>
      </c>
    </row>
    <row r="544" spans="1:10" x14ac:dyDescent="0.3">
      <c r="A544" s="6" t="s">
        <v>2380</v>
      </c>
      <c r="B544" s="7" t="s">
        <v>127</v>
      </c>
      <c r="C544" s="7"/>
      <c r="D544" s="7" t="s">
        <v>28</v>
      </c>
      <c r="E544" s="7" t="s">
        <v>2381</v>
      </c>
      <c r="F544" s="7" t="s">
        <v>1721</v>
      </c>
      <c r="G544" s="7" t="s">
        <v>2382</v>
      </c>
      <c r="H544" s="7">
        <v>5</v>
      </c>
      <c r="I544" s="7" t="s">
        <v>2386</v>
      </c>
      <c r="J544" s="7" t="s">
        <v>246</v>
      </c>
    </row>
    <row r="545" spans="1:10" x14ac:dyDescent="0.3">
      <c r="A545" s="6" t="s">
        <v>2374</v>
      </c>
      <c r="B545" s="7" t="s">
        <v>127</v>
      </c>
      <c r="C545" s="7"/>
      <c r="D545" s="7" t="s">
        <v>28</v>
      </c>
      <c r="E545" s="7" t="s">
        <v>2375</v>
      </c>
      <c r="F545" s="7" t="s">
        <v>401</v>
      </c>
      <c r="G545" s="7" t="s">
        <v>2376</v>
      </c>
      <c r="H545" s="7">
        <v>2</v>
      </c>
      <c r="I545" s="7" t="s">
        <v>1941</v>
      </c>
      <c r="J545" s="7" t="s">
        <v>676</v>
      </c>
    </row>
    <row r="546" spans="1:10" ht="15" x14ac:dyDescent="0.3">
      <c r="A546" s="10"/>
      <c r="B546" s="11"/>
      <c r="C546" s="11"/>
      <c r="D546" s="11" t="s">
        <v>2566</v>
      </c>
      <c r="E546" s="11" t="s">
        <v>2534</v>
      </c>
      <c r="F546" s="11"/>
      <c r="G546" s="11" t="s">
        <v>2567</v>
      </c>
      <c r="H546" s="11">
        <v>116</v>
      </c>
      <c r="I546" s="11"/>
      <c r="J546" s="11"/>
    </row>
    <row r="547" spans="1:10" x14ac:dyDescent="0.3">
      <c r="A547" s="6" t="s">
        <v>2451</v>
      </c>
      <c r="B547" s="7" t="s">
        <v>127</v>
      </c>
      <c r="C547" s="7" t="s">
        <v>589</v>
      </c>
      <c r="D547" s="7" t="s">
        <v>29</v>
      </c>
      <c r="E547" s="7" t="s">
        <v>515</v>
      </c>
      <c r="F547" s="7" t="s">
        <v>516</v>
      </c>
      <c r="G547" s="7" t="s">
        <v>2452</v>
      </c>
      <c r="H547" s="7"/>
      <c r="I547" s="7" t="s">
        <v>1769</v>
      </c>
      <c r="J547" s="7" t="s">
        <v>343</v>
      </c>
    </row>
    <row r="548" spans="1:10" ht="15" x14ac:dyDescent="0.3">
      <c r="A548" s="10"/>
      <c r="B548" s="11"/>
      <c r="C548" s="11"/>
      <c r="D548" s="11" t="s">
        <v>2568</v>
      </c>
      <c r="E548" s="11" t="s">
        <v>2534</v>
      </c>
      <c r="F548" s="11"/>
      <c r="G548" s="11" t="s">
        <v>2535</v>
      </c>
      <c r="H548" s="11">
        <v>0</v>
      </c>
      <c r="I548" s="11"/>
      <c r="J548" s="11"/>
    </row>
    <row r="549" spans="1:10" x14ac:dyDescent="0.3">
      <c r="A549" s="6" t="s">
        <v>1647</v>
      </c>
      <c r="B549" s="7" t="s">
        <v>127</v>
      </c>
      <c r="C549" s="7" t="s">
        <v>589</v>
      </c>
      <c r="D549" s="7" t="s">
        <v>30</v>
      </c>
      <c r="E549" s="7" t="s">
        <v>1648</v>
      </c>
      <c r="F549" s="7" t="s">
        <v>1035</v>
      </c>
      <c r="G549" s="7" t="s">
        <v>1649</v>
      </c>
      <c r="H549" s="7">
        <v>3</v>
      </c>
      <c r="I549" s="7" t="s">
        <v>1650</v>
      </c>
      <c r="J549" s="7" t="s">
        <v>1651</v>
      </c>
    </row>
    <row r="550" spans="1:10" x14ac:dyDescent="0.3">
      <c r="A550" s="6" t="s">
        <v>2456</v>
      </c>
      <c r="B550" s="7" t="s">
        <v>127</v>
      </c>
      <c r="C550" s="7" t="s">
        <v>589</v>
      </c>
      <c r="D550" s="7" t="s">
        <v>30</v>
      </c>
      <c r="E550" s="7" t="s">
        <v>1537</v>
      </c>
      <c r="F550" s="7" t="s">
        <v>2457</v>
      </c>
      <c r="G550" s="7" t="s">
        <v>2458</v>
      </c>
      <c r="H550" s="7">
        <v>8</v>
      </c>
      <c r="I550" s="7" t="s">
        <v>2061</v>
      </c>
      <c r="J550" s="7" t="s">
        <v>2462</v>
      </c>
    </row>
    <row r="551" spans="1:10" x14ac:dyDescent="0.3">
      <c r="A551" s="6" t="s">
        <v>1644</v>
      </c>
      <c r="B551" s="7" t="s">
        <v>127</v>
      </c>
      <c r="C551" s="7" t="s">
        <v>589</v>
      </c>
      <c r="D551" s="7" t="s">
        <v>30</v>
      </c>
      <c r="E551" s="7" t="s">
        <v>1341</v>
      </c>
      <c r="F551" s="7" t="s">
        <v>516</v>
      </c>
      <c r="G551" s="7" t="s">
        <v>1645</v>
      </c>
      <c r="H551" s="7">
        <v>4</v>
      </c>
      <c r="I551" s="7" t="s">
        <v>1280</v>
      </c>
      <c r="J551" s="7" t="s">
        <v>1646</v>
      </c>
    </row>
    <row r="552" spans="1:10" ht="15" x14ac:dyDescent="0.3">
      <c r="A552" s="10"/>
      <c r="B552" s="11"/>
      <c r="C552" s="11"/>
      <c r="D552" s="11" t="s">
        <v>2569</v>
      </c>
      <c r="E552" s="11" t="s">
        <v>2534</v>
      </c>
      <c r="F552" s="11"/>
      <c r="G552" s="11" t="s">
        <v>2546</v>
      </c>
      <c r="H552" s="11">
        <v>15</v>
      </c>
      <c r="I552" s="11"/>
      <c r="J552" s="11"/>
    </row>
    <row r="553" spans="1:10" x14ac:dyDescent="0.3">
      <c r="A553" s="6" t="s">
        <v>2463</v>
      </c>
      <c r="B553" s="7" t="s">
        <v>2464</v>
      </c>
      <c r="C553" s="7" t="s">
        <v>2465</v>
      </c>
      <c r="D553" s="7" t="s">
        <v>31</v>
      </c>
      <c r="E553" s="7" t="s">
        <v>2466</v>
      </c>
      <c r="F553" s="7" t="s">
        <v>1035</v>
      </c>
      <c r="G553" s="7" t="s">
        <v>2467</v>
      </c>
      <c r="H553" s="7">
        <v>3</v>
      </c>
      <c r="I553" s="7" t="s">
        <v>2471</v>
      </c>
      <c r="J553" s="7" t="s">
        <v>1150</v>
      </c>
    </row>
    <row r="554" spans="1:10" ht="15" x14ac:dyDescent="0.3">
      <c r="A554" s="10"/>
      <c r="B554" s="11"/>
      <c r="C554" s="11"/>
      <c r="D554" s="11" t="s">
        <v>2570</v>
      </c>
      <c r="E554" s="11" t="s">
        <v>2534</v>
      </c>
      <c r="F554" s="11"/>
      <c r="G554" s="11" t="s">
        <v>2535</v>
      </c>
      <c r="H554" s="11">
        <v>3</v>
      </c>
      <c r="I554" s="11"/>
      <c r="J554" s="11"/>
    </row>
    <row r="555" spans="1:10" x14ac:dyDescent="0.3">
      <c r="A555" s="6" t="s">
        <v>1652</v>
      </c>
      <c r="B555" s="7" t="s">
        <v>127</v>
      </c>
      <c r="C555" s="7" t="s">
        <v>589</v>
      </c>
      <c r="D555" s="7" t="s">
        <v>33</v>
      </c>
      <c r="E555" s="7" t="s">
        <v>109</v>
      </c>
      <c r="F555" s="7" t="s">
        <v>718</v>
      </c>
      <c r="G555" s="7" t="s">
        <v>108</v>
      </c>
      <c r="H555" s="7"/>
      <c r="I555" s="7" t="s">
        <v>111</v>
      </c>
      <c r="J555" s="7" t="s">
        <v>1218</v>
      </c>
    </row>
    <row r="556" spans="1:10" ht="15" x14ac:dyDescent="0.3">
      <c r="A556" s="10"/>
      <c r="B556" s="11"/>
      <c r="C556" s="11"/>
      <c r="D556" s="11" t="s">
        <v>2571</v>
      </c>
      <c r="E556" s="11" t="s">
        <v>2534</v>
      </c>
      <c r="F556" s="11"/>
      <c r="G556" s="11" t="s">
        <v>2535</v>
      </c>
      <c r="H556" s="11">
        <v>0</v>
      </c>
      <c r="I556" s="11"/>
      <c r="J556" s="11"/>
    </row>
    <row r="557" spans="1:10" x14ac:dyDescent="0.3">
      <c r="A557" s="6" t="s">
        <v>1653</v>
      </c>
      <c r="B557" s="7" t="s">
        <v>127</v>
      </c>
      <c r="C557" s="7" t="s">
        <v>589</v>
      </c>
      <c r="D557" s="7" t="s">
        <v>34</v>
      </c>
      <c r="E557" s="7" t="s">
        <v>109</v>
      </c>
      <c r="F557" s="7" t="s">
        <v>718</v>
      </c>
      <c r="G557" s="7" t="s">
        <v>108</v>
      </c>
      <c r="H557" s="7"/>
      <c r="I557" s="7" t="s">
        <v>111</v>
      </c>
      <c r="J557" s="7" t="s">
        <v>1218</v>
      </c>
    </row>
    <row r="558" spans="1:10" ht="15" x14ac:dyDescent="0.3">
      <c r="A558" s="10"/>
      <c r="B558" s="11"/>
      <c r="C558" s="11"/>
      <c r="D558" s="11" t="s">
        <v>2572</v>
      </c>
      <c r="E558" s="11" t="s">
        <v>2534</v>
      </c>
      <c r="F558" s="11"/>
      <c r="G558" s="11" t="s">
        <v>2535</v>
      </c>
      <c r="H558" s="11">
        <v>0</v>
      </c>
      <c r="I558" s="11"/>
      <c r="J558" s="11"/>
    </row>
    <row r="559" spans="1:10" ht="15" x14ac:dyDescent="0.3">
      <c r="A559" s="10"/>
      <c r="B559" s="11"/>
      <c r="C559" s="11"/>
      <c r="D559" s="11" t="s">
        <v>35</v>
      </c>
      <c r="E559" s="11" t="s">
        <v>2573</v>
      </c>
      <c r="F559" s="11"/>
      <c r="G559" s="11" t="s">
        <v>2574</v>
      </c>
      <c r="H559" s="11">
        <v>7192</v>
      </c>
      <c r="I559" s="11"/>
      <c r="J559" s="11"/>
    </row>
  </sheetData>
  <hyperlinks>
    <hyperlink ref="A1" location="'Dashboard-R'!A1" display="⬅️ Dashboard Principal" xr:uid="{00000000-0004-0000-09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Indicadores</vt:lpstr>
      <vt:lpstr>Indicadores PRIME</vt:lpstr>
      <vt:lpstr>Comparación_Métodos</vt:lpstr>
      <vt:lpstr>Duplicados_Detectados</vt:lpstr>
      <vt:lpstr>Capturados</vt:lpstr>
      <vt:lpstr>FALTAN</vt:lpstr>
      <vt:lpstr>⚠️ Vacíos_Estado</vt:lpstr>
      <vt:lpstr>⚠️ Vacíos_Padrón</vt:lpstr>
      <vt:lpstr>Detalle_Duplicados</vt:lpstr>
      <vt:lpstr>Registros_Eliminados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Lino Higuera</cp:lastModifiedBy>
  <dcterms:created xsi:type="dcterms:W3CDTF">2026-03-06T01:20:29Z</dcterms:created>
  <dcterms:modified xsi:type="dcterms:W3CDTF">2026-03-26T17:48:18Z</dcterms:modified>
</cp:coreProperties>
</file>