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pivotTables/pivotTable6.xml" ContentType="application/vnd.openxmlformats-officedocument.spreadsheetml.pivotTable+xml"/>
  <Override PartName="/xl/drawings/drawing4.xml" ContentType="application/vnd.openxmlformats-officedocument.drawing+xml"/>
  <Override PartName="/xl/tables/table6.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josrl\OneDrive\Desktop\"/>
    </mc:Choice>
  </mc:AlternateContent>
  <xr:revisionPtr revIDLastSave="0" documentId="13_ncr:1_{592D8707-1EF3-4665-80FD-F7A4921631C1}" xr6:coauthVersionLast="47" xr6:coauthVersionMax="47" xr10:uidLastSave="{00000000-0000-0000-0000-000000000000}"/>
  <bookViews>
    <workbookView xWindow="-108" yWindow="-108" windowWidth="23256" windowHeight="14616" firstSheet="5" activeTab="1" xr2:uid="{00000000-000D-0000-FFFF-FFFF00000000}"/>
  </bookViews>
  <sheets>
    <sheet name="Indicadores" sheetId="1" r:id="rId1"/>
    <sheet name="Indicadores PRIME" sheetId="2" r:id="rId2"/>
    <sheet name="Comparación_Métodos" sheetId="3" r:id="rId3"/>
    <sheet name="Duplicados_Detectados" sheetId="4" r:id="rId4"/>
    <sheet name="Capturados" sheetId="5" r:id="rId5"/>
    <sheet name="FALTAN" sheetId="6" r:id="rId6"/>
    <sheet name="⚠️ Vacíos_Estado" sheetId="7" r:id="rId7"/>
    <sheet name="⚠️ Vacíos_Padrón" sheetId="8" r:id="rId8"/>
    <sheet name="Detalle_Duplicados" sheetId="9" r:id="rId9"/>
    <sheet name="Registros_Eliminados" sheetId="10" r:id="rId10"/>
    <sheet name="MENU DE CONSULTA DR" sheetId="17" state="hidden" r:id="rId11"/>
    <sheet name="TABLA PIVOT" sheetId="16" state="hidden" r:id="rId12"/>
    <sheet name="DATA PARA BARRA " sheetId="15" state="hidden" r:id="rId13"/>
    <sheet name="GRAFICOS" sheetId="13" state="hidden" r:id="rId14"/>
    <sheet name="TARJETAS" sheetId="12" state="hidden" r:id="rId15"/>
  </sheets>
  <externalReferences>
    <externalReference r:id="rId16"/>
  </externalReferences>
  <definedNames>
    <definedName name="DatosExternos_1" localSheetId="13" hidden="1">GRAFICOS!$A$1:$G$23</definedName>
    <definedName name="DatosExternos_1" localSheetId="14" hidden="1">TARJETAS!$A$1:$G$23</definedName>
    <definedName name="SegmentaciónDeDatos___Captura">#N/A</definedName>
    <definedName name="SegmentaciónDeDatos___Captura2">#N/A</definedName>
    <definedName name="SegmentaciónDeDatos_Unidad">#N/A</definedName>
    <definedName name="SegmentaciónDeDatos_Unidad41">#N/A</definedName>
  </definedNames>
  <calcPr calcId="191029"/>
  <pivotCaches>
    <pivotCache cacheId="74" r:id="rId17"/>
    <pivotCache cacheId="75" r:id="rId18"/>
    <pivotCache cacheId="76" r:id="rId19"/>
  </pivotCaches>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15" l="1"/>
  <c r="D23" i="15"/>
  <c r="F23" i="15" s="1"/>
  <c r="C23" i="15"/>
  <c r="B23" i="15"/>
  <c r="J27" i="12"/>
  <c r="I27" i="12"/>
  <c r="H27" i="12"/>
  <c r="G28" i="12"/>
  <c r="K26" i="12"/>
  <c r="J26" i="12"/>
  <c r="I26"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7C84D7-F964-4583-8008-7AC5C7F388AA}" keepAlive="1" name="Consulta - SEGMENTACION UNIDAD" description="Conexión a la consulta 'SEGMENTACION UNIDAD' en el libro." type="5" refreshedVersion="8" background="1" saveData="1">
    <dbPr connection="Provider=Microsoft.Mashup.OleDb.1;Data Source=$Workbook$;Location=&quot;SEGMENTACION UNIDAD&quot;;Extended Properties=&quot;&quot;" command="SELECT * FROM [SEGMENTACION UNIDAD]"/>
  </connection>
  <connection id="2" xr16:uid="{711F2A5E-C6A1-4EEA-9F17-B297715A0F34}" keepAlive="1" name="Consulta - Tabla3" description="Conexión a la consulta 'Tabla3' en el libro." type="5" refreshedVersion="8" background="1" saveData="1">
    <dbPr connection="Provider=Microsoft.Mashup.OleDb.1;Data Source=$Workbook$;Location=Tabla3;Extended Properties=&quot;&quot;" command="SELECT * FROM [Tabla3]"/>
  </connection>
  <connection id="3" xr16:uid="{BC5B7E7A-8FE7-40CA-8245-964A8FD5D612}" keepAlive="1" name="Consulta - Tabla4" description="Conexión a la consulta 'Tabla4' en el libro." type="5" refreshedVersion="8" background="1" saveData="1">
    <dbPr connection="Provider=Microsoft.Mashup.OleDb.1;Data Source=$Workbook$;Location=Tabla4;Extended Properties=&quot;&quot;" command="SELECT * FROM [Tabla4]"/>
  </connection>
</connections>
</file>

<file path=xl/sharedStrings.xml><?xml version="1.0" encoding="utf-8"?>
<sst xmlns="http://schemas.openxmlformats.org/spreadsheetml/2006/main" count="16754" uniqueCount="2767">
  <si>
    <t>⬅️ Dashboard Principal</t>
  </si>
  <si>
    <t>SEPTIEMBRE 2025</t>
  </si>
  <si>
    <t>Unidad</t>
  </si>
  <si>
    <t>Total Contratos Padrón</t>
  </si>
  <si>
    <t>Total Contratos Estado</t>
  </si>
  <si>
    <t>Capturados</t>
  </si>
  <si>
    <t>Faltan</t>
  </si>
  <si>
    <t>% Captura</t>
  </si>
  <si>
    <t>ANGANGUEO</t>
  </si>
  <si>
    <t>0.0%</t>
  </si>
  <si>
    <t>CANANEA</t>
  </si>
  <si>
    <t>98.3%</t>
  </si>
  <si>
    <t>CHARCAS</t>
  </si>
  <si>
    <t>80.6%</t>
  </si>
  <si>
    <t>EL ARCO, B.C.</t>
  </si>
  <si>
    <t>ESTACION SANTIAGO</t>
  </si>
  <si>
    <t>FUNDICION</t>
  </si>
  <si>
    <t>83.5%</t>
  </si>
  <si>
    <t>LA CARIDAD</t>
  </si>
  <si>
    <t>61.8%</t>
  </si>
  <si>
    <t>NUEVA ROSITA</t>
  </si>
  <si>
    <t>NUEVOS PROYECTOS CANANEA</t>
  </si>
  <si>
    <t>OFICINAS MEXICO</t>
  </si>
  <si>
    <t>PARQUE BICENTENARIO</t>
  </si>
  <si>
    <t>PARQUE ECOLOGICO ANTIGUA PLANTA MONTERREY</t>
  </si>
  <si>
    <t>PLANTA DE CAL</t>
  </si>
  <si>
    <t>PLANTA DE COBRE</t>
  </si>
  <si>
    <t>PLANTA DE ZINC</t>
  </si>
  <si>
    <t>79.2%</t>
  </si>
  <si>
    <t>PLANTA TRATADORA DE AGUAS RESIDUALES ZINC</t>
  </si>
  <si>
    <t>SAN MARTIN</t>
  </si>
  <si>
    <t>83.0%</t>
  </si>
  <si>
    <t>SANTA BARBARA</t>
  </si>
  <si>
    <t>57.4%</t>
  </si>
  <si>
    <t>SANTA EULALIA</t>
  </si>
  <si>
    <t>SIN UNIDAD</t>
  </si>
  <si>
    <t>SN MARTIN (CHALCHIHUITES)</t>
  </si>
  <si>
    <t>TALLER CENTRAL</t>
  </si>
  <si>
    <t>TAXCO</t>
  </si>
  <si>
    <t>TOTAL GENERAL</t>
  </si>
  <si>
    <t>67.9%</t>
  </si>
  <si>
    <t>75.4%</t>
  </si>
  <si>
    <t>Registros BRUTOS</t>
  </si>
  <si>
    <t>Contratos ÚNICOS</t>
  </si>
  <si>
    <t>Duplicados eliminados</t>
  </si>
  <si>
    <t>Diferencia %</t>
  </si>
  <si>
    <t>4.9%</t>
  </si>
  <si>
    <t>1.4%</t>
  </si>
  <si>
    <t>30.2%</t>
  </si>
  <si>
    <t>4.6%</t>
  </si>
  <si>
    <t>Número de contrato</t>
  </si>
  <si>
    <t>Contratista(s)</t>
  </si>
  <si>
    <t>Veces que aparece</t>
  </si>
  <si>
    <t>Fechas encontradas</t>
  </si>
  <si>
    <t>Plantillas</t>
  </si>
  <si>
    <t>¿Mismo contratista?</t>
  </si>
  <si>
    <t>C84072514</t>
  </si>
  <si>
    <t>GRUPO CONSTRUCCIONES PLANIFICADAS</t>
  </si>
  <si>
    <t>26/02/2024</t>
  </si>
  <si>
    <t>156.0 | 5.0 | 2.0 | 4.0 | 7.0 | 3.0</t>
  </si>
  <si>
    <t>SÍ</t>
  </si>
  <si>
    <t>68922521</t>
  </si>
  <si>
    <t>MEXICO COMPAÑÍA CONSTRUCTORA S.A DE C.V</t>
  </si>
  <si>
    <t>02/08/2021</t>
  </si>
  <si>
    <t>291.0 | 8.0 | 10.0 | 2.0 | 4.0 | 13.0</t>
  </si>
  <si>
    <t>C84082514</t>
  </si>
  <si>
    <t>GRUPO CONTRUCTOR LERAVI S.A. DE C.V.</t>
  </si>
  <si>
    <t>28/04/2024</t>
  </si>
  <si>
    <t>4.0 | 2.0 | 1.0</t>
  </si>
  <si>
    <t>C84962513</t>
  </si>
  <si>
    <t>LA AZTECA CONSTRUCCIONES Y URBANIZACIONES SA DE CV</t>
  </si>
  <si>
    <t>07/05/2025 | 19/05/2023</t>
  </si>
  <si>
    <t>91.0 | 3.0 | 2.0</t>
  </si>
  <si>
    <t>MX08E34230325</t>
  </si>
  <si>
    <t>Komatsu Maquinarias México, S.A. de C.V.</t>
  </si>
  <si>
    <t>01/01/2024</t>
  </si>
  <si>
    <t>98.0 | 7.0 | 10.0</t>
  </si>
  <si>
    <t>MX08E34230321</t>
  </si>
  <si>
    <t>Empresas Matco, S.A. de C.V.</t>
  </si>
  <si>
    <t>4.0 | 1.0 | 100.0</t>
  </si>
  <si>
    <t>MX09L99240544</t>
  </si>
  <si>
    <t>Francis de San Luis, S.A. de C.V. | FRANCIS DE SAN LUIS,  S.A. DE C.V.</t>
  </si>
  <si>
    <t>ESTACION SANTIAGO | PLANTA DE COBRE | PLANTA DE ZINC</t>
  </si>
  <si>
    <t>05/11/2024 | 08/01/2025</t>
  </si>
  <si>
    <t>NO (Subcontrato)</t>
  </si>
  <si>
    <t>MX08L34240072</t>
  </si>
  <si>
    <t>Multisistemas de Seguridad del Noroeste, S.A de C.V. | Multisistemas de Seguridad del Valle de México, S. A. de C. V.</t>
  </si>
  <si>
    <t>01/09/2024</t>
  </si>
  <si>
    <t>344.0 | 8.0 | 128.0</t>
  </si>
  <si>
    <t>C84072534</t>
  </si>
  <si>
    <t>PROYECTOS  Y CONSTRUCCIONES VIRGO S.A. DE C.V.</t>
  </si>
  <si>
    <t>24/02/2024</t>
  </si>
  <si>
    <t>59.0 | 3.0</t>
  </si>
  <si>
    <t>C84962543</t>
  </si>
  <si>
    <t>19/05/2023</t>
  </si>
  <si>
    <t>139.0 | 11.0</t>
  </si>
  <si>
    <t>MX06R151240145</t>
  </si>
  <si>
    <t>Proyectos y Construcciones Virgo, S.A. de C.V.</t>
  </si>
  <si>
    <t>25/07/2024</t>
  </si>
  <si>
    <t>12.0 | 2.0</t>
  </si>
  <si>
    <t>MX06L52240163</t>
  </si>
  <si>
    <t>Multisistemas de Seguridad de Noroeste, S.A. de C.V. (plazas) | Multisistemas de Seguridad del Valle de México.  S.A de C.V (plazas)</t>
  </si>
  <si>
    <t>85.0 | 23.0</t>
  </si>
  <si>
    <t>MX06D52200002</t>
  </si>
  <si>
    <t>Multisistemas De Seguridad Del Noroeste, S.A. De C.V. | Multisistemas De Seguridad Del Valle De México, S.A. De C.V.</t>
  </si>
  <si>
    <t>01/01/2020</t>
  </si>
  <si>
    <t>61.0 | 22.0</t>
  </si>
  <si>
    <t>CONTRATODELCORPORATIVOCD.DEMÉXICO</t>
  </si>
  <si>
    <t>SBC Importaciones y Servicios del Noroeste, S. de R.L. de C.V. | Super Gas de Ciudad Juarez, S.A. DE C.V.</t>
  </si>
  <si>
    <t>11/05/2018 | 04/05/2022</t>
  </si>
  <si>
    <t>5.0 | 8.0</t>
  </si>
  <si>
    <t>MX06R152240655</t>
  </si>
  <si>
    <t>Grupo Maytorena Sosa, S.A. de C.V. | GRUPO MAYTORENA SOSA</t>
  </si>
  <si>
    <t>LA CARIDAD | PLANTA DE CAL</t>
  </si>
  <si>
    <t>13/01/2025 | 01/09/2025</t>
  </si>
  <si>
    <t>24.0 | 7.0</t>
  </si>
  <si>
    <t>MX08R184230154</t>
  </si>
  <si>
    <t>Compañía Industrial HANKA, S.A. de C.V.</t>
  </si>
  <si>
    <t>01/01/2024 | 01/04/2020</t>
  </si>
  <si>
    <t>47.0 | 2.0</t>
  </si>
  <si>
    <t>MX09D99251114</t>
  </si>
  <si>
    <t>Grupo Maya Proteccion Personal, Privada y Empresarial, S.A. de C.V. | MAYA PROTECCION PERSONAL</t>
  </si>
  <si>
    <t>CHARCAS | SAN MARTIN</t>
  </si>
  <si>
    <t>01/09/2025</t>
  </si>
  <si>
    <t>32.0 | 36.0</t>
  </si>
  <si>
    <t>T84OP7604</t>
  </si>
  <si>
    <t>MONTREAL INFRASTRUCTURA | RUBIO Y RUBIO CONTRUCCIONES</t>
  </si>
  <si>
    <t>01/07/2024 | 01/02/2025</t>
  </si>
  <si>
    <t>3.0 | 36.0</t>
  </si>
  <si>
    <t>Consecutivo</t>
  </si>
  <si>
    <t>Mes</t>
  </si>
  <si>
    <t>Empresa</t>
  </si>
  <si>
    <t>Unidad Estandarizada</t>
  </si>
  <si>
    <t>Contratista</t>
  </si>
  <si>
    <t>RFC</t>
  </si>
  <si>
    <t>Plantilla total</t>
  </si>
  <si>
    <t>Fecha inicio</t>
  </si>
  <si>
    <t>Fecha final</t>
  </si>
  <si>
    <t>257</t>
  </si>
  <si>
    <t>Septiembre</t>
  </si>
  <si>
    <t>OMIMSA</t>
  </si>
  <si>
    <t>AMR Ingenieria y Mantenimiento, S. de R.L. de C.V.</t>
  </si>
  <si>
    <t>MX08L34250388</t>
  </si>
  <si>
    <t>09/06/2025</t>
  </si>
  <si>
    <t>30/09/2025</t>
  </si>
  <si>
    <t>252</t>
  </si>
  <si>
    <t>Aceros Industriales de Coahuila, S.A. de C.V.</t>
  </si>
  <si>
    <t>MX08D84251140</t>
  </si>
  <si>
    <t>22/09/2025</t>
  </si>
  <si>
    <t>30/12/2025</t>
  </si>
  <si>
    <t>253</t>
  </si>
  <si>
    <t>Alfonso Leonardo Peraza Martinez</t>
  </si>
  <si>
    <t>MX08L34250300</t>
  </si>
  <si>
    <t>21/04/2025</t>
  </si>
  <si>
    <t>20/04/2026</t>
  </si>
  <si>
    <t>255</t>
  </si>
  <si>
    <t>Alonso Sanchez Rubalcaba</t>
  </si>
  <si>
    <t>SARA9208297T0</t>
  </si>
  <si>
    <t>MX08R134250291</t>
  </si>
  <si>
    <t>06/03/2025</t>
  </si>
  <si>
    <t>06/03/2026</t>
  </si>
  <si>
    <t>254</t>
  </si>
  <si>
    <t>MX08l34240831</t>
  </si>
  <si>
    <t>13/01/2025</t>
  </si>
  <si>
    <t>16/01/2026</t>
  </si>
  <si>
    <t>256</t>
  </si>
  <si>
    <t>Alvaro Oquita Granillo</t>
  </si>
  <si>
    <t>MX08E34240203</t>
  </si>
  <si>
    <t>15/07/2024</t>
  </si>
  <si>
    <t>31/07/2026</t>
  </si>
  <si>
    <t>258</t>
  </si>
  <si>
    <t>Analisis Ambiental, S.A. de C.V.</t>
  </si>
  <si>
    <t>MX08R134250541</t>
  </si>
  <si>
    <t>15/06/2025</t>
  </si>
  <si>
    <t>31/12/2025</t>
  </si>
  <si>
    <t>259</t>
  </si>
  <si>
    <t>Anddy Iram Carrasco Bustamante</t>
  </si>
  <si>
    <t>CABA8006218F9</t>
  </si>
  <si>
    <t>MX08L34250297</t>
  </si>
  <si>
    <t>20/03/2025</t>
  </si>
  <si>
    <t>20/03/2026</t>
  </si>
  <si>
    <t>260</t>
  </si>
  <si>
    <t>Arizona Equipos y Servicios de Mexico, S.A. de C.V.</t>
  </si>
  <si>
    <t>MX08L84251296</t>
  </si>
  <si>
    <t>15/09/2025</t>
  </si>
  <si>
    <t>18/12/2025</t>
  </si>
  <si>
    <t>261</t>
  </si>
  <si>
    <t>Artech - Arte Tecnológico, S. de R.L. de C.V.</t>
  </si>
  <si>
    <t>ATE090803QV5</t>
  </si>
  <si>
    <t>MX08L34250309</t>
  </si>
  <si>
    <t>01/03/2025</t>
  </si>
  <si>
    <t>31/05/2026</t>
  </si>
  <si>
    <t>262</t>
  </si>
  <si>
    <t>Biorganicos Industrial, S.A. de C.V.</t>
  </si>
  <si>
    <t>BIN110729718</t>
  </si>
  <si>
    <t>MX08L34250419</t>
  </si>
  <si>
    <t>15/05/2025</t>
  </si>
  <si>
    <t>07/11/2025</t>
  </si>
  <si>
    <t>263</t>
  </si>
  <si>
    <t>Brassea, S.A. de C.V.</t>
  </si>
  <si>
    <t>BRA940616DB5</t>
  </si>
  <si>
    <t>MX08L34251166</t>
  </si>
  <si>
    <t>21/07/2025</t>
  </si>
  <si>
    <t>02/11/2025</t>
  </si>
  <si>
    <t>265</t>
  </si>
  <si>
    <t>Bylsa Drilling, S.A. de C.V.</t>
  </si>
  <si>
    <t>MX08L34250959</t>
  </si>
  <si>
    <t>01/08/2025</t>
  </si>
  <si>
    <t>15/02/2026</t>
  </si>
  <si>
    <t>264</t>
  </si>
  <si>
    <t>MX08l84251080</t>
  </si>
  <si>
    <t>01/10/2025</t>
  </si>
  <si>
    <t>266</t>
  </si>
  <si>
    <t>Caaff Consultoria Forestal, S. de R.L. de C.V.</t>
  </si>
  <si>
    <t>MX08D34250892</t>
  </si>
  <si>
    <t>09/08/2026</t>
  </si>
  <si>
    <t>267</t>
  </si>
  <si>
    <t>Comercial Sanitaria División Servicios, S.A. de C.V.</t>
  </si>
  <si>
    <t>CSD1107147Z7</t>
  </si>
  <si>
    <t>MX08R134240590</t>
  </si>
  <si>
    <t>05/11/2024</t>
  </si>
  <si>
    <t>04/11/2025</t>
  </si>
  <si>
    <t>268</t>
  </si>
  <si>
    <t>MX08R134250305</t>
  </si>
  <si>
    <t>23/03/2025</t>
  </si>
  <si>
    <t>22/03/2026</t>
  </si>
  <si>
    <t>270</t>
  </si>
  <si>
    <t>Comercio y Servicio Electromecanico, S.A. de C.V.</t>
  </si>
  <si>
    <t>CSE941109SZ3</t>
  </si>
  <si>
    <t>MX08L34250135</t>
  </si>
  <si>
    <t>28/02/2027</t>
  </si>
  <si>
    <t>271</t>
  </si>
  <si>
    <t>MX08L34250243</t>
  </si>
  <si>
    <t>07/04/2025</t>
  </si>
  <si>
    <t>31/03/2026</t>
  </si>
  <si>
    <t>272</t>
  </si>
  <si>
    <t>MX08L84250792</t>
  </si>
  <si>
    <t>30/06/2025</t>
  </si>
  <si>
    <t>269</t>
  </si>
  <si>
    <t>MX08R334250680</t>
  </si>
  <si>
    <t>21/04/2026</t>
  </si>
  <si>
    <t>273</t>
  </si>
  <si>
    <t>CIH841206934</t>
  </si>
  <si>
    <t>31/12/2026</t>
  </si>
  <si>
    <t>275</t>
  </si>
  <si>
    <t>MX08R284220229</t>
  </si>
  <si>
    <t>01/12/2022</t>
  </si>
  <si>
    <t>01/12/2025</t>
  </si>
  <si>
    <t>276</t>
  </si>
  <si>
    <t>Construcciones Industriales Alexel, S.A. de C.V.</t>
  </si>
  <si>
    <t>CIA1305026Z5</t>
  </si>
  <si>
    <t>MX08L34240069</t>
  </si>
  <si>
    <t>31/08/2024</t>
  </si>
  <si>
    <t>18/09/2025</t>
  </si>
  <si>
    <t>277</t>
  </si>
  <si>
    <t>Construcciones Industriales Beltran, S.A. de C.V.</t>
  </si>
  <si>
    <t>MX08L84250690</t>
  </si>
  <si>
    <t>13/08/2025</t>
  </si>
  <si>
    <t>23/11/2025</t>
  </si>
  <si>
    <t>279</t>
  </si>
  <si>
    <t>Cysnec Construcciones y Servicios, S.A. de C.V.</t>
  </si>
  <si>
    <t>MX08L34251177</t>
  </si>
  <si>
    <t>30/11/2025</t>
  </si>
  <si>
    <t>278</t>
  </si>
  <si>
    <t>MX08R234240221</t>
  </si>
  <si>
    <t>25/09/2024</t>
  </si>
  <si>
    <t>24/09/2025</t>
  </si>
  <si>
    <t>280</t>
  </si>
  <si>
    <t>Data Mantenimiento Industrial, S.A. de C.V.</t>
  </si>
  <si>
    <t>DMI150302NJ2</t>
  </si>
  <si>
    <t>MX08R134240160</t>
  </si>
  <si>
    <t>11/06/2024</t>
  </si>
  <si>
    <t>11/09/2025</t>
  </si>
  <si>
    <t>281</t>
  </si>
  <si>
    <t>Deeproc Inc.</t>
  </si>
  <si>
    <t>MX08E34250463</t>
  </si>
  <si>
    <t>06/05/2025</t>
  </si>
  <si>
    <t>06/09/2025</t>
  </si>
  <si>
    <t>282</t>
  </si>
  <si>
    <t>Dufil, S.A. de C.V.</t>
  </si>
  <si>
    <t>DUF970715GS3</t>
  </si>
  <si>
    <t>MX08L84230143</t>
  </si>
  <si>
    <t>283</t>
  </si>
  <si>
    <t>Ecologia, Vida y Salud, S.A. de C.V.</t>
  </si>
  <si>
    <t>EVS021115BP0</t>
  </si>
  <si>
    <t>MX08L34230032</t>
  </si>
  <si>
    <t>28/02/2023</t>
  </si>
  <si>
    <t>285</t>
  </si>
  <si>
    <t>ROMY010130J86</t>
  </si>
  <si>
    <t>284</t>
  </si>
  <si>
    <t>EMA810918F2A</t>
  </si>
  <si>
    <t>MX08E34230322</t>
  </si>
  <si>
    <t>288</t>
  </si>
  <si>
    <t>Epiroc México, S.A. de C.V.</t>
  </si>
  <si>
    <t>EME170713M7</t>
  </si>
  <si>
    <t>MX08E34230320</t>
  </si>
  <si>
    <t>25/11/2023</t>
  </si>
  <si>
    <t>12/01/2026</t>
  </si>
  <si>
    <t>290</t>
  </si>
  <si>
    <t>Equipos de Seguridad del Centro, S.A. de C.V.</t>
  </si>
  <si>
    <t>ESC000412SK2</t>
  </si>
  <si>
    <t>MX08D34240064</t>
  </si>
  <si>
    <t>25/03/2024</t>
  </si>
  <si>
    <t>24/03/2026</t>
  </si>
  <si>
    <t>289</t>
  </si>
  <si>
    <t>MX08D34240651</t>
  </si>
  <si>
    <t>01/12/2024</t>
  </si>
  <si>
    <t>291</t>
  </si>
  <si>
    <t>Evaluacion y Analisis Ambiental, S.A. de C.V.</t>
  </si>
  <si>
    <t>MX08L34250862</t>
  </si>
  <si>
    <t>01/08/2026</t>
  </si>
  <si>
    <t>292</t>
  </si>
  <si>
    <t>Ezequiel Ramos Toledo</t>
  </si>
  <si>
    <t>RATE670925UJ8</t>
  </si>
  <si>
    <t>MX02L34250009</t>
  </si>
  <si>
    <t>01/01/2025</t>
  </si>
  <si>
    <t>293</t>
  </si>
  <si>
    <t>Femsi de México, S. de R.L. de C.V.</t>
  </si>
  <si>
    <t>FME1604047EA</t>
  </si>
  <si>
    <t>MX08R734240730</t>
  </si>
  <si>
    <t>01/11/2024</t>
  </si>
  <si>
    <t>294</t>
  </si>
  <si>
    <t>Frida Corina Garcia Tacho</t>
  </si>
  <si>
    <t>GATF-920616-QM5</t>
  </si>
  <si>
    <t>MX08L34250945</t>
  </si>
  <si>
    <t>28/07/2025</t>
  </si>
  <si>
    <t>06/10/2025</t>
  </si>
  <si>
    <t>295</t>
  </si>
  <si>
    <t>Frio Total, S.A. de C.V.</t>
  </si>
  <si>
    <t>FTO021128DK6</t>
  </si>
  <si>
    <t>MX08L34230326</t>
  </si>
  <si>
    <t>10/02/2024</t>
  </si>
  <si>
    <t>10/02/2026</t>
  </si>
  <si>
    <t>297</t>
  </si>
  <si>
    <t>GM Consultoria y Proyectos de ingenieria Ambienta, S.A. de C.V.</t>
  </si>
  <si>
    <t>MX08L34230226</t>
  </si>
  <si>
    <t>09/10/2023</t>
  </si>
  <si>
    <t>08/10/2025</t>
  </si>
  <si>
    <t>298</t>
  </si>
  <si>
    <t>MX08L34250557</t>
  </si>
  <si>
    <t>12/05/2025</t>
  </si>
  <si>
    <t>12/05/2027</t>
  </si>
  <si>
    <t>296</t>
  </si>
  <si>
    <t>Gluyas Construcciones, S.A. de C.V.</t>
  </si>
  <si>
    <t>MX08L34250621</t>
  </si>
  <si>
    <t>02/06/2025</t>
  </si>
  <si>
    <t>299</t>
  </si>
  <si>
    <t>Ground Probe North America LLC</t>
  </si>
  <si>
    <t>MX08E34250317</t>
  </si>
  <si>
    <t>01/04/2025</t>
  </si>
  <si>
    <t>01/04/2028</t>
  </si>
  <si>
    <t>300</t>
  </si>
  <si>
    <t>Grupo Camacho Y Sucesores, S. de R.L. de C.V.</t>
  </si>
  <si>
    <t>GCS050629GT6</t>
  </si>
  <si>
    <t>MX08L34250105</t>
  </si>
  <si>
    <t>01/11/2025</t>
  </si>
  <si>
    <t>302</t>
  </si>
  <si>
    <t>Grupo Constructor Leravi, S.A. de C.V.</t>
  </si>
  <si>
    <t>GCL1212214H3</t>
  </si>
  <si>
    <t>MX08R264240552</t>
  </si>
  <si>
    <t>15/10/2025</t>
  </si>
  <si>
    <t>301</t>
  </si>
  <si>
    <t>MX08R334250123</t>
  </si>
  <si>
    <t>16/04/2025</t>
  </si>
  <si>
    <t>303</t>
  </si>
  <si>
    <t>Grupo México Servicios de Ingenieria, S.A. de C.V.</t>
  </si>
  <si>
    <t>MIN130620JX9</t>
  </si>
  <si>
    <t>MX08R234240026</t>
  </si>
  <si>
    <t>16/02/2024</t>
  </si>
  <si>
    <t>305</t>
  </si>
  <si>
    <t>HC-Group LLC</t>
  </si>
  <si>
    <t>MX08R134240923</t>
  </si>
  <si>
    <t>304</t>
  </si>
  <si>
    <t>Haver &amp; Boecker Mexicana, S. de R.L. de C.V.</t>
  </si>
  <si>
    <t>MX08A134240040</t>
  </si>
  <si>
    <t>25/03/2025</t>
  </si>
  <si>
    <t>307</t>
  </si>
  <si>
    <t>Hexagon Mining México, S.A. de C.V.</t>
  </si>
  <si>
    <t>LGM1402051T0</t>
  </si>
  <si>
    <t>MX08E34210105</t>
  </si>
  <si>
    <t>01/05/2021</t>
  </si>
  <si>
    <t>01/05/2026</t>
  </si>
  <si>
    <t>306</t>
  </si>
  <si>
    <t>MX08L34220069</t>
  </si>
  <si>
    <t>01/01/2023</t>
  </si>
  <si>
    <t>31/12/2027</t>
  </si>
  <si>
    <t>308</t>
  </si>
  <si>
    <t>Hydrocontrol Industrial, S.A. de C.V.</t>
  </si>
  <si>
    <t>HIN971121PC7</t>
  </si>
  <si>
    <t>MX08R134250260</t>
  </si>
  <si>
    <t>01/02/2025</t>
  </si>
  <si>
    <t>31/01/2026</t>
  </si>
  <si>
    <t>309</t>
  </si>
  <si>
    <t>Innovación Y Administracion De Ti, S. de R.L. de C.V.</t>
  </si>
  <si>
    <t>IAT151110PY9</t>
  </si>
  <si>
    <t>MX08R234251097</t>
  </si>
  <si>
    <t>01/07/2025</t>
  </si>
  <si>
    <t>310</t>
  </si>
  <si>
    <t>Intermodal Mexico, S.A. de C.V.</t>
  </si>
  <si>
    <t>CONTRATO CORPORATIVO</t>
  </si>
  <si>
    <t>311</t>
  </si>
  <si>
    <t>Ismael Sanchez Ceron</t>
  </si>
  <si>
    <t>MX08L84250861</t>
  </si>
  <si>
    <t>312</t>
  </si>
  <si>
    <t>JC Industrial &amp; Services, S.A. de C.V</t>
  </si>
  <si>
    <t>MX08R134250442</t>
  </si>
  <si>
    <t>01/04/2026</t>
  </si>
  <si>
    <t>319</t>
  </si>
  <si>
    <t>Jesús Bernardo Hernández Oros</t>
  </si>
  <si>
    <t>HEOJ700416AD8</t>
  </si>
  <si>
    <t>MX08D34250682</t>
  </si>
  <si>
    <t>01/06/2025</t>
  </si>
  <si>
    <t>14/09/2025</t>
  </si>
  <si>
    <t>315</t>
  </si>
  <si>
    <t>MX08L34251141</t>
  </si>
  <si>
    <t>18/08/2025</t>
  </si>
  <si>
    <t>318</t>
  </si>
  <si>
    <t>MX08R134250112</t>
  </si>
  <si>
    <t>15/12/2024</t>
  </si>
  <si>
    <t>31/08/2027</t>
  </si>
  <si>
    <t>316</t>
  </si>
  <si>
    <t>MX08R134250252</t>
  </si>
  <si>
    <t>28/02/2026</t>
  </si>
  <si>
    <t>317</t>
  </si>
  <si>
    <t>MX08R234250302</t>
  </si>
  <si>
    <t>313</t>
  </si>
  <si>
    <t>MX08R334240461</t>
  </si>
  <si>
    <t>25/09/2025</t>
  </si>
  <si>
    <t>314</t>
  </si>
  <si>
    <t>MX08R334250285</t>
  </si>
  <si>
    <t>15/02/2025</t>
  </si>
  <si>
    <t>320</t>
  </si>
  <si>
    <t>Jorge Alberto Borchardt Lucero</t>
  </si>
  <si>
    <t>MX08L34250759</t>
  </si>
  <si>
    <t>14/07/2025</t>
  </si>
  <si>
    <t>321</t>
  </si>
  <si>
    <t>Jose Manuel Gonzalez Romero</t>
  </si>
  <si>
    <t>MX08D34250323</t>
  </si>
  <si>
    <t>13/03/2025</t>
  </si>
  <si>
    <t>12/03/2026</t>
  </si>
  <si>
    <t>322</t>
  </si>
  <si>
    <t>Joy Global México, S.A. de C.V.</t>
  </si>
  <si>
    <t>PMS950110L25</t>
  </si>
  <si>
    <t>MX08E34230324</t>
  </si>
  <si>
    <t>11/03/2024</t>
  </si>
  <si>
    <t>11/03/2026</t>
  </si>
  <si>
    <t>324</t>
  </si>
  <si>
    <t>RMA910702IW1</t>
  </si>
  <si>
    <t>01/01/2026</t>
  </si>
  <si>
    <t>323</t>
  </si>
  <si>
    <t>MX08R134250416</t>
  </si>
  <si>
    <t>18/03/2025</t>
  </si>
  <si>
    <t>17/03/2026</t>
  </si>
  <si>
    <t>327</t>
  </si>
  <si>
    <t>L &amp; H Servicios Mineros México, S.A. de C.V.</t>
  </si>
  <si>
    <t>LSM080208AM0</t>
  </si>
  <si>
    <t>MX08D34250436</t>
  </si>
  <si>
    <t>01/05/2025</t>
  </si>
  <si>
    <t>328</t>
  </si>
  <si>
    <t>Linear Tech, S.A. de C.V.</t>
  </si>
  <si>
    <t>LTE0103294S8</t>
  </si>
  <si>
    <t>MX08E34230227</t>
  </si>
  <si>
    <t>01/08/2023</t>
  </si>
  <si>
    <t>329</t>
  </si>
  <si>
    <t>Luis Carlos Morales Cordova</t>
  </si>
  <si>
    <t>MOCL900304KI5</t>
  </si>
  <si>
    <t>MX08R134250826</t>
  </si>
  <si>
    <t>331</t>
  </si>
  <si>
    <t>Maquinaria de Cananea, S.A. de C.V.</t>
  </si>
  <si>
    <t>MX08L84250691</t>
  </si>
  <si>
    <t>330</t>
  </si>
  <si>
    <t>MX08L84250709</t>
  </si>
  <si>
    <t>07/09/2025</t>
  </si>
  <si>
    <t>334</t>
  </si>
  <si>
    <t>Mecánica Nagarson, S.A. de C.V.</t>
  </si>
  <si>
    <t>MNA071122BX1</t>
  </si>
  <si>
    <t>MX08L34240982</t>
  </si>
  <si>
    <t>332</t>
  </si>
  <si>
    <t>MX08R234230327</t>
  </si>
  <si>
    <t>01/02/2024</t>
  </si>
  <si>
    <t>01/02/2026</t>
  </si>
  <si>
    <t>335</t>
  </si>
  <si>
    <t>Mettler Toledo, S.A. de C.V.</t>
  </si>
  <si>
    <t>MX08R134230278</t>
  </si>
  <si>
    <t>13/12/2023</t>
  </si>
  <si>
    <t>13/12/2025</t>
  </si>
  <si>
    <t>336</t>
  </si>
  <si>
    <t>Mine System Solutiones Mexico, S.C. de R.L.</t>
  </si>
  <si>
    <t>MX08L64240824</t>
  </si>
  <si>
    <t>337</t>
  </si>
  <si>
    <t>Mining Biotech, S.A. de C.V.</t>
  </si>
  <si>
    <t>MBI080310GU0</t>
  </si>
  <si>
    <t>MX08L34250420</t>
  </si>
  <si>
    <t>15/05/2026</t>
  </si>
  <si>
    <t>338</t>
  </si>
  <si>
    <t>Mountar, S.A.P.I. de C.V.</t>
  </si>
  <si>
    <t>BME140226PUA</t>
  </si>
  <si>
    <t>MX08L34250280</t>
  </si>
  <si>
    <t>19/05/2025</t>
  </si>
  <si>
    <t>18/05/2028</t>
  </si>
  <si>
    <t>339</t>
  </si>
  <si>
    <t>MX08R234240465</t>
  </si>
  <si>
    <t>340</t>
  </si>
  <si>
    <t>Multiservicios Limo, S. de R.L. de C.V.</t>
  </si>
  <si>
    <t>MX08R134250363</t>
  </si>
  <si>
    <t>341</t>
  </si>
  <si>
    <t>Multisistemas de Seguridad del Noroeste, S.A de C.V.</t>
  </si>
  <si>
    <t>MSN900226R10</t>
  </si>
  <si>
    <t>343</t>
  </si>
  <si>
    <t>Multisistemas de Seguridad del Valle de México, S. A. de C. V.</t>
  </si>
  <si>
    <t>MSV9110143D4</t>
  </si>
  <si>
    <t>344</t>
  </si>
  <si>
    <t>Neu Automation, S.A. de C.V.</t>
  </si>
  <si>
    <t>MX08L34240470</t>
  </si>
  <si>
    <t>15/12/2025</t>
  </si>
  <si>
    <t>345</t>
  </si>
  <si>
    <t>Nuñez Mineria y Construccion S. de R.L. de C.V.</t>
  </si>
  <si>
    <t>MX08R184250622</t>
  </si>
  <si>
    <t>16/01/2025</t>
  </si>
  <si>
    <t>15/01/2026</t>
  </si>
  <si>
    <t>346</t>
  </si>
  <si>
    <t>Oestec de Mexico, S.A. de C.V.</t>
  </si>
  <si>
    <t>MX08R234250778</t>
  </si>
  <si>
    <t>347</t>
  </si>
  <si>
    <t>Orlando Guadalupe Felix Ruiz</t>
  </si>
  <si>
    <t>MX08R234250417</t>
  </si>
  <si>
    <t>348</t>
  </si>
  <si>
    <t>Plastimarmol, S.A. de C.V.</t>
  </si>
  <si>
    <t>PLA930223QT4</t>
  </si>
  <si>
    <t>MX08D34250688</t>
  </si>
  <si>
    <t>349</t>
  </si>
  <si>
    <t>Pro-Infra Sistemas e Ingenieria, S.A. de C.V.</t>
  </si>
  <si>
    <t>MX08L84251130</t>
  </si>
  <si>
    <t>350</t>
  </si>
  <si>
    <t>Process Factor Mexico, S.A. de C.V.</t>
  </si>
  <si>
    <t>MX08R134250409</t>
  </si>
  <si>
    <t>25/04/2025</t>
  </si>
  <si>
    <t>26/04/2026</t>
  </si>
  <si>
    <t>351</t>
  </si>
  <si>
    <t>Química Apollo, S.A. de C.V.</t>
  </si>
  <si>
    <t>QAP8305205H4</t>
  </si>
  <si>
    <t>MX08L34240932</t>
  </si>
  <si>
    <t>31/01/2028</t>
  </si>
  <si>
    <t>355</t>
  </si>
  <si>
    <t>RZ Digital S.A. de C.V.</t>
  </si>
  <si>
    <t>MX08R234240646</t>
  </si>
  <si>
    <t>08/10/2024</t>
  </si>
  <si>
    <t>352</t>
  </si>
  <si>
    <t>Recubrimientos, Productos y Servicios Industriales, S.A. de C.V.</t>
  </si>
  <si>
    <t>RPS880920E12</t>
  </si>
  <si>
    <t>MX08L34250000</t>
  </si>
  <si>
    <t>23/09/2024</t>
  </si>
  <si>
    <t>23/09/2025</t>
  </si>
  <si>
    <t>353</t>
  </si>
  <si>
    <t>Relentless Quality Repair, LLC</t>
  </si>
  <si>
    <t>MX08L34250894</t>
  </si>
  <si>
    <t>30/07/2025</t>
  </si>
  <si>
    <t>25/01/2026</t>
  </si>
  <si>
    <t>354</t>
  </si>
  <si>
    <t>Resiter Mexico, S.A. de C.V.</t>
  </si>
  <si>
    <t>MX08L34230005</t>
  </si>
  <si>
    <t>17/09/2025</t>
  </si>
  <si>
    <t>358</t>
  </si>
  <si>
    <t>SEI TETRA, S.A. de C.V.</t>
  </si>
  <si>
    <t>SET060622RY7</t>
  </si>
  <si>
    <t>MX08R334250090</t>
  </si>
  <si>
    <t>368</t>
  </si>
  <si>
    <t>SZ Diesel Services del Noroeste S de R.L. de C.V.</t>
  </si>
  <si>
    <t>SOZO730703Q81</t>
  </si>
  <si>
    <t>MX08R234230295</t>
  </si>
  <si>
    <t>01/12/2023</t>
  </si>
  <si>
    <t>367</t>
  </si>
  <si>
    <t>MX08R234230300</t>
  </si>
  <si>
    <t>13/11/2023</t>
  </si>
  <si>
    <t>13/11/2025</t>
  </si>
  <si>
    <t>357</t>
  </si>
  <si>
    <t>Seconsa Servicios Especializados, S.A. de C.V.</t>
  </si>
  <si>
    <t>SDO070215IX4</t>
  </si>
  <si>
    <t>MX08D34240469</t>
  </si>
  <si>
    <t>03/09/2024</t>
  </si>
  <si>
    <t>359</t>
  </si>
  <si>
    <t>Seitsa Consultores, S.A. de C.V.</t>
  </si>
  <si>
    <t>MX08L34251090</t>
  </si>
  <si>
    <t>04/08/2025</t>
  </si>
  <si>
    <t>10/01/2026</t>
  </si>
  <si>
    <t>360</t>
  </si>
  <si>
    <t>Servicios Ecologicos y Reciclados, S. de R.L. MI</t>
  </si>
  <si>
    <t>MX08L34240925</t>
  </si>
  <si>
    <t>17/01/2025</t>
  </si>
  <si>
    <t>17/01/2027</t>
  </si>
  <si>
    <t>361</t>
  </si>
  <si>
    <t>Servicios Profesionales Muevetierra, S.A. de C.V.</t>
  </si>
  <si>
    <t>SPM980803T84</t>
  </si>
  <si>
    <t>MX08L34240874</t>
  </si>
  <si>
    <t>362</t>
  </si>
  <si>
    <t>Servicios y Combustibles Maac, S.A. de C.V.</t>
  </si>
  <si>
    <t>SCM110607GY6</t>
  </si>
  <si>
    <t>MX08R33424094</t>
  </si>
  <si>
    <t>15/10/2024</t>
  </si>
  <si>
    <t>364</t>
  </si>
  <si>
    <t>Soluciones Integrales RX, S.A. de C.V.</t>
  </si>
  <si>
    <t>MX08L34240974</t>
  </si>
  <si>
    <t>27/01/2025</t>
  </si>
  <si>
    <t>27/01/2026</t>
  </si>
  <si>
    <t>363</t>
  </si>
  <si>
    <t>Soluciones Integrales para Trituracion, S.A. de C.V.</t>
  </si>
  <si>
    <t>MX08D34240872</t>
  </si>
  <si>
    <t>24/02/2025</t>
  </si>
  <si>
    <t>27/02/2027</t>
  </si>
  <si>
    <t>365</t>
  </si>
  <si>
    <t>Sonora Industrial Sonind, S.A. de C.V.</t>
  </si>
  <si>
    <t>MX08R34250850</t>
  </si>
  <si>
    <t>366</t>
  </si>
  <si>
    <t>Suministros Industriales ALYD, S.A. de C.V.</t>
  </si>
  <si>
    <t>SIA180322IN6</t>
  </si>
  <si>
    <t>MX08L34220082</t>
  </si>
  <si>
    <t>22/05/2022</t>
  </si>
  <si>
    <t>31/10/2025</t>
  </si>
  <si>
    <t>372</t>
  </si>
  <si>
    <t>TTI Industrial del Centro S.A. de C.V.</t>
  </si>
  <si>
    <t>MX08L84250857</t>
  </si>
  <si>
    <t>21/03/2026</t>
  </si>
  <si>
    <t>369</t>
  </si>
  <si>
    <t>Topdicon, S.A. de C.V.</t>
  </si>
  <si>
    <t>TOP160115I27</t>
  </si>
  <si>
    <t>MX02R234250018</t>
  </si>
  <si>
    <t>02/01/2025</t>
  </si>
  <si>
    <t>370</t>
  </si>
  <si>
    <t>Transformaciones y Estructuras de Acero, S.A. de C.V.</t>
  </si>
  <si>
    <t>MX08L34250855</t>
  </si>
  <si>
    <t>12/10/2025</t>
  </si>
  <si>
    <t>371</t>
  </si>
  <si>
    <t>Transporte Especial de Pasaje, S.A.P.I. de C.V.</t>
  </si>
  <si>
    <t>MX08D34240155</t>
  </si>
  <si>
    <t>373</t>
  </si>
  <si>
    <t>Ummining, S.A. de C.V.</t>
  </si>
  <si>
    <t>MX08L34250445</t>
  </si>
  <si>
    <t>374</t>
  </si>
  <si>
    <t>Viveros Mexico GM, A.C.</t>
  </si>
  <si>
    <t>MX08D84220252</t>
  </si>
  <si>
    <t>24/10/2022</t>
  </si>
  <si>
    <t>24/10/2025</t>
  </si>
  <si>
    <t>3</t>
  </si>
  <si>
    <t>IMMSA</t>
  </si>
  <si>
    <t>AR Servicios Industriales y Móviles, S.A. de C.V.</t>
  </si>
  <si>
    <t>ASI150306I17</t>
  </si>
  <si>
    <t>MX09L44240201</t>
  </si>
  <si>
    <t>01/07/2024</t>
  </si>
  <si>
    <t>1</t>
  </si>
  <si>
    <t>Acarreos Mineros Capricornio, S.A. de C.V.</t>
  </si>
  <si>
    <t>AMC161201P52</t>
  </si>
  <si>
    <t>MX09L44250139</t>
  </si>
  <si>
    <t>18/06/2025</t>
  </si>
  <si>
    <t>19/06/2026</t>
  </si>
  <si>
    <t>2</t>
  </si>
  <si>
    <t>Ana Lizbeth Rojas Hernandez</t>
  </si>
  <si>
    <t>ROHA880401HN9</t>
  </si>
  <si>
    <t>C44DI7525</t>
  </si>
  <si>
    <t>21/08/2026</t>
  </si>
  <si>
    <t>4</t>
  </si>
  <si>
    <t>BDR111115HE7</t>
  </si>
  <si>
    <t>MX09L92250273</t>
  </si>
  <si>
    <t>30/04/2026</t>
  </si>
  <si>
    <t>5</t>
  </si>
  <si>
    <t>CAU, S.A. DE C.V.</t>
  </si>
  <si>
    <t>CAU860423QZ0</t>
  </si>
  <si>
    <t>MX09R244240851</t>
  </si>
  <si>
    <t>7</t>
  </si>
  <si>
    <t>Cespa Construcciones y Mantenimientos Industriales, S.A. de C.V.</t>
  </si>
  <si>
    <t>CCM130920V15</t>
  </si>
  <si>
    <t>MX09L44250005</t>
  </si>
  <si>
    <t>6</t>
  </si>
  <si>
    <t>T44557515</t>
  </si>
  <si>
    <t>03/02/2025</t>
  </si>
  <si>
    <t>10</t>
  </si>
  <si>
    <t>Concreto Lanzado de Fresnillo Marca, S.A. de C.V.</t>
  </si>
  <si>
    <t>CLF020304CB8</t>
  </si>
  <si>
    <t>MX09L44240873</t>
  </si>
  <si>
    <t>15/04/2025</t>
  </si>
  <si>
    <t>14/04/2026</t>
  </si>
  <si>
    <t>9</t>
  </si>
  <si>
    <t>MX09R344250555</t>
  </si>
  <si>
    <t>14/04/2025</t>
  </si>
  <si>
    <t>11</t>
  </si>
  <si>
    <t>Constantino Blancas Mejia</t>
  </si>
  <si>
    <t>BAMC610328A47</t>
  </si>
  <si>
    <t>MX09L44240317</t>
  </si>
  <si>
    <t>12</t>
  </si>
  <si>
    <t>Construccion, Ingenieria y Comercializacion EDZE, S.A. de C.V.</t>
  </si>
  <si>
    <t>CIC1004294T6</t>
  </si>
  <si>
    <t>MX09L44250338</t>
  </si>
  <si>
    <t>13</t>
  </si>
  <si>
    <t>MX09L44250674</t>
  </si>
  <si>
    <t>14</t>
  </si>
  <si>
    <t>Eduardo Llamas Martinez</t>
  </si>
  <si>
    <t>LAME940223KC6</t>
  </si>
  <si>
    <t>MX09L44240288</t>
  </si>
  <si>
    <t>28/10/2024</t>
  </si>
  <si>
    <t>03/09/2025</t>
  </si>
  <si>
    <t>16</t>
  </si>
  <si>
    <t>GIMSA Comercial, S.A. de C.V.</t>
  </si>
  <si>
    <t>GCO970704TV4</t>
  </si>
  <si>
    <t>MX09L44240361</t>
  </si>
  <si>
    <t>25/11/2024</t>
  </si>
  <si>
    <t>21</t>
  </si>
  <si>
    <t>Grupo FBED S. de R.L. de C.V.</t>
  </si>
  <si>
    <t>GFB190502NLA</t>
  </si>
  <si>
    <t>MX09L44240890</t>
  </si>
  <si>
    <t>04/08/2026</t>
  </si>
  <si>
    <t>22</t>
  </si>
  <si>
    <t>Grupo Maya Proteccion Personal, Privada y Empresarial, S.A. de C.V.</t>
  </si>
  <si>
    <t>GMP070223U81</t>
  </si>
  <si>
    <t>17</t>
  </si>
  <si>
    <t>Gutiérrez Alcantara Ingenieros Constructores, S.A. de C.V.</t>
  </si>
  <si>
    <t>GAI070131SB2</t>
  </si>
  <si>
    <t>MX09D44250246</t>
  </si>
  <si>
    <t>18</t>
  </si>
  <si>
    <t>MX09L44240198</t>
  </si>
  <si>
    <t>19</t>
  </si>
  <si>
    <t>MX09L44250165</t>
  </si>
  <si>
    <t>24</t>
  </si>
  <si>
    <t>Innovación y Administración de T.I. S. de R.L. de C.V.</t>
  </si>
  <si>
    <t>MX07R99230156</t>
  </si>
  <si>
    <t>03/01/2023</t>
  </si>
  <si>
    <t>26</t>
  </si>
  <si>
    <t>MTO930218QSA</t>
  </si>
  <si>
    <t>MX09L99240325</t>
  </si>
  <si>
    <t>30/06/2027</t>
  </si>
  <si>
    <t>27</t>
  </si>
  <si>
    <t>Obras Minera y Tiros del Centro S. A. de C.V.</t>
  </si>
  <si>
    <t>MCA9608263J8</t>
  </si>
  <si>
    <t>C44552582</t>
  </si>
  <si>
    <t>07/11/2022</t>
  </si>
  <si>
    <t>03/11/2025</t>
  </si>
  <si>
    <t>28</t>
  </si>
  <si>
    <t>SECONSA Servicios Especializados, S.A. de C.V.</t>
  </si>
  <si>
    <t>MX09R392250821</t>
  </si>
  <si>
    <t>30/06/2026</t>
  </si>
  <si>
    <t>29</t>
  </si>
  <si>
    <t>Servicio y Anclajes del Norte, S. de R.L. de C.V.</t>
  </si>
  <si>
    <t>SAN171208QH8</t>
  </si>
  <si>
    <t>MX09L44250211</t>
  </si>
  <si>
    <t>30/09/2027</t>
  </si>
  <si>
    <t>30</t>
  </si>
  <si>
    <t>Servicios Mecanicos Industrial de Parral S. de R.L. de C.V.</t>
  </si>
  <si>
    <t>SMI150814QB2</t>
  </si>
  <si>
    <t>MX09L44240271</t>
  </si>
  <si>
    <t>01/10/2024</t>
  </si>
  <si>
    <t>31</t>
  </si>
  <si>
    <t>MX09R144240827</t>
  </si>
  <si>
    <t>33</t>
  </si>
  <si>
    <t>Truck Drill Machines, S.A. de C.V.</t>
  </si>
  <si>
    <t>TDM150109BZ8</t>
  </si>
  <si>
    <t>MX09R144250967</t>
  </si>
  <si>
    <t>34</t>
  </si>
  <si>
    <t>UMMININGN, S.A. DE C.V.</t>
  </si>
  <si>
    <t>UMM200127ME3</t>
  </si>
  <si>
    <t>MX09L44240187</t>
  </si>
  <si>
    <t>35</t>
  </si>
  <si>
    <t>VACS Ingeniería, Construcción, Comunicaciones y Servicios S.A. de C.V.</t>
  </si>
  <si>
    <t>VIC1203285Z9</t>
  </si>
  <si>
    <t>MX09L44250329</t>
  </si>
  <si>
    <t>36</t>
  </si>
  <si>
    <t>Viveros México GM A.C.</t>
  </si>
  <si>
    <t>VMG210722GL9</t>
  </si>
  <si>
    <t>MX09L19820211</t>
  </si>
  <si>
    <t>09/01/2021</t>
  </si>
  <si>
    <t>37</t>
  </si>
  <si>
    <t>Francis de San Luis, S.A. de C.V.</t>
  </si>
  <si>
    <t>FSL8501258D9</t>
  </si>
  <si>
    <t>MX09 L 99 24 0544</t>
  </si>
  <si>
    <t>05/11/2025</t>
  </si>
  <si>
    <t>58</t>
  </si>
  <si>
    <t>METCOBRE</t>
  </si>
  <si>
    <t>Alfa Lean Costruction, S.A. DE C.V.</t>
  </si>
  <si>
    <t>ALC160128CV9</t>
  </si>
  <si>
    <t>MX06L53240576</t>
  </si>
  <si>
    <t>10/02/2025</t>
  </si>
  <si>
    <t>29/11/2025</t>
  </si>
  <si>
    <t>59</t>
  </si>
  <si>
    <t>Analisis Ambiental, S.A. DE C.V.</t>
  </si>
  <si>
    <t>AAM970602V7A</t>
  </si>
  <si>
    <t>MX06L53240352</t>
  </si>
  <si>
    <t>29/09/2024</t>
  </si>
  <si>
    <t>63</t>
  </si>
  <si>
    <t>Centro de estudios,servicios y consultorias ambientales, S.A. DE C.V</t>
  </si>
  <si>
    <t>CES120517CG7</t>
  </si>
  <si>
    <t>MX06L53230409</t>
  </si>
  <si>
    <t>04/12/2023</t>
  </si>
  <si>
    <t>04/12/2025</t>
  </si>
  <si>
    <t>62</t>
  </si>
  <si>
    <t>Comercial Sanitaria Division Servicios, S.A. DE C.V.</t>
  </si>
  <si>
    <t>MX06L53250358</t>
  </si>
  <si>
    <t>11/04/2026</t>
  </si>
  <si>
    <t>66</t>
  </si>
  <si>
    <t>Consein Edificaciones, S.A. de C.V.</t>
  </si>
  <si>
    <t>CED070115GR0</t>
  </si>
  <si>
    <t>MX06L51250856</t>
  </si>
  <si>
    <t>18/07/2025</t>
  </si>
  <si>
    <t>64</t>
  </si>
  <si>
    <t>MX06L53230119</t>
  </si>
  <si>
    <t>08/05/2023</t>
  </si>
  <si>
    <t>07/05/2026</t>
  </si>
  <si>
    <t>67</t>
  </si>
  <si>
    <t>MX06R153251374</t>
  </si>
  <si>
    <t>29/09/2025</t>
  </si>
  <si>
    <t>09/11/2025</t>
  </si>
  <si>
    <t>68</t>
  </si>
  <si>
    <t>Construcciones Industriales Beltrán, S.A. de C.V.</t>
  </si>
  <si>
    <t>CIB000728SX5</t>
  </si>
  <si>
    <t>MX06L51240485</t>
  </si>
  <si>
    <t>22/01/2025</t>
  </si>
  <si>
    <t>72</t>
  </si>
  <si>
    <t>MX06L51250845</t>
  </si>
  <si>
    <t>02/09/2025</t>
  </si>
  <si>
    <t>02/01/2026</t>
  </si>
  <si>
    <t>70</t>
  </si>
  <si>
    <t>MX06L51250853</t>
  </si>
  <si>
    <t>04/01/2026</t>
  </si>
  <si>
    <t>73</t>
  </si>
  <si>
    <t>MX06L51251285</t>
  </si>
  <si>
    <t>08/09/2025</t>
  </si>
  <si>
    <t>17/11/2025</t>
  </si>
  <si>
    <t>69</t>
  </si>
  <si>
    <t>MX06L53250353</t>
  </si>
  <si>
    <t>75</t>
  </si>
  <si>
    <t>MX06L53251372</t>
  </si>
  <si>
    <t>15/11/2026</t>
  </si>
  <si>
    <t>74</t>
  </si>
  <si>
    <t>MX06L53251388</t>
  </si>
  <si>
    <t>71</t>
  </si>
  <si>
    <t>MX06R153251188</t>
  </si>
  <si>
    <t>76</t>
  </si>
  <si>
    <t>Construcciones y Estructuras VAMO, S.A DE C.V.</t>
  </si>
  <si>
    <t>CEV970304LX7</t>
  </si>
  <si>
    <t>MX06L53251212</t>
  </si>
  <si>
    <t>19/01/2026</t>
  </si>
  <si>
    <t>78</t>
  </si>
  <si>
    <t>Cypros Boilers, S. DE R.L. DE C.V.</t>
  </si>
  <si>
    <t>CBO160125ADA</t>
  </si>
  <si>
    <t>MX06L53251384</t>
  </si>
  <si>
    <t>77</t>
  </si>
  <si>
    <t>MX06L53251389</t>
  </si>
  <si>
    <t>80</t>
  </si>
  <si>
    <t>Deer Sonora, S.A. DE C.V.</t>
  </si>
  <si>
    <t>DSO190222TG2</t>
  </si>
  <si>
    <t>MX06L53250354</t>
  </si>
  <si>
    <t>15/11/2025</t>
  </si>
  <si>
    <t>81</t>
  </si>
  <si>
    <t>Dinamica vial, S.A. DE C.V.</t>
  </si>
  <si>
    <t>DVI090828MX9</t>
  </si>
  <si>
    <t>MX06R353240986</t>
  </si>
  <si>
    <t>09/01/2025</t>
  </si>
  <si>
    <t>09/01/2026</t>
  </si>
  <si>
    <t>82</t>
  </si>
  <si>
    <t>Donaldo Paco Barrera</t>
  </si>
  <si>
    <t>PABD520410V82</t>
  </si>
  <si>
    <t>MX06L53240376</t>
  </si>
  <si>
    <t>11/11/2024</t>
  </si>
  <si>
    <t>86</t>
  </si>
  <si>
    <t>ERM MEXICO, S.A DE C.V.</t>
  </si>
  <si>
    <t>EME900717GVA</t>
  </si>
  <si>
    <t>MX06L53250466</t>
  </si>
  <si>
    <t>83</t>
  </si>
  <si>
    <t>Ecoc Electrocontroles y Obra Civil, S.A. DE C.V.</t>
  </si>
  <si>
    <t>EEO120317TSA</t>
  </si>
  <si>
    <t>MX06R253250572</t>
  </si>
  <si>
    <t>84</t>
  </si>
  <si>
    <t>Empresa Matco, S.A DE C.V.</t>
  </si>
  <si>
    <t>MX06D53240303</t>
  </si>
  <si>
    <t>22/07/2024</t>
  </si>
  <si>
    <t>26/01/2026</t>
  </si>
  <si>
    <t>87</t>
  </si>
  <si>
    <t>Equipos Ferroviarios del Sur, S.A. de C.V.</t>
  </si>
  <si>
    <t>EFS721201JJ8</t>
  </si>
  <si>
    <t>Contrato del Corporativo CD de México</t>
  </si>
  <si>
    <t>01/02/2022</t>
  </si>
  <si>
    <t>88</t>
  </si>
  <si>
    <t>Ergonchfor, S.A. de C.V.</t>
  </si>
  <si>
    <t>ERG111006A20</t>
  </si>
  <si>
    <t>MX06D53230068</t>
  </si>
  <si>
    <t>28/09/2023</t>
  </si>
  <si>
    <t>85</t>
  </si>
  <si>
    <t>Ersa Global Mex, S.A. DE C.V.</t>
  </si>
  <si>
    <t>EGM950410PP6</t>
  </si>
  <si>
    <t>MF078122060001</t>
  </si>
  <si>
    <t>04/07/2024</t>
  </si>
  <si>
    <t>91</t>
  </si>
  <si>
    <t>GT RH Soluciones Integrales, S. DE R.L. DE C.V.</t>
  </si>
  <si>
    <t>GRS200804477</t>
  </si>
  <si>
    <t>MX06R153250976</t>
  </si>
  <si>
    <t>04/02/2026</t>
  </si>
  <si>
    <t>90</t>
  </si>
  <si>
    <t>C53-DI-252-5</t>
  </si>
  <si>
    <t>94</t>
  </si>
  <si>
    <t>Ingenieria y arquitectura CCR, S.A. de C.V.</t>
  </si>
  <si>
    <t>IAC140421K28</t>
  </si>
  <si>
    <t>MX06L53250189</t>
  </si>
  <si>
    <t>93</t>
  </si>
  <si>
    <t>MX06L53250190</t>
  </si>
  <si>
    <t>15/03/2025</t>
  </si>
  <si>
    <t>96</t>
  </si>
  <si>
    <t>Insul-Therm, s.a. de c.v.</t>
  </si>
  <si>
    <t>ITH000121MQ5</t>
  </si>
  <si>
    <t>MX06L53251365</t>
  </si>
  <si>
    <t>22/11/2025</t>
  </si>
  <si>
    <t>97</t>
  </si>
  <si>
    <t>Issn Ingenieria, S.A. DE C.V.</t>
  </si>
  <si>
    <t>INN100628U98</t>
  </si>
  <si>
    <t>MX06D53251405</t>
  </si>
  <si>
    <t>28/10/2025</t>
  </si>
  <si>
    <t>98</t>
  </si>
  <si>
    <t>Jesús Yánez Vásquez</t>
  </si>
  <si>
    <t>YAVJ880817H75</t>
  </si>
  <si>
    <t>MX06L53240128</t>
  </si>
  <si>
    <t>17/06/2024</t>
  </si>
  <si>
    <t>14/10/2025</t>
  </si>
  <si>
    <t>99</t>
  </si>
  <si>
    <t>MX06L53250539</t>
  </si>
  <si>
    <t>12/12/2025</t>
  </si>
  <si>
    <t>101</t>
  </si>
  <si>
    <t>Jose Manuel Romero Bustamante</t>
  </si>
  <si>
    <t>ROBM810119CV0</t>
  </si>
  <si>
    <t>MX06L51250889</t>
  </si>
  <si>
    <t>18/10/2025</t>
  </si>
  <si>
    <t>100</t>
  </si>
  <si>
    <t>MX06L53250313</t>
  </si>
  <si>
    <t>102</t>
  </si>
  <si>
    <t>Jose Rodrigo Romero Felix</t>
  </si>
  <si>
    <t>ROFR5711236G3</t>
  </si>
  <si>
    <t>MX06L53250263</t>
  </si>
  <si>
    <t>23/04/2025</t>
  </si>
  <si>
    <t>23/02/2026</t>
  </si>
  <si>
    <t>103</t>
  </si>
  <si>
    <t>Juan Francisco Aldana Andrade</t>
  </si>
  <si>
    <t>AAAJ821119CU2</t>
  </si>
  <si>
    <t>MX06L53230343</t>
  </si>
  <si>
    <t>24/10/2023</t>
  </si>
  <si>
    <t>104</t>
  </si>
  <si>
    <t>MX06L53230397</t>
  </si>
  <si>
    <t>02/01/2024</t>
  </si>
  <si>
    <t>105</t>
  </si>
  <si>
    <t>Kaiser Consultores Ambientales, S.A. DE C.V.</t>
  </si>
  <si>
    <t>KCA940207E58</t>
  </si>
  <si>
    <t>MX06D53250441</t>
  </si>
  <si>
    <t>30/05/2027</t>
  </si>
  <si>
    <t>109</t>
  </si>
  <si>
    <t>Laboratorio Jaba, S.A. DE C.V.</t>
  </si>
  <si>
    <t>LJA1002049Q6</t>
  </si>
  <si>
    <t>MX06L53250947</t>
  </si>
  <si>
    <t>28/09/2025</t>
  </si>
  <si>
    <t>106</t>
  </si>
  <si>
    <t>Laboratorio del Grupo Microanalisis, S.A. DE C.V.</t>
  </si>
  <si>
    <t>LGM9312166S6</t>
  </si>
  <si>
    <t>MX06L53240309</t>
  </si>
  <si>
    <t>04/11/2024</t>
  </si>
  <si>
    <t>107</t>
  </si>
  <si>
    <t>MX06L53240934</t>
  </si>
  <si>
    <t>06/02/2025</t>
  </si>
  <si>
    <t>108</t>
  </si>
  <si>
    <t>MX06L53250859</t>
  </si>
  <si>
    <t>30/08/2025</t>
  </si>
  <si>
    <t>30/10/2025</t>
  </si>
  <si>
    <t>110</t>
  </si>
  <si>
    <t>Lamsyco Laboratorios, S.A. DE C.V.</t>
  </si>
  <si>
    <t>LLA0604175Y0</t>
  </si>
  <si>
    <t>MX06R353251291</t>
  </si>
  <si>
    <t>26/08/2025</t>
  </si>
  <si>
    <t>25/08/2026</t>
  </si>
  <si>
    <t>111</t>
  </si>
  <si>
    <t>Lemon Analyzer, S.A. DE C.V.</t>
  </si>
  <si>
    <t>LAN110805M59</t>
  </si>
  <si>
    <t>MX06E51250832</t>
  </si>
  <si>
    <t>116</t>
  </si>
  <si>
    <t>Maen  Desarrollos de Sonora, S.A. DE C.V.</t>
  </si>
  <si>
    <t>MDS210826737</t>
  </si>
  <si>
    <t>MX06L51250075</t>
  </si>
  <si>
    <t>115</t>
  </si>
  <si>
    <t>Martha Alicia Ramirez Acosta</t>
  </si>
  <si>
    <t>RAAM570921CF7</t>
  </si>
  <si>
    <t>MX06L53251103</t>
  </si>
  <si>
    <t>112</t>
  </si>
  <si>
    <t>Marva Nidia Soqui Urias</t>
  </si>
  <si>
    <t>SOUM550628TN3</t>
  </si>
  <si>
    <t>MX06L53251170</t>
  </si>
  <si>
    <t>113</t>
  </si>
  <si>
    <t>Mas Instrumentos, S.A. DE C.V.</t>
  </si>
  <si>
    <t>MIN980218M24</t>
  </si>
  <si>
    <t>MX06D53240357</t>
  </si>
  <si>
    <t>15/01/2024</t>
  </si>
  <si>
    <t>14/01/2026</t>
  </si>
  <si>
    <t>117</t>
  </si>
  <si>
    <t>Mecanica Nagarson</t>
  </si>
  <si>
    <t>MX06R153240160</t>
  </si>
  <si>
    <t>01/04/2024</t>
  </si>
  <si>
    <t>01/04/2027</t>
  </si>
  <si>
    <t>118</t>
  </si>
  <si>
    <t>Metal Master Industrial, S.A. DE C.V.</t>
  </si>
  <si>
    <t>MMI0505093P8</t>
  </si>
  <si>
    <t>MX06L53251174</t>
  </si>
  <si>
    <t>119</t>
  </si>
  <si>
    <t>Molina López Francisco Eduardo</t>
  </si>
  <si>
    <t>MOLF9410076J6</t>
  </si>
  <si>
    <t>MX06L53240251</t>
  </si>
  <si>
    <t>30/06/2024</t>
  </si>
  <si>
    <t>120</t>
  </si>
  <si>
    <t>Multiequipos de elevación y grúas S.A. de C.V.</t>
  </si>
  <si>
    <t>MEG110819478</t>
  </si>
  <si>
    <t>MX06R53240662</t>
  </si>
  <si>
    <t>18/10/2024</t>
  </si>
  <si>
    <t>121</t>
  </si>
  <si>
    <t>Multisistemas de Seguridad de Noroeste, S.A. de C.V. (plazas)</t>
  </si>
  <si>
    <t>122</t>
  </si>
  <si>
    <t>Multisistemas de Seguridad del Valle de México.  S.A de C.V (plazas)</t>
  </si>
  <si>
    <t>123</t>
  </si>
  <si>
    <t>Nalco de México S. DE R.L. DE C.V.</t>
  </si>
  <si>
    <t>NME900531HM0</t>
  </si>
  <si>
    <t>MX06L53-22-0459</t>
  </si>
  <si>
    <t>01/02/2023</t>
  </si>
  <si>
    <t>125</t>
  </si>
  <si>
    <t>MX06L53240234</t>
  </si>
  <si>
    <t>05/08/2024</t>
  </si>
  <si>
    <t>04/08/2027</t>
  </si>
  <si>
    <t>124</t>
  </si>
  <si>
    <t>MX06L53240377</t>
  </si>
  <si>
    <t>27/10/2026</t>
  </si>
  <si>
    <t>126</t>
  </si>
  <si>
    <t>O.R. la Terraza,S de R.L. de c.v.</t>
  </si>
  <si>
    <t>OTE140812973</t>
  </si>
  <si>
    <t>MX06L53240452</t>
  </si>
  <si>
    <t>14/10/2024</t>
  </si>
  <si>
    <t>130</t>
  </si>
  <si>
    <t>Promev, S. DE R.L. DE C.V.</t>
  </si>
  <si>
    <t>PRO170217IW3</t>
  </si>
  <si>
    <t>MX06L53251055</t>
  </si>
  <si>
    <t>10/09/2025</t>
  </si>
  <si>
    <t>10/09/2026</t>
  </si>
  <si>
    <t>131</t>
  </si>
  <si>
    <t>Raul Grimaldo Ballesteros</t>
  </si>
  <si>
    <t>GIBR8702243B1</t>
  </si>
  <si>
    <t>MX06L53251123</t>
  </si>
  <si>
    <t>132</t>
  </si>
  <si>
    <t>MX06L53251354</t>
  </si>
  <si>
    <t>134</t>
  </si>
  <si>
    <t>SBC Importaciones y Servicios del Noroeste, S. de R.L. de C.V.</t>
  </si>
  <si>
    <t>SIS091213MR4</t>
  </si>
  <si>
    <t>Contrato del Corporativo Cd. de México</t>
  </si>
  <si>
    <t>11/05/2018</t>
  </si>
  <si>
    <t>133</t>
  </si>
  <si>
    <t>Salud Industrial y Empresarial Mexicana, S.A. DE C.V.</t>
  </si>
  <si>
    <t>SIE1403057C7</t>
  </si>
  <si>
    <t>MX06L53251360</t>
  </si>
  <si>
    <t>135</t>
  </si>
  <si>
    <t>Serpro del Cobre, S.A. de C.V.</t>
  </si>
  <si>
    <t>SCO070524PY3</t>
  </si>
  <si>
    <t>MX06R153240764</t>
  </si>
  <si>
    <t>02/12/2024</t>
  </si>
  <si>
    <t>136</t>
  </si>
  <si>
    <t>MX06R253240259</t>
  </si>
  <si>
    <t>138</t>
  </si>
  <si>
    <t>Servicios Ecologicos y Reciclados,S. de R.L. M.I.</t>
  </si>
  <si>
    <t>SER010402TJA</t>
  </si>
  <si>
    <t>MX06L53230022</t>
  </si>
  <si>
    <t>01/03/2023</t>
  </si>
  <si>
    <t>140</t>
  </si>
  <si>
    <t>MX06L53240763</t>
  </si>
  <si>
    <t>20/05/2025</t>
  </si>
  <si>
    <t>142</t>
  </si>
  <si>
    <t>Servicios Industriales Electromecanicos Enriquez, S.A. DE C.V.</t>
  </si>
  <si>
    <t>SIE080404HI6</t>
  </si>
  <si>
    <t>MX06L51250681</t>
  </si>
  <si>
    <t>143</t>
  </si>
  <si>
    <t>MX06L51250948</t>
  </si>
  <si>
    <t>09/12/2025</t>
  </si>
  <si>
    <t>141</t>
  </si>
  <si>
    <t>Servicios y Distribuciones Ayala S.A. DE C.V.</t>
  </si>
  <si>
    <t>SDA890217GK4</t>
  </si>
  <si>
    <t>MX06R253250592</t>
  </si>
  <si>
    <t>12/05/2026</t>
  </si>
  <si>
    <t>153</t>
  </si>
  <si>
    <t>Señalamientos y servicios integrales del noroeste, S.A. DE C.V.</t>
  </si>
  <si>
    <t>SSI0108012Z8</t>
  </si>
  <si>
    <t>MX06L51250545</t>
  </si>
  <si>
    <t>11/08/2025</t>
  </si>
  <si>
    <t>15/03/2026</t>
  </si>
  <si>
    <t>148</t>
  </si>
  <si>
    <t>Soluciones Electricas Industriales NVH, S.A. DE C.V.</t>
  </si>
  <si>
    <t>SEI111129128</t>
  </si>
  <si>
    <t>MX06E51251086</t>
  </si>
  <si>
    <t>01/07/2026</t>
  </si>
  <si>
    <t>144</t>
  </si>
  <si>
    <t>MX06L51240406</t>
  </si>
  <si>
    <t>30/09/2024</t>
  </si>
  <si>
    <t>146</t>
  </si>
  <si>
    <t>MX06L51240588</t>
  </si>
  <si>
    <t>147</t>
  </si>
  <si>
    <t>MX06L51250575</t>
  </si>
  <si>
    <t>31/07/2025</t>
  </si>
  <si>
    <t>149</t>
  </si>
  <si>
    <t>MX06L51251028</t>
  </si>
  <si>
    <t>15/08/2025</t>
  </si>
  <si>
    <t>152</t>
  </si>
  <si>
    <t>Staffing People, S.A. DE C.V.</t>
  </si>
  <si>
    <t>SPE100216FE8</t>
  </si>
  <si>
    <t>MX06L53250540</t>
  </si>
  <si>
    <t>03/07/2025</t>
  </si>
  <si>
    <t>03/07/2026</t>
  </si>
  <si>
    <t>151</t>
  </si>
  <si>
    <t>MX06R153250395</t>
  </si>
  <si>
    <t>150</t>
  </si>
  <si>
    <t>Super Gas de Ciudad Juarez, S.A. DE C.V.</t>
  </si>
  <si>
    <t>SGC630109M16</t>
  </si>
  <si>
    <t>04/05/2022</t>
  </si>
  <si>
    <t>156</t>
  </si>
  <si>
    <t>Tecnuv, Ingenieria, consultoria, Inspeccion y Construccion en la Industria, S.A. DE C.V.</t>
  </si>
  <si>
    <t>TIC090210MV8</t>
  </si>
  <si>
    <t>MX06D51240425</t>
  </si>
  <si>
    <t>28/11/2025</t>
  </si>
  <si>
    <t>154</t>
  </si>
  <si>
    <t>Transportes Especializados Jusa, S.A. DE C.V.</t>
  </si>
  <si>
    <t>TEJ870630752</t>
  </si>
  <si>
    <t>AE698480-0104</t>
  </si>
  <si>
    <t>31/01/2027</t>
  </si>
  <si>
    <t>155</t>
  </si>
  <si>
    <t>Transportes Mineros del Cobre, S.A. DE C.V.</t>
  </si>
  <si>
    <t>TMC940919V6A</t>
  </si>
  <si>
    <t>AE698480-0109</t>
  </si>
  <si>
    <t>157</t>
  </si>
  <si>
    <t>Ulli Rubber Linning Solutions, S.A DE C.V.</t>
  </si>
  <si>
    <t>URL161101B23</t>
  </si>
  <si>
    <t>MX06L53250240</t>
  </si>
  <si>
    <t>159</t>
  </si>
  <si>
    <t>MX06R153250115</t>
  </si>
  <si>
    <t>17/02/2025</t>
  </si>
  <si>
    <t>161</t>
  </si>
  <si>
    <t>MX06R153250880</t>
  </si>
  <si>
    <t>23/08/2026</t>
  </si>
  <si>
    <t>160</t>
  </si>
  <si>
    <t>MX06R153250931</t>
  </si>
  <si>
    <t>16/06/2025</t>
  </si>
  <si>
    <t>164</t>
  </si>
  <si>
    <t>Ultra Proteccion, S.A. de C.V.</t>
  </si>
  <si>
    <t>UPR161108733</t>
  </si>
  <si>
    <t>MX06L53240346</t>
  </si>
  <si>
    <t>04/10/2025</t>
  </si>
  <si>
    <t>165</t>
  </si>
  <si>
    <t>MX06L53240375</t>
  </si>
  <si>
    <t>10/11/2025</t>
  </si>
  <si>
    <t>162</t>
  </si>
  <si>
    <t>Umminingn, S.A. DE C.V</t>
  </si>
  <si>
    <t>MX06L53240589</t>
  </si>
  <si>
    <t>16/12/2024</t>
  </si>
  <si>
    <t>166</t>
  </si>
  <si>
    <t>MX06D53250925</t>
  </si>
  <si>
    <t>01/09/2021</t>
  </si>
  <si>
    <t>376</t>
  </si>
  <si>
    <t>OMINA</t>
  </si>
  <si>
    <t>Berenice Campoa Rodriguez</t>
  </si>
  <si>
    <t>CARB790718LS5</t>
  </si>
  <si>
    <t>MX06R252240362</t>
  </si>
  <si>
    <t>08/12/2024</t>
  </si>
  <si>
    <t>13/10/2025</t>
  </si>
  <si>
    <t>377</t>
  </si>
  <si>
    <t>ChemTreat Mexico S de RL de CV</t>
  </si>
  <si>
    <t>CME990319UG9</t>
  </si>
  <si>
    <t>4100576364-M200-M23-Z13</t>
  </si>
  <si>
    <t>01/07/2023</t>
  </si>
  <si>
    <t>379</t>
  </si>
  <si>
    <t>Comercial Sanitaria División Servicios, S.A. De C.V</t>
  </si>
  <si>
    <t>MX06R152250021</t>
  </si>
  <si>
    <t>23/02/2025</t>
  </si>
  <si>
    <t>385</t>
  </si>
  <si>
    <t>Compañía Industrial Hanka, S.A. de C.V.</t>
  </si>
  <si>
    <t>MX06L51230285</t>
  </si>
  <si>
    <t>15/08/2023</t>
  </si>
  <si>
    <t>381</t>
  </si>
  <si>
    <t>MX06L51240264</t>
  </si>
  <si>
    <t>09/09/2024</t>
  </si>
  <si>
    <t>382</t>
  </si>
  <si>
    <t>MX06L52250389</t>
  </si>
  <si>
    <t>23/06/2025</t>
  </si>
  <si>
    <t>23/10/2025</t>
  </si>
  <si>
    <t>383</t>
  </si>
  <si>
    <t>MX06R152240196</t>
  </si>
  <si>
    <t>26/06/2023</t>
  </si>
  <si>
    <t>386</t>
  </si>
  <si>
    <t>Cummins Mining Service, S. de R.L. de C.V.</t>
  </si>
  <si>
    <t>CRM060329860</t>
  </si>
  <si>
    <t>MX06L52250124</t>
  </si>
  <si>
    <t>04/07/2025</t>
  </si>
  <si>
    <t>05/04/2027</t>
  </si>
  <si>
    <t>387</t>
  </si>
  <si>
    <t>Deer Sonora, S.A. De C.V.</t>
  </si>
  <si>
    <t>MX06L52240221</t>
  </si>
  <si>
    <t>24/06/2024</t>
  </si>
  <si>
    <t>388</t>
  </si>
  <si>
    <t>DSO190222TG3</t>
  </si>
  <si>
    <t>MX06L52250086</t>
  </si>
  <si>
    <t>04/01/2025</t>
  </si>
  <si>
    <t>390</t>
  </si>
  <si>
    <t>MX06E52240193</t>
  </si>
  <si>
    <t>07/02/2024</t>
  </si>
  <si>
    <t>12/07/2027</t>
  </si>
  <si>
    <t>393</t>
  </si>
  <si>
    <t>Francisco Eduardo Molina López</t>
  </si>
  <si>
    <t>MX06R152240953</t>
  </si>
  <si>
    <t>20/12/2024</t>
  </si>
  <si>
    <t>395</t>
  </si>
  <si>
    <t>Fujisan Survey S.A. de C.V.</t>
  </si>
  <si>
    <t>FSU901121FGA</t>
  </si>
  <si>
    <t>MX06R152240215</t>
  </si>
  <si>
    <t>25/05/2024</t>
  </si>
  <si>
    <t>30/07/2026</t>
  </si>
  <si>
    <t>398</t>
  </si>
  <si>
    <t>GM Consultoria y  Proyectos de Ingenieria Ambental, S.A. de C.V.</t>
  </si>
  <si>
    <t>GCP160913NP6</t>
  </si>
  <si>
    <t>MX06L52240012</t>
  </si>
  <si>
    <t>13/02/2027</t>
  </si>
  <si>
    <t>404</t>
  </si>
  <si>
    <t>Grupo Keila, S.A. de C.V.</t>
  </si>
  <si>
    <t>GKE180629655</t>
  </si>
  <si>
    <t>MX06R252250210</t>
  </si>
  <si>
    <t>27/03/2025</t>
  </si>
  <si>
    <t>401</t>
  </si>
  <si>
    <t>Grupo Maytorena Sosa, S.A. de C.V.</t>
  </si>
  <si>
    <t>GMS170718UQ0</t>
  </si>
  <si>
    <t>MX06L52240656</t>
  </si>
  <si>
    <t>403</t>
  </si>
  <si>
    <t>13/01/2026</t>
  </si>
  <si>
    <t>399</t>
  </si>
  <si>
    <t>MX06R152240739</t>
  </si>
  <si>
    <t>07/12/2025</t>
  </si>
  <si>
    <t>405</t>
  </si>
  <si>
    <t>Inmedilab Ingenieria en Mediciones Laborales, S. de R.L. de C.V.</t>
  </si>
  <si>
    <t>IIM180212U70</t>
  </si>
  <si>
    <t>MX06R152250287</t>
  </si>
  <si>
    <t>30/03/2026</t>
  </si>
  <si>
    <t>408</t>
  </si>
  <si>
    <t>Jucelop, S.A. de C.V.</t>
  </si>
  <si>
    <t>JUC0802063Q9</t>
  </si>
  <si>
    <t>MX06L52250284</t>
  </si>
  <si>
    <t>410</t>
  </si>
  <si>
    <t>Kal Tire, S.A. De C.V.</t>
  </si>
  <si>
    <t>MGR751110G56</t>
  </si>
  <si>
    <t>MX06L52240081</t>
  </si>
  <si>
    <t>15/04/2024</t>
  </si>
  <si>
    <t>15/04/2026</t>
  </si>
  <si>
    <t>409</t>
  </si>
  <si>
    <t>MX06L52240679</t>
  </si>
  <si>
    <t>20/01/2025</t>
  </si>
  <si>
    <t>20/01/2027</t>
  </si>
  <si>
    <t>412</t>
  </si>
  <si>
    <t>Limbri, S.A.</t>
  </si>
  <si>
    <t>LIM0709286I7</t>
  </si>
  <si>
    <t>MX06R152250022</t>
  </si>
  <si>
    <t>03/09/2026</t>
  </si>
  <si>
    <t>413</t>
  </si>
  <si>
    <t>Mantenimiento Industrial y Domestico de Nacozari, S.A. de C.V.</t>
  </si>
  <si>
    <t>MID0711056K1</t>
  </si>
  <si>
    <t>MX06R152250623</t>
  </si>
  <si>
    <t>25/05/2025</t>
  </si>
  <si>
    <t>30/05/2026</t>
  </si>
  <si>
    <t>414</t>
  </si>
  <si>
    <t>MX06R152240380</t>
  </si>
  <si>
    <t>09/02/2024</t>
  </si>
  <si>
    <t>417</t>
  </si>
  <si>
    <t>Multiequipos de Elevacion y Gruas, S.A. de R.L. de C.V.</t>
  </si>
  <si>
    <t>MX06R152240878</t>
  </si>
  <si>
    <t>420</t>
  </si>
  <si>
    <t>OME940127</t>
  </si>
  <si>
    <t>MX06R351250543</t>
  </si>
  <si>
    <t>16/07/2026</t>
  </si>
  <si>
    <t>421</t>
  </si>
  <si>
    <t>Promev S. de R.L de C.V.</t>
  </si>
  <si>
    <t>MX06L52240819</t>
  </si>
  <si>
    <t>426</t>
  </si>
  <si>
    <t>MX06L52240661</t>
  </si>
  <si>
    <t>427</t>
  </si>
  <si>
    <t>Refacciones Equipos y Servicios Industriales, S.A. de C.V.</t>
  </si>
  <si>
    <t>RES0109086Y9</t>
  </si>
  <si>
    <t>MX06L52240985</t>
  </si>
  <si>
    <t>428</t>
  </si>
  <si>
    <t>MX06R352250597</t>
  </si>
  <si>
    <t>05/01/2025</t>
  </si>
  <si>
    <t>430</t>
  </si>
  <si>
    <t>Servicio de Limpieza Industrial y Comercial Cormar, S.A. de C.V.</t>
  </si>
  <si>
    <t>SLI071031UB4</t>
  </si>
  <si>
    <t>MX06L52240424</t>
  </si>
  <si>
    <t>27/10/2025</t>
  </si>
  <si>
    <t>429</t>
  </si>
  <si>
    <t>MX06R152251102</t>
  </si>
  <si>
    <t>25/07/2026</t>
  </si>
  <si>
    <t>431</t>
  </si>
  <si>
    <t>Servicios Ecológicos Y Reciclados, S. De R.L. M.I.</t>
  </si>
  <si>
    <t>MX06L52230116</t>
  </si>
  <si>
    <t>19/04/2023</t>
  </si>
  <si>
    <t>18/04/2026</t>
  </si>
  <si>
    <t>432</t>
  </si>
  <si>
    <t>Señalamientos Y Servicios Integrales Del Noroeste, S.A. De C.V</t>
  </si>
  <si>
    <t>MX06L52240483</t>
  </si>
  <si>
    <t>15/01/2025</t>
  </si>
  <si>
    <t>433</t>
  </si>
  <si>
    <t>SSI0108012Z9</t>
  </si>
  <si>
    <t>MX06R152250288</t>
  </si>
  <si>
    <t>31/03/2025</t>
  </si>
  <si>
    <t>437</t>
  </si>
  <si>
    <t>Tecmin Servicios, S.A. de C.V.</t>
  </si>
  <si>
    <t>TSE010514LY4</t>
  </si>
  <si>
    <t>MX06L51250881</t>
  </si>
  <si>
    <t>28/08/2025</t>
  </si>
  <si>
    <t>438</t>
  </si>
  <si>
    <t>MX06L52250973</t>
  </si>
  <si>
    <t>25/08/2025</t>
  </si>
  <si>
    <t>25/03/2026</t>
  </si>
  <si>
    <t>440</t>
  </si>
  <si>
    <t>Tecnoasfaltos y Terracerias, S.A. de C.V.</t>
  </si>
  <si>
    <t>TTE891218SH7</t>
  </si>
  <si>
    <t>MX06L52240654</t>
  </si>
  <si>
    <t>03/10/2025</t>
  </si>
  <si>
    <t>05/09/2025</t>
  </si>
  <si>
    <t>435</t>
  </si>
  <si>
    <t>Transformaciones Y Estructuras De Acero, S.A. De C.V.</t>
  </si>
  <si>
    <t>TEA120131QQ7</t>
  </si>
  <si>
    <t>C52502524</t>
  </si>
  <si>
    <t>08/12/2025</t>
  </si>
  <si>
    <t>441</t>
  </si>
  <si>
    <t>Ultra Protección, S.A. De C.V.</t>
  </si>
  <si>
    <t>MX06L51240650</t>
  </si>
  <si>
    <t>02/10/2025</t>
  </si>
  <si>
    <t>442</t>
  </si>
  <si>
    <t>Vacs Ingenieria, Construccion, Comunicaciones y Servicios, S.A. de C.V.</t>
  </si>
  <si>
    <t>MX06R352240455</t>
  </si>
  <si>
    <t>08/05/2024</t>
  </si>
  <si>
    <t>450</t>
  </si>
  <si>
    <t>SEPTIEMBRE</t>
  </si>
  <si>
    <t>GRUPO MAYTORENA SOSA</t>
  </si>
  <si>
    <t>38</t>
  </si>
  <si>
    <t>451</t>
  </si>
  <si>
    <t>ALFRED H KNIGHTDE MEXICO</t>
  </si>
  <si>
    <t>AHK781117811</t>
  </si>
  <si>
    <t>MKM.ZS 71161</t>
  </si>
  <si>
    <t>01/01/2021</t>
  </si>
  <si>
    <t>452</t>
  </si>
  <si>
    <t>AR SERVICIOS INDUSTRIALES Y MOVILES SA. DE CV.</t>
  </si>
  <si>
    <t>MX09R237250686</t>
  </si>
  <si>
    <t>19/03/2025</t>
  </si>
  <si>
    <t>19/03/2026</t>
  </si>
  <si>
    <t>453</t>
  </si>
  <si>
    <t>CARLOS TELLEZ GARCIA</t>
  </si>
  <si>
    <t>TEGC7511245F4</t>
  </si>
  <si>
    <t>MX09L37250170</t>
  </si>
  <si>
    <t>11/04/2025</t>
  </si>
  <si>
    <t>11/04/2027</t>
  </si>
  <si>
    <t>455</t>
  </si>
  <si>
    <t>CHEMTREAT MEXICO S DE RL DE CV</t>
  </si>
  <si>
    <t>MX09L37200312</t>
  </si>
  <si>
    <t>21/03/2023</t>
  </si>
  <si>
    <t>454</t>
  </si>
  <si>
    <t>CONTROL DE PLAGAS VALACH S. DE R.L. DE C.V.</t>
  </si>
  <si>
    <t>MX09R137250687</t>
  </si>
  <si>
    <t>12/12/2007</t>
  </si>
  <si>
    <t>456</t>
  </si>
  <si>
    <t>FRANCIS DE SAN LUIS,  S.A. DE C.V.</t>
  </si>
  <si>
    <t>08/01/2025</t>
  </si>
  <si>
    <t>08/01/2027</t>
  </si>
  <si>
    <t>457</t>
  </si>
  <si>
    <t>GRUPO AZTECA CONSTRUCCIÓNES S.A. DE C.V.</t>
  </si>
  <si>
    <t>GAC920803TR4</t>
  </si>
  <si>
    <t>MX09L37240882</t>
  </si>
  <si>
    <t>460</t>
  </si>
  <si>
    <t>INNOVACION Y ADMINISTRACION DE T.I. S DE R.L.C.V.</t>
  </si>
  <si>
    <t>MX09D37251021</t>
  </si>
  <si>
    <t>20/08/2025</t>
  </si>
  <si>
    <t>14/08/2026</t>
  </si>
  <si>
    <t>461</t>
  </si>
  <si>
    <t>JARO CONTRATISTAS, S.A. DE C.V.</t>
  </si>
  <si>
    <t>JCO961122ED1</t>
  </si>
  <si>
    <t>MX09R137230394</t>
  </si>
  <si>
    <t>14/07/2023</t>
  </si>
  <si>
    <t>462</t>
  </si>
  <si>
    <t>LUCIANO OCTAVIO ELORZA CORRES -- SIMEX</t>
  </si>
  <si>
    <t>EOCL511101E18</t>
  </si>
  <si>
    <t>MX09R137240843A</t>
  </si>
  <si>
    <t>03/03/2025</t>
  </si>
  <si>
    <t>15/06/2026</t>
  </si>
  <si>
    <t>463</t>
  </si>
  <si>
    <t>MA HORTENCIA SANCHEZ FAJARDO</t>
  </si>
  <si>
    <t>SAFH5002136Y7</t>
  </si>
  <si>
    <t>MX09E37240884</t>
  </si>
  <si>
    <t>05/05/2025</t>
  </si>
  <si>
    <t>464</t>
  </si>
  <si>
    <t>MANTENIMIENTO INDUSTRIAL Y CONSTRUCCION POTOSINA</t>
  </si>
  <si>
    <t>MIC891130IV0</t>
  </si>
  <si>
    <t>MX09R137240843C</t>
  </si>
  <si>
    <t>465</t>
  </si>
  <si>
    <t>MAQUINADOS Y SERVICIOS CICLOPE S.A. DE C.V.</t>
  </si>
  <si>
    <t>MSC0512095H3</t>
  </si>
  <si>
    <t>MX09L37240559</t>
  </si>
  <si>
    <t>18/01/2025</t>
  </si>
  <si>
    <t>466</t>
  </si>
  <si>
    <t>MARIA HERNANDEZ CARRANZA. (SOPAYEL)</t>
  </si>
  <si>
    <t>HECM690118CM0</t>
  </si>
  <si>
    <t>MX09L37240836</t>
  </si>
  <si>
    <t>14/06/2026</t>
  </si>
  <si>
    <t>469</t>
  </si>
  <si>
    <t>SECONSA SERVICIOS ESPECIALIZADOS</t>
  </si>
  <si>
    <t>MX09L37251157</t>
  </si>
  <si>
    <t>30/10/2026</t>
  </si>
  <si>
    <t>471</t>
  </si>
  <si>
    <t>TALLERES GRANITO, S.A. DE C.V</t>
  </si>
  <si>
    <t>TGR190522QHA</t>
  </si>
  <si>
    <t>MX09R137240843B</t>
  </si>
  <si>
    <t>473</t>
  </si>
  <si>
    <t>TANNYA VANESSA PALACIOS RAMIREZ</t>
  </si>
  <si>
    <t>PART8909252Z3</t>
  </si>
  <si>
    <t>MX09L37230532</t>
  </si>
  <si>
    <t>16/10/2023</t>
  </si>
  <si>
    <t>17/08/2026</t>
  </si>
  <si>
    <t>474</t>
  </si>
  <si>
    <t>MX09L37230593</t>
  </si>
  <si>
    <t>475</t>
  </si>
  <si>
    <t>ULTRA PROTECCION S.A. DE C.V.</t>
  </si>
  <si>
    <t>MX09L37240133</t>
  </si>
  <si>
    <t>13/04/2024</t>
  </si>
  <si>
    <t>13/04/2026</t>
  </si>
  <si>
    <t>481</t>
  </si>
  <si>
    <t>CESPA CONSTRUCCIONES Y MANTENIMIENTOS INDUSTRIALES SA DE CV</t>
  </si>
  <si>
    <t>MX09L77250096</t>
  </si>
  <si>
    <t>10/03/2025</t>
  </si>
  <si>
    <t>480</t>
  </si>
  <si>
    <t>MX09L77250175</t>
  </si>
  <si>
    <t>19/12/2025</t>
  </si>
  <si>
    <t>479</t>
  </si>
  <si>
    <t>CONCRETO LANZADO DE FRESNILLO MARCA, S.A. DE C.V.</t>
  </si>
  <si>
    <t>CLF220325CT4</t>
  </si>
  <si>
    <t>MX09L77250875</t>
  </si>
  <si>
    <t>12/08/2025</t>
  </si>
  <si>
    <t>478</t>
  </si>
  <si>
    <t>CONSTRUCCIONES CIVILES ÓRGANOS, S.A. DE C.V</t>
  </si>
  <si>
    <t>CCO981110GC1</t>
  </si>
  <si>
    <t>C77OP2515</t>
  </si>
  <si>
    <t>482</t>
  </si>
  <si>
    <t>CSI DIVISION SERVICIOS, S.A. DE C.V.</t>
  </si>
  <si>
    <t>CDS9709036M8</t>
  </si>
  <si>
    <t>MX09D77250333</t>
  </si>
  <si>
    <t>484</t>
  </si>
  <si>
    <t>DICOM FRESNILLO S.A. DE C.V.</t>
  </si>
  <si>
    <t>DFR100303LTA</t>
  </si>
  <si>
    <t>MX09L77250914</t>
  </si>
  <si>
    <t>483</t>
  </si>
  <si>
    <t>MX09R77250398</t>
  </si>
  <si>
    <t>16/02/2026</t>
  </si>
  <si>
    <t>485</t>
  </si>
  <si>
    <t>HECTOR BONILLA CALDERA</t>
  </si>
  <si>
    <t>BOCH7706225T8</t>
  </si>
  <si>
    <t>MX09L77230626</t>
  </si>
  <si>
    <t>487</t>
  </si>
  <si>
    <t>HOTEL AVENIDA REAL</t>
  </si>
  <si>
    <t>HAR870907797</t>
  </si>
  <si>
    <t>MX09L77250396</t>
  </si>
  <si>
    <t>486</t>
  </si>
  <si>
    <t>MX09R177240066</t>
  </si>
  <si>
    <t>30/01/2025</t>
  </si>
  <si>
    <t>29/01/2026</t>
  </si>
  <si>
    <t>522</t>
  </si>
  <si>
    <t>INGENIERIA CONSTRUCCION Y MANTENIMIENTO INDUSTRIAL Y MINERO, S.A. DE C.V</t>
  </si>
  <si>
    <t>ICM191004983</t>
  </si>
  <si>
    <t>MX09D77250213</t>
  </si>
  <si>
    <t>521</t>
  </si>
  <si>
    <t>MX09L77240952</t>
  </si>
  <si>
    <t>10/10/2025</t>
  </si>
  <si>
    <t>488</t>
  </si>
  <si>
    <t>JESUS CECEÑAS SALAZAR (SJ)</t>
  </si>
  <si>
    <t>CESJ711217DF9</t>
  </si>
  <si>
    <t>MX09L77251040</t>
  </si>
  <si>
    <t>489</t>
  </si>
  <si>
    <t>MX09R177250479</t>
  </si>
  <si>
    <t>16/05/2026</t>
  </si>
  <si>
    <t>491</t>
  </si>
  <si>
    <t>MX09R277250615</t>
  </si>
  <si>
    <t>14/05/2027</t>
  </si>
  <si>
    <t>523</t>
  </si>
  <si>
    <t>JESUS OSCAR HIDALGO BUENROSTRO 
SIMCO</t>
  </si>
  <si>
    <t>HIBJ83062824A</t>
  </si>
  <si>
    <t>MX09L77240310</t>
  </si>
  <si>
    <t>09/01/2024</t>
  </si>
  <si>
    <t>517</t>
  </si>
  <si>
    <t>JORGE CASTRO VALLES</t>
  </si>
  <si>
    <t>CAVJ680813NI5</t>
  </si>
  <si>
    <t>MX09R377250643</t>
  </si>
  <si>
    <t>14/05/2026</t>
  </si>
  <si>
    <t>518</t>
  </si>
  <si>
    <t>JORGE LUIS BUENROSTRO SALAS</t>
  </si>
  <si>
    <t>BUSJ000304G99</t>
  </si>
  <si>
    <t>MX09D77240220</t>
  </si>
  <si>
    <t>07/01/2024</t>
  </si>
  <si>
    <t>492</t>
  </si>
  <si>
    <t>LOGISTIK GRUPO ALPEZ, S. DE R.L. DE C.V.,</t>
  </si>
  <si>
    <t>LGA1007226E9</t>
  </si>
  <si>
    <t>MX09R177240895</t>
  </si>
  <si>
    <t>21/11/2024</t>
  </si>
  <si>
    <t>20/11/2025</t>
  </si>
  <si>
    <t>514</t>
  </si>
  <si>
    <t>MAQUINADOS Y SERVICIOS CICLOPE, S.A. DE C.V.</t>
  </si>
  <si>
    <t>MX09L77240637</t>
  </si>
  <si>
    <t>513</t>
  </si>
  <si>
    <t>MX09L77240772</t>
  </si>
  <si>
    <t>18/03/2024</t>
  </si>
  <si>
    <t>516</t>
  </si>
  <si>
    <t>MASTER  DRILLING MEXICO, S.A. DE C.V.</t>
  </si>
  <si>
    <t>MDM050525E20</t>
  </si>
  <si>
    <t>MX09L77230581</t>
  </si>
  <si>
    <t>06/05/2024</t>
  </si>
  <si>
    <t>515</t>
  </si>
  <si>
    <t>MX09L77230636</t>
  </si>
  <si>
    <t>493</t>
  </si>
  <si>
    <t>MAYA PROTECCION PERSONAL</t>
  </si>
  <si>
    <t>494</t>
  </si>
  <si>
    <t>MOUNTAR, S.A.P.I. DE C.V.</t>
  </si>
  <si>
    <t>MX09 L 77 24 0191</t>
  </si>
  <si>
    <t>495</t>
  </si>
  <si>
    <t>REYSABAT, S.A. DE C.V.,</t>
  </si>
  <si>
    <t>REY130808E33</t>
  </si>
  <si>
    <t>MX09R277250711</t>
  </si>
  <si>
    <t>496</t>
  </si>
  <si>
    <t>MX09R277251047</t>
  </si>
  <si>
    <t>09/07/2025</t>
  </si>
  <si>
    <t>09/07/2026</t>
  </si>
  <si>
    <t>497</t>
  </si>
  <si>
    <t>RODAMSAT 
INFORMATICA Y TELECOMUNICACIONES, S.A. DE C.V.</t>
  </si>
  <si>
    <t>RIT090511P70</t>
  </si>
  <si>
    <t>MX09L99240014</t>
  </si>
  <si>
    <t>498</t>
  </si>
  <si>
    <t>SANDVIK MINING AND CONSTRUCTION DE MEXICO, S.A. DE C.V.</t>
  </si>
  <si>
    <t>SMC960216CX9</t>
  </si>
  <si>
    <t>MX09E77240331</t>
  </si>
  <si>
    <t>500</t>
  </si>
  <si>
    <t>SERVICIOS INDUSTRIALES FAFACI, S.A. DE C.V.,</t>
  </si>
  <si>
    <t>SIF1012162S0</t>
  </si>
  <si>
    <t>MX09L77250100</t>
  </si>
  <si>
    <t>24/11/2025</t>
  </si>
  <si>
    <t>501</t>
  </si>
  <si>
    <t>SISMELP S.A. DE C.V.</t>
  </si>
  <si>
    <t>SIS1811099J3</t>
  </si>
  <si>
    <t>T 77OP 754 5</t>
  </si>
  <si>
    <t>505</t>
  </si>
  <si>
    <t>TECMIN SERVICIOS S.A DE C.V.</t>
  </si>
  <si>
    <t>SAPM490318TR8</t>
  </si>
  <si>
    <t>MX09L77250157</t>
  </si>
  <si>
    <t>09/09/2026</t>
  </si>
  <si>
    <t>506</t>
  </si>
  <si>
    <t>MX09R192250876</t>
  </si>
  <si>
    <t>509</t>
  </si>
  <si>
    <t>TRANSPORTADORA JUSA S.A. DE C.V.</t>
  </si>
  <si>
    <t>TJU0506082N9</t>
  </si>
  <si>
    <t>MX09L77250986</t>
  </si>
  <si>
    <t>508</t>
  </si>
  <si>
    <t>TRUCK DRILL MACHINES, S.A. DE C.V.</t>
  </si>
  <si>
    <t>MX09L77250215</t>
  </si>
  <si>
    <t>10/05/2025</t>
  </si>
  <si>
    <t>09/05/2026</t>
  </si>
  <si>
    <t>507</t>
  </si>
  <si>
    <t>MX09L77251318</t>
  </si>
  <si>
    <t>15/09/2026</t>
  </si>
  <si>
    <t>519</t>
  </si>
  <si>
    <t>TUMBES Y DESARROLLOS MINEROS</t>
  </si>
  <si>
    <t>ORT180123GT8</t>
  </si>
  <si>
    <t>MX09L77240329</t>
  </si>
  <si>
    <t>21/02/2025</t>
  </si>
  <si>
    <t>20/02/2026</t>
  </si>
  <si>
    <t>512</t>
  </si>
  <si>
    <t>VICTOR  HUGO SANCHEZ NUÑEZ (SERMEPM)</t>
  </si>
  <si>
    <t>SANV871025LL2</t>
  </si>
  <si>
    <t>MX09 L 77 22 0605</t>
  </si>
  <si>
    <t>31/10/2024</t>
  </si>
  <si>
    <t>31/10/2026</t>
  </si>
  <si>
    <t>511</t>
  </si>
  <si>
    <t>MX09L77220626</t>
  </si>
  <si>
    <t>569</t>
  </si>
  <si>
    <t>CG NORTHERN MINING INFRAESTRUCTURE SA DE CV</t>
  </si>
  <si>
    <t>CNM1603071R5</t>
  </si>
  <si>
    <t>MX09L59250097</t>
  </si>
  <si>
    <t>526</t>
  </si>
  <si>
    <t>Carmina Manuela Ayala Arzola</t>
  </si>
  <si>
    <t>AAAC68102984A</t>
  </si>
  <si>
    <t>MX09D59250736</t>
  </si>
  <si>
    <t>30/06/2028</t>
  </si>
  <si>
    <t>527</t>
  </si>
  <si>
    <t>MX09L59251045</t>
  </si>
  <si>
    <t>25/05/2026</t>
  </si>
  <si>
    <t>528</t>
  </si>
  <si>
    <t>Cau, Sa de CV</t>
  </si>
  <si>
    <t>A40-67499-10-3</t>
  </si>
  <si>
    <t>MX09D59240742</t>
  </si>
  <si>
    <t>532</t>
  </si>
  <si>
    <t>ELVIRA GAMEZ RODRIGUEZ</t>
  </si>
  <si>
    <t>GARE750105ND1</t>
  </si>
  <si>
    <t>C 59 DI 257 5</t>
  </si>
  <si>
    <t>533</t>
  </si>
  <si>
    <t>MX09L59240657</t>
  </si>
  <si>
    <t>03/01/2025</t>
  </si>
  <si>
    <t>20/12/2025</t>
  </si>
  <si>
    <t>536</t>
  </si>
  <si>
    <t>Grupo Constructor Leravi Sa De Cv</t>
  </si>
  <si>
    <t>MX09 L59220118</t>
  </si>
  <si>
    <t>16/07/2022</t>
  </si>
  <si>
    <t>574</t>
  </si>
  <si>
    <t>ISEDSA INGENIERÍA Y SERVICIOS ELÉCTRICOS DE DURANGO, S.A. DE C.V.</t>
  </si>
  <si>
    <t>B2662985103</t>
  </si>
  <si>
    <t>MX09L59250871</t>
  </si>
  <si>
    <t>540</t>
  </si>
  <si>
    <t>Ingenieria y obras hidraulicas SA DE CV</t>
  </si>
  <si>
    <t>IOH000316IM0</t>
  </si>
  <si>
    <t>C 59 94 257 3</t>
  </si>
  <si>
    <t>25/10/2023</t>
  </si>
  <si>
    <t>546</t>
  </si>
  <si>
    <t>JULIO CESAR ARROYO TERRAZAS</t>
  </si>
  <si>
    <t>AOT J6505016TA</t>
  </si>
  <si>
    <t>MX09L59240304</t>
  </si>
  <si>
    <t>542</t>
  </si>
  <si>
    <t>Jace industrial sa de cv</t>
  </si>
  <si>
    <t>JIN2108246V1</t>
  </si>
  <si>
    <t>MX09L59250673</t>
  </si>
  <si>
    <t>24/06/2025</t>
  </si>
  <si>
    <t>30/01/2026</t>
  </si>
  <si>
    <t>544</t>
  </si>
  <si>
    <t>Jose Ramirez Grajeda</t>
  </si>
  <si>
    <t>RAGJ7103199K9</t>
  </si>
  <si>
    <t>MX09R259240019</t>
  </si>
  <si>
    <t>15/09/2023</t>
  </si>
  <si>
    <t>565</t>
  </si>
  <si>
    <t>KENYA VIANEY RIVAS VELAZQUEZ</t>
  </si>
  <si>
    <t>RIVK980127K99</t>
  </si>
  <si>
    <t>MX09L59240750</t>
  </si>
  <si>
    <t>564</t>
  </si>
  <si>
    <t>MX09L59240951</t>
  </si>
  <si>
    <t>567</t>
  </si>
  <si>
    <t>MARCO ANTONIO MELENDEZ PIÑON</t>
  </si>
  <si>
    <t>MEPM770921SW9</t>
  </si>
  <si>
    <t>C 59 DI 256 5</t>
  </si>
  <si>
    <t>553</t>
  </si>
  <si>
    <t>MUÑOZ FAVA MA DE LOURDES</t>
  </si>
  <si>
    <t>MX09R59240792</t>
  </si>
  <si>
    <t>15/12/2026</t>
  </si>
  <si>
    <t>549</t>
  </si>
  <si>
    <t>Maple Transportes y servicios sa de cv</t>
  </si>
  <si>
    <t>MTS110406KJ1</t>
  </si>
  <si>
    <t>MX09L59230246</t>
  </si>
  <si>
    <t>12/07/2023</t>
  </si>
  <si>
    <t>550</t>
  </si>
  <si>
    <t>Minpro sa de cv</t>
  </si>
  <si>
    <t>MIN080527KE4</t>
  </si>
  <si>
    <t>MX09R159250745</t>
  </si>
  <si>
    <t>30/04/2027</t>
  </si>
  <si>
    <t>554</t>
  </si>
  <si>
    <t>PS NOUS SA DE CV</t>
  </si>
  <si>
    <t>PNO110722CA1</t>
  </si>
  <si>
    <t>T 59 89 757 4</t>
  </si>
  <si>
    <t>555</t>
  </si>
  <si>
    <t>Ricardo Hernandez</t>
  </si>
  <si>
    <t>HECR690406NZ6</t>
  </si>
  <si>
    <t>MX09D59250748</t>
  </si>
  <si>
    <t>570</t>
  </si>
  <si>
    <t>SERVICIOS ALIMENTICIOS ARBEM, S.A. DE C.V.,</t>
  </si>
  <si>
    <t>SAA1512025Q4</t>
  </si>
  <si>
    <t>MX09L59240281</t>
  </si>
  <si>
    <t>559</t>
  </si>
  <si>
    <t>SVI Librady Ramirez Giraldo</t>
  </si>
  <si>
    <t>RAGS880108UZ9</t>
  </si>
  <si>
    <t>MX09R59240731</t>
  </si>
  <si>
    <t>14/12/2024</t>
  </si>
  <si>
    <t>14/12/2026</t>
  </si>
  <si>
    <t>557</t>
  </si>
  <si>
    <t>Saul Gerardo Guevara Quiñonez</t>
  </si>
  <si>
    <t>GQS850515EH9</t>
  </si>
  <si>
    <t>T99867542</t>
  </si>
  <si>
    <t>563</t>
  </si>
  <si>
    <t>TRUCK DRILL MACHINES SA DE CV</t>
  </si>
  <si>
    <t>H0126508102</t>
  </si>
  <si>
    <t>MX09L59250747</t>
  </si>
  <si>
    <t>562</t>
  </si>
  <si>
    <t>MX09R159250720</t>
  </si>
  <si>
    <t>07/05/2025</t>
  </si>
  <si>
    <t>06/05/2026</t>
  </si>
  <si>
    <t>560</t>
  </si>
  <si>
    <t>Taller industrial Coinso sa de cv</t>
  </si>
  <si>
    <t>TIC1101242Z1</t>
  </si>
  <si>
    <t>C 59 89 251 4</t>
  </si>
  <si>
    <t>561</t>
  </si>
  <si>
    <t>Tecmin SA de CV</t>
  </si>
  <si>
    <t>MX09R199250140</t>
  </si>
  <si>
    <t>Descripcion Breve De Las Actividades</t>
  </si>
  <si>
    <t>Gerencia</t>
  </si>
  <si>
    <t>Área de trabajo</t>
  </si>
  <si>
    <t>Clasificación Corta</t>
  </si>
  <si>
    <t>Contratistas Permanentes</t>
  </si>
  <si>
    <t>Contratistas Eventuales</t>
  </si>
  <si>
    <t>Contratistas Proyectos De Expansión</t>
  </si>
  <si>
    <t>Total De Plazas</t>
  </si>
  <si>
    <t xml:space="preserve">Total De Trabajadores </t>
  </si>
  <si>
    <t>MUJER</t>
  </si>
  <si>
    <t>HOMBRE</t>
  </si>
  <si>
    <t>47</t>
  </si>
  <si>
    <t>MX09 L 39 24 0272</t>
  </si>
  <si>
    <t>Servicios especializados, referentes al mantenimiento a las instalaciones y equipos, principalmente por seguridad al ademe de la mina, barrenacion, desarrollo y servicios  así como vigilancia de instalaciones</t>
  </si>
  <si>
    <t>Gerencia Proyecto</t>
  </si>
  <si>
    <t>Angangueo</t>
  </si>
  <si>
    <t>General Operaciones y Servicios</t>
  </si>
  <si>
    <t>15/07/2025</t>
  </si>
  <si>
    <t>333</t>
  </si>
  <si>
    <t>MX08R234240015</t>
  </si>
  <si>
    <t>REPARACIÓN GENERAL Y BLINDAJE DE CAJAS DE CAMIONES DE ACARREO Y BOTES DE PALAS DE TAJO MINA A CAJAS DE CAMIONES; 797F, 930E, MT4400, 960 ASI COMO BOTES DE PALA P&amp;H DE DIFERENTES CAPACIDADES, EN OMIMSA</t>
  </si>
  <si>
    <t>MINA MANTENIMIENTO</t>
  </si>
  <si>
    <t>TALLER</t>
  </si>
  <si>
    <t>Mina</t>
  </si>
  <si>
    <t>16/01/2024</t>
  </si>
  <si>
    <t>356</t>
  </si>
  <si>
    <t>Saul Abraham Saavedra Maytorena</t>
  </si>
  <si>
    <t>MX08L34250764</t>
  </si>
  <si>
    <t>IMPERMEABILIZACIÓN, REPARACIONES EN PISO Y CAMBIO DE LOSETA VINILICA EN OFICINAS DEL SISTEMA DE GESTION EN OMIMSA, CANANEA, SONORA</t>
  </si>
  <si>
    <t>INGENIERIA DE PLANTAS</t>
  </si>
  <si>
    <t>VARIAS AREAS</t>
  </si>
  <si>
    <t>27/06/2025</t>
  </si>
  <si>
    <t>8</t>
  </si>
  <si>
    <t>CG Northern Mining Infraestructure, S.A. de C.V.</t>
  </si>
  <si>
    <t>T44557545</t>
  </si>
  <si>
    <t>Rehabilitación y profundización del Tiro San Bartolo</t>
  </si>
  <si>
    <t>Ingenieria y Construcción</t>
  </si>
  <si>
    <t>Interior Mina</t>
  </si>
  <si>
    <t>Ingeniería y Construcción</t>
  </si>
  <si>
    <t>15</t>
  </si>
  <si>
    <t>Estructuras y Mantenimiento MOVA,  S.A. de C.V.</t>
  </si>
  <si>
    <t>EMM200416QF5</t>
  </si>
  <si>
    <t>MX09L44240318</t>
  </si>
  <si>
    <t>Retiro e instalación de tolva</t>
  </si>
  <si>
    <t>Ingeniería de Plantas</t>
  </si>
  <si>
    <t>05/12/2024</t>
  </si>
  <si>
    <t>Servicio especializado de protección, custodia, vigilancia y seguridad integral para resguardo de bienes y controles de acceso a instalaciones.</t>
  </si>
  <si>
    <t>Recursos Humanos</t>
  </si>
  <si>
    <t>Otros</t>
  </si>
  <si>
    <t>20</t>
  </si>
  <si>
    <t>MX09D44251158</t>
  </si>
  <si>
    <t>Mantenimiento general a cuarto electrico Site.</t>
  </si>
  <si>
    <t>Tecnologias de la Infomación</t>
  </si>
  <si>
    <t>Site</t>
  </si>
  <si>
    <t>Tecnologías de la Información</t>
  </si>
  <si>
    <t>23</t>
  </si>
  <si>
    <t>IEYCSA INGENIERIA ELECTRICA Y CIVIL S.A.S. DE C.V</t>
  </si>
  <si>
    <t>IIE220408RZG</t>
  </si>
  <si>
    <t>C44DI7535</t>
  </si>
  <si>
    <t>Obra eléctrica en áreas</t>
  </si>
  <si>
    <t>11/08/2026</t>
  </si>
  <si>
    <t>25</t>
  </si>
  <si>
    <t>Maria Josefina Ibarra López</t>
  </si>
  <si>
    <t>IALJ770319G94</t>
  </si>
  <si>
    <t>MX09R244240486</t>
  </si>
  <si>
    <t>Servicio de Hospedaje y Alimentación</t>
  </si>
  <si>
    <t>31/08/2025</t>
  </si>
  <si>
    <t>32</t>
  </si>
  <si>
    <t>Tecnología Avanzada en Bandas, S.A de C.V.</t>
  </si>
  <si>
    <t>TAB0208207K3</t>
  </si>
  <si>
    <t>MX09L44240102</t>
  </si>
  <si>
    <t>Servicio de vulcanizado de bandas en Planta de Beneficio.</t>
  </si>
  <si>
    <t>Operación</t>
  </si>
  <si>
    <t>Planta de Beneficio</t>
  </si>
  <si>
    <t>20/05/2024</t>
  </si>
  <si>
    <t>46</t>
  </si>
  <si>
    <t>MEXICANA DEL ARCO</t>
  </si>
  <si>
    <t>MX09 A1 94 23 0500</t>
  </si>
  <si>
    <t>Servicios especializados para la operación de desarrollo comunitario de las diferentes propiedades IMMSA</t>
  </si>
  <si>
    <t>Gerencia Casa Grande</t>
  </si>
  <si>
    <t>El Aco. B.C.</t>
  </si>
  <si>
    <t>Sustentabilidad</t>
  </si>
  <si>
    <t>19/01/2024</t>
  </si>
  <si>
    <t>51</t>
  </si>
  <si>
    <t>MX09D94250224</t>
  </si>
  <si>
    <t>Servicios especializados para la administración de proyecto el Arco.</t>
  </si>
  <si>
    <t>06/04/2025</t>
  </si>
  <si>
    <t>06/04/2026</t>
  </si>
  <si>
    <t>Servicios especializados mantenimiento áreas verdes y jardines</t>
  </si>
  <si>
    <t>Gerencia de Estación Santiago</t>
  </si>
  <si>
    <t>Estación Santiago</t>
  </si>
  <si>
    <t>57</t>
  </si>
  <si>
    <t>Aiscor Ingenieros, S.A DE C.V.</t>
  </si>
  <si>
    <t>AIN190314HWA</t>
  </si>
  <si>
    <t>MX06L53240271</t>
  </si>
  <si>
    <t>Reparacion de vialidades y accesos de metalurgica de cobre y en la poblacionde esqyeda</t>
  </si>
  <si>
    <t>Ingenieria de Plantas</t>
  </si>
  <si>
    <t>Complejo Metalurgico y Esqueda,sonora</t>
  </si>
  <si>
    <t>28/08/2024</t>
  </si>
  <si>
    <t>56</t>
  </si>
  <si>
    <t>Alianzas y Servicios Integrados, S.A. DE C.V.</t>
  </si>
  <si>
    <t>ASI040802CM8</t>
  </si>
  <si>
    <t>AE698480-0105</t>
  </si>
  <si>
    <t>Recepcion y chequeo de lineas transportistas de carga de diferentes localidades</t>
  </si>
  <si>
    <t>Trafico</t>
  </si>
  <si>
    <t>60</t>
  </si>
  <si>
    <t>Comation, S.A. DE C.V.</t>
  </si>
  <si>
    <t>COM170717EK0</t>
  </si>
  <si>
    <t>MX06E53251059</t>
  </si>
  <si>
    <t>Mantenimiento mayor a brazo de robot para los sistemas de muestreo en gondolas y camiones</t>
  </si>
  <si>
    <t>Mnatenimiento Instrumentacion</t>
  </si>
  <si>
    <t>muestreo y manejo de materiales</t>
  </si>
  <si>
    <t>61</t>
  </si>
  <si>
    <t>MX06R153251355</t>
  </si>
  <si>
    <t>Limpieza de inmuebles en las colonias del complejo metalurgico la caridad, en esqueda,sonora</t>
  </si>
  <si>
    <t>servicio al personal</t>
  </si>
  <si>
    <t>Colonias Esqueda</t>
  </si>
  <si>
    <t>04/09/2025</t>
  </si>
  <si>
    <t>05/09/2026</t>
  </si>
  <si>
    <t>65</t>
  </si>
  <si>
    <t>MX06L53240381</t>
  </si>
  <si>
    <t>Reposicion de lozas de concreto en mal estado en area 25 de nave principal, a base de concreto reforzado y proteccion de superficie con placa de acero y rieles de FFC.</t>
  </si>
  <si>
    <t>Nave Fundiciona area 25</t>
  </si>
  <si>
    <t>79</t>
  </si>
  <si>
    <t>David Rafael Marquez Ochoa</t>
  </si>
  <si>
    <t>MAOD7901146BA</t>
  </si>
  <si>
    <t>MX06R153250191</t>
  </si>
  <si>
    <t>Mantenimiento preventivo a equipos de computo, metalurgica de cobre, escuelas CEC, oficinas de servicios y casa grande</t>
  </si>
  <si>
    <t>Tecnologias de información</t>
  </si>
  <si>
    <t>metalurgica de cobre en nacozari, escuela cec, oficinas servicios y casa grande en esqueda.</t>
  </si>
  <si>
    <t>89</t>
  </si>
  <si>
    <t>Global Standards,S.C.</t>
  </si>
  <si>
    <t>GST080421UT4</t>
  </si>
  <si>
    <t>MX06D53230291</t>
  </si>
  <si>
    <t>Cerfificacions en ISO 45001:2018; ISO14001:2015 E ISO 9001:2015 y auditoria en seguimiento al sistema de gestion del complejo metalurgico</t>
  </si>
  <si>
    <t>Calidad e ingenieria de procesos</t>
  </si>
  <si>
    <t>complejo metalurgico</t>
  </si>
  <si>
    <t>22/07/2027</t>
  </si>
  <si>
    <t>92</t>
  </si>
  <si>
    <t>Innovacion y administración de ti s de r.l. de c.v.</t>
  </si>
  <si>
    <t>MX06R253250921</t>
  </si>
  <si>
    <t>Soporte técnico y mantenimiento a equipos de computo en sitio</t>
  </si>
  <si>
    <t>Gerencia de Sistemas</t>
  </si>
  <si>
    <t>Sistemas</t>
  </si>
  <si>
    <t>95</t>
  </si>
  <si>
    <t>MX06L53241036</t>
  </si>
  <si>
    <t>Suministro y colocacion de asilamiento termico en ductos, equipos y tuberias de planta de acido, equipo de proceso , servicios auxiliares y Nave Fundicion.</t>
  </si>
  <si>
    <t>mantenimiento planeacion</t>
  </si>
  <si>
    <t>planta de acido, equipo de proceso , servicios auxiliares y nave fundicion</t>
  </si>
  <si>
    <t>114</t>
  </si>
  <si>
    <t>Majofer Construcciones, S.A. DE C.V.</t>
  </si>
  <si>
    <t>MCO131220UEA</t>
  </si>
  <si>
    <t>MX06L53240737</t>
  </si>
  <si>
    <t>Rehabilitacion general de edificio colectivos en colonia tajo</t>
  </si>
  <si>
    <t>Colonia Tajo</t>
  </si>
  <si>
    <t>13/09/2025</t>
  </si>
  <si>
    <t>127</t>
  </si>
  <si>
    <t>MX06R153240220</t>
  </si>
  <si>
    <t>Alimentacion para personal sindicalizado soltros que habitan en edificios henros, nacozari de garcia</t>
  </si>
  <si>
    <t>henros, nacozari de garcia</t>
  </si>
  <si>
    <t>01/06/2024</t>
  </si>
  <si>
    <t>128</t>
  </si>
  <si>
    <t>Plastimarmol, S.A. DE C.V.</t>
  </si>
  <si>
    <t>MX06R53251362</t>
  </si>
  <si>
    <t>reparacion de equipos, tuberias y ductos de fibra de vidrio en area de acondicionamiento de gases de la planta de acido # 1, durante paro anualHDI-CT 2025</t>
  </si>
  <si>
    <t>planta de acido # 1</t>
  </si>
  <si>
    <t>129</t>
  </si>
  <si>
    <t>MX06L53240365</t>
  </si>
  <si>
    <t>Reparacion e pisos antiacidos y aplicación de productos anticorrosivos en el area de planta de acido 1 y 2</t>
  </si>
  <si>
    <t>Mantenimiento plantas</t>
  </si>
  <si>
    <t>planta de acido 1 y 2</t>
  </si>
  <si>
    <t>137</t>
  </si>
  <si>
    <t>MX06R53250584</t>
  </si>
  <si>
    <t>Reparacion y manteniminto s equipos de refigeracion del comaplejo metalurgico</t>
  </si>
  <si>
    <t>complejo mtalurgico</t>
  </si>
  <si>
    <t>139</t>
  </si>
  <si>
    <t>MX06L51230446</t>
  </si>
  <si>
    <t>manejo,recoleccio,transporte y disposicion final, según corresponda, de residuos de la terminal maritima de guaymas</t>
  </si>
  <si>
    <t>Ecologia y Medio Ambiente</t>
  </si>
  <si>
    <t>Unidad Maritima de Guaymas</t>
  </si>
  <si>
    <t>27/11/2023</t>
  </si>
  <si>
    <t>27/11/2025</t>
  </si>
  <si>
    <t>145</t>
  </si>
  <si>
    <t>MX06L51240756</t>
  </si>
  <si>
    <t>Trabajos electrico de fuerza ycontrol para la isntalacion de la tapa de la boca del horno de afino # 01, del sistema de gases.</t>
  </si>
  <si>
    <t>Afino y Moldeo</t>
  </si>
  <si>
    <t>158</t>
  </si>
  <si>
    <t>MZ06R353251206</t>
  </si>
  <si>
    <t>Coordinacion deportiva en instalaciones de colonia valle, esqueda</t>
  </si>
  <si>
    <t>Col. Valle, Esqueda</t>
  </si>
  <si>
    <t>27/08/2026</t>
  </si>
  <si>
    <t>163</t>
  </si>
  <si>
    <t>MXL06L53240360</t>
  </si>
  <si>
    <t>Mantenimiento civil, electrico, preventivo y correctivo en las colonias valle, bajio, lomas altas 1 y 2, asi como mantenimiento de areas verdes, del complejo metalurgico la caridad en nacozari de garcia ,sonora</t>
  </si>
  <si>
    <t>Gerencia de Servicios</t>
  </si>
  <si>
    <t>Servicios Esqueda</t>
  </si>
  <si>
    <t>08/11/2025</t>
  </si>
  <si>
    <t>375</t>
  </si>
  <si>
    <t>Basf Mexicana, S.A. De C.V.</t>
  </si>
  <si>
    <t>OQU170812RJ4</t>
  </si>
  <si>
    <t>4100537805-M200-M23-Z13</t>
  </si>
  <si>
    <t>Suministro de floculante para recuperacion de agua en espesadores de colas en concentradora</t>
  </si>
  <si>
    <t>Concentradora</t>
  </si>
  <si>
    <t>Laboratorio</t>
  </si>
  <si>
    <t>09/12/2022</t>
  </si>
  <si>
    <t>380</t>
  </si>
  <si>
    <t>Comercio Y Servicio Electromecanico, S.A. de C.V.</t>
  </si>
  <si>
    <t>C52502515</t>
  </si>
  <si>
    <t>Obra electrica para filtro LAROX del proyecto recuperacion de molibdeno ultrafinos</t>
  </si>
  <si>
    <t>Nuevos Proyectos</t>
  </si>
  <si>
    <t>Planta de Molibdeno</t>
  </si>
  <si>
    <t>384</t>
  </si>
  <si>
    <t>C52502525</t>
  </si>
  <si>
    <t>Obra Mecanica para el filtro larox del proyecto recuperacion de molibdeno ultrafinos</t>
  </si>
  <si>
    <t>17/03/2025</t>
  </si>
  <si>
    <t>378</t>
  </si>
  <si>
    <t>Corescan, S.A. de C.V.</t>
  </si>
  <si>
    <t>COR1702159E6</t>
  </si>
  <si>
    <t>MX06L52240676</t>
  </si>
  <si>
    <t>Laboratorio para analisis de espectroscopia de reflectancia, adquisicion de datos hiperespectrales en 7,000 metros de nucleo de barrenacion del proyecto bella union, del complejo minero la caridad, ubicado en Nacozari de Garcia, Sonora</t>
  </si>
  <si>
    <t>Bella Union</t>
  </si>
  <si>
    <t>16/03/2025</t>
  </si>
  <si>
    <t>389</t>
  </si>
  <si>
    <t>Dorsa Energy, S.A. de C.V.</t>
  </si>
  <si>
    <t>DEN211018I93</t>
  </si>
  <si>
    <t>MX06L52240664</t>
  </si>
  <si>
    <t>Suministro e instalacion de acometida y arrancador para alumbrado publico en colonias del complejo minero la caridad, ubicado en Nacozari de Garcia, Sonora</t>
  </si>
  <si>
    <t>Colonias</t>
  </si>
  <si>
    <t>03/05/2025</t>
  </si>
  <si>
    <t>391</t>
  </si>
  <si>
    <t>EPCM</t>
  </si>
  <si>
    <t>MX06D52240298</t>
  </si>
  <si>
    <t>Installation and support for copper cathode strapping sampling equipment at planta e.s.d.e. of the la caridad mining complex, located in nacozari de garcia, sonora</t>
  </si>
  <si>
    <t>ESDE</t>
  </si>
  <si>
    <t>21/10/2024</t>
  </si>
  <si>
    <t>392</t>
  </si>
  <si>
    <t>MX06L52250707</t>
  </si>
  <si>
    <t>Mantenimiento de bombas de piso, limpieza de pisos, pasillos, túneles cunetas, canales de desagüe, principalmente de las bandas transportadoras, pisos de plantas de trituración, cimbrado, molinos, flotación, filtros, molibdeno y exteriores de la planta concentradora del complejo minero la caridad, ubicado en nacozari de garcía, sonora</t>
  </si>
  <si>
    <t>07/01/2025</t>
  </si>
  <si>
    <t>06/07/2026</t>
  </si>
  <si>
    <t>394</t>
  </si>
  <si>
    <t>Frio Total, S.A. De C.V.</t>
  </si>
  <si>
    <t>MX06L51250589</t>
  </si>
  <si>
    <t>Suministro e instalación de equipos de aires acondicionados para area de concentradora del complejo minero la caridad, ubicado en nacozari de garcia, sonora</t>
  </si>
  <si>
    <t>396</t>
  </si>
  <si>
    <t>Gabriela Garcia Ruiz</t>
  </si>
  <si>
    <t>GARG800613JH0</t>
  </si>
  <si>
    <t>MX06D51240977</t>
  </si>
  <si>
    <t>Construcción de almacen de nucleos en el complejo minero la caridad, ubicado en nacozari de garcia, sonora</t>
  </si>
  <si>
    <t>30/05/2025</t>
  </si>
  <si>
    <t>402</t>
  </si>
  <si>
    <t>MX06L51240480</t>
  </si>
  <si>
    <t>Construccion de taller para reparacion de catodos en planta esde, del complejo minero la caridad, ubicado en Nacozari de Garcia, Sonora</t>
  </si>
  <si>
    <t>400</t>
  </si>
  <si>
    <t>MX06L52240421</t>
  </si>
  <si>
    <t>Construcción de losas de concreto en área de maniobras de planta de cal de concentradora, del complejo minero la caridad, en nacozari de garcía, sonora</t>
  </si>
  <si>
    <t>26/11/2024</t>
  </si>
  <si>
    <t>25/12/2025</t>
  </si>
  <si>
    <t>Obra civil para la construcción, rehabilitación y mantenimiento de naves industriales y edificios de las diferentes áreas del complejo minero la caridad, ubicado en nacozari de garcía, sonora;</t>
  </si>
  <si>
    <t>397</t>
  </si>
  <si>
    <t>Grupo Selome, S.A. De C.V.</t>
  </si>
  <si>
    <t>GSC900317QF9</t>
  </si>
  <si>
    <t>MX06D52250893</t>
  </si>
  <si>
    <t>Reforestación de 100 hectáreas para cumplimiento de compensación ambiental de mina la caridad, ubicada en nacozari de garcía, sonora</t>
  </si>
  <si>
    <t>Viveros</t>
  </si>
  <si>
    <t>09/04/2026</t>
  </si>
  <si>
    <t>406</t>
  </si>
  <si>
    <t>MX06L52250465</t>
  </si>
  <si>
    <t>Medición de los valores de tierras de la red de tierras del complejo minero la caridad, ubicado en nacozari de garcia, sonora.</t>
  </si>
  <si>
    <t>407</t>
  </si>
  <si>
    <t>Innovación Y Administración De TI, S. de R.L. de C.V.</t>
  </si>
  <si>
    <t>MX06R252250915</t>
  </si>
  <si>
    <t>Soporte especializado en sitio, para garantizar el nivel de servicio, atendiendo en tiempo y forma a los usuarios que hayan sido canalizados por la mesa de servicio para la atención de incidentes de hardware y software</t>
  </si>
  <si>
    <t>TE</t>
  </si>
  <si>
    <t>Todas</t>
  </si>
  <si>
    <t>411</t>
  </si>
  <si>
    <t>MX06R852240733</t>
  </si>
  <si>
    <t>Mantenimiento preventivo y correctivo a equipos marca komatsu-dresser, del complejo minero la caridad, ubicado en nacozari de garcia, sonora</t>
  </si>
  <si>
    <t>Mantenimiento</t>
  </si>
  <si>
    <t>12/01/2028</t>
  </si>
  <si>
    <t>415</t>
  </si>
  <si>
    <t>Metal Master Industrial, S.A. de C.V.</t>
  </si>
  <si>
    <t>MX06L52240456</t>
  </si>
  <si>
    <t>Reparación de diferentes componentes menores para el cambio de blindaje de cuerpo y cabezales de alimentación y descarga de molinos primarios, del complejo minero la caridad, ubicado en nacozari de garcía, sonora</t>
  </si>
  <si>
    <t>10/10/2024</t>
  </si>
  <si>
    <t>418</t>
  </si>
  <si>
    <t>Multisistemas De Seguridad Del Noroeste, S.A. De C.V.</t>
  </si>
  <si>
    <t>Vigilancia</t>
  </si>
  <si>
    <t>419</t>
  </si>
  <si>
    <t>Multisistemas De Seguridad Del Valle De México, S.A. De C.V.</t>
  </si>
  <si>
    <t>416</t>
  </si>
  <si>
    <t>México Compañia Constructora, S.A. de C.V.</t>
  </si>
  <si>
    <t>MCO850417HKA</t>
  </si>
  <si>
    <t>MX06L51251152</t>
  </si>
  <si>
    <t>Construcción de bordos dentro del vaso de la presa de jales para deposito y/o almacenamiento de jales no. 7, de secciones geometricas variables segun las necesidades de operacion, en el complejo minero la caridad, ubicado en nacozari de garcía, sonora.</t>
  </si>
  <si>
    <t>Ing. De Plantas</t>
  </si>
  <si>
    <t>Presa 7</t>
  </si>
  <si>
    <t>422</t>
  </si>
  <si>
    <t>PCV960213H17</t>
  </si>
  <si>
    <t>Construcción de bordos dentro del vaso de la presa de jales para deposito y almacenamiento de jales no. 7 de secciones geométricas variables según las necesidades de operación del complejo minero la caridad, ubicado en nacozari de garcía, sonora.</t>
  </si>
  <si>
    <t>423</t>
  </si>
  <si>
    <t>424</t>
  </si>
  <si>
    <t>Quimica Apollo, S.A. de C.V.</t>
  </si>
  <si>
    <t>4100553026</t>
  </si>
  <si>
    <t>Monitoreo de dosificacion de Biocida TA-822 A y revisar el residual de producto</t>
  </si>
  <si>
    <t>08/03/2023</t>
  </si>
  <si>
    <t>425</t>
  </si>
  <si>
    <t>Química Teuton, S.A. de C.V.</t>
  </si>
  <si>
    <t>QTE8804189G9</t>
  </si>
  <si>
    <t>M200-10948655-3-4000317</t>
  </si>
  <si>
    <t>Evalucion de reactivos quimicos</t>
  </si>
  <si>
    <t>434</t>
  </si>
  <si>
    <t>Sistemas profesionales Novatel, S.A de C.V.</t>
  </si>
  <si>
    <t>SPN1705306J7</t>
  </si>
  <si>
    <t>MX06L52240126</t>
  </si>
  <si>
    <t>Instalación de fibra óptica y postería de cerro blanco a subestación, como proyecto de renovación y mejora de las comunicaciones en el complejo minero la caridad, ubicado en nacozari de garcía, sonora</t>
  </si>
  <si>
    <t>TI</t>
  </si>
  <si>
    <t>Varias</t>
  </si>
  <si>
    <t>05/06/2024</t>
  </si>
  <si>
    <t>06/05/2027</t>
  </si>
  <si>
    <t>439</t>
  </si>
  <si>
    <t>MX06L52220528</t>
  </si>
  <si>
    <t>Barrenación de 15,000 (quince mil) metros para exploración de molibdeno y lixiviable, en mina la caridad, del complejo minero la caridad, ubicado en nacozari de García, sonora</t>
  </si>
  <si>
    <t>Exploraciones</t>
  </si>
  <si>
    <t>436</t>
  </si>
  <si>
    <t>MX06L52240299</t>
  </si>
  <si>
    <t>Perforación de barrenos a diamante con controles de calidad (pq/hq), en bella unión del complejo minero la caridad, ubicado en nacozari de garcía, sonora</t>
  </si>
  <si>
    <t>26/08/2024</t>
  </si>
  <si>
    <t>09/10/2025</t>
  </si>
  <si>
    <t>443</t>
  </si>
  <si>
    <t>Verclem Equiqment And Services, S.A. De C.V.</t>
  </si>
  <si>
    <t>VES160701EC7</t>
  </si>
  <si>
    <t>MX06R152240183</t>
  </si>
  <si>
    <t>Retiro y colocación de zampeado en malas condiciones, así como el emboquillado del zampeado en las áreas que delimitan los trenes y áreas de electrodepositacion de planta esde, del complejo minero la caridad, ubicado en nacozari</t>
  </si>
  <si>
    <t>29/04/2024</t>
  </si>
  <si>
    <t>444</t>
  </si>
  <si>
    <t>Weir Minerals México Servicios, S.A. de C.V.</t>
  </si>
  <si>
    <t>WMM111011RA9</t>
  </si>
  <si>
    <t>C-14626-ON-20-S</t>
  </si>
  <si>
    <t>Servicio complementario para apoyo de la instalacion de materiales Linatex adquirido de la consignacion bajo conveio C-14626-ON-20</t>
  </si>
  <si>
    <t>Almacen</t>
  </si>
  <si>
    <t>167</t>
  </si>
  <si>
    <t>Protección Técnica Total, S.A. de C.V.</t>
  </si>
  <si>
    <t>PTT-910618-G49</t>
  </si>
  <si>
    <t>MX09R101251235</t>
  </si>
  <si>
    <t>Servicio de Seguridad y Vigilancia privada en insyalaciones de la Planta  Nueva Rosita ubicada en el Municipio de San Juan de Sabinas.</t>
  </si>
  <si>
    <t>Seguridad de Plantas</t>
  </si>
  <si>
    <t>Planta Nva. Rosita, Tajos y Predios</t>
  </si>
  <si>
    <t>0</t>
  </si>
  <si>
    <t>29/08/2026</t>
  </si>
  <si>
    <t>168</t>
  </si>
  <si>
    <t>SECONSA SERVICIOS ESPECIALIZADOS, S.A. DE C.V.</t>
  </si>
  <si>
    <t>SDO-070215-IX4</t>
  </si>
  <si>
    <t>MX09R101251326</t>
  </si>
  <si>
    <t>Servicio de mantenimiento de las instalaciones de la Planta Nueva Rosita.</t>
  </si>
  <si>
    <t>Planta Nueva Rosita</t>
  </si>
  <si>
    <t>01/09/2026</t>
  </si>
  <si>
    <t>169</t>
  </si>
  <si>
    <t>BVC</t>
  </si>
  <si>
    <t>CARLOS JESUS LERMA IRIGOYEN</t>
  </si>
  <si>
    <t>LEIC620619UH1</t>
  </si>
  <si>
    <t>C68922513</t>
  </si>
  <si>
    <t>SERVICIOS ESPECIALIZADOS TOPOGRAFIA NUEVO DEPOSITO DE JALES</t>
  </si>
  <si>
    <t>MINERA MEXICO S.A. DE C.V.</t>
  </si>
  <si>
    <t>NDJ</t>
  </si>
  <si>
    <t>170</t>
  </si>
  <si>
    <t>CARPO LOGISTICA</t>
  </si>
  <si>
    <t>CLO200715JUA</t>
  </si>
  <si>
    <t>C84072524</t>
  </si>
  <si>
    <t>COLOCACION DE BIOMANTA EN TALUDES CON GRAPAS PARA ANCLAJE</t>
  </si>
  <si>
    <t>PRESA 3</t>
  </si>
  <si>
    <t>171</t>
  </si>
  <si>
    <t>CIEPS CONSULTORES S.A. DE C.V.</t>
  </si>
  <si>
    <t>CCO850716R96</t>
  </si>
  <si>
    <t>C68922554</t>
  </si>
  <si>
    <t>SERVICIOS ESPECIALIZADOS RELATIVOS A LA RESIDENCIA Y SUPERVISIÓN PARA LA CONSTRUCCIÓN DE LA TERCERA ETAPA DEL NUEVO DEPÓSITO DE JALES (7 PERSONAS)</t>
  </si>
  <si>
    <t>172</t>
  </si>
  <si>
    <t>COMPAÑÍA INDUSTRIAL HANKA S.A. DE C.V.</t>
  </si>
  <si>
    <t>C68922553</t>
  </si>
  <si>
    <t>SERVICIO ESPECIALIZADO AL BARRENO PARA LA CARGA DE BARRENOS, ASESORÍA TÉCNICA, VEHÍCULOS PARA TRANSPORTE DE PERSONAL Y MATERIAL EN EL BANCO DE ROCA QUEBALIX 4, UBICADO DENTRO DE LAS INSTALACIONES DE BUENAVISTA DEL COBRE</t>
  </si>
  <si>
    <t>20/05/2023</t>
  </si>
  <si>
    <t>03/04/2026</t>
  </si>
  <si>
    <t>173</t>
  </si>
  <si>
    <t>CONSTRUCCIONES INDUSTRIALES BELTRAN S.A. DE C.V.</t>
  </si>
  <si>
    <t>C84722525</t>
  </si>
  <si>
    <t>TERMOFUSIONADO DE TUBERIA DE HDPE DE 24 Y OBRA MECANICA E HIDRAULICA DEL AREA DE BOMBEO RECUPERACION DE AGUA DE LLUVIA LOS JARALITOS DEL PROYECTO REPRESO EL ENCANTO TEPETATERA TINAJAS</t>
  </si>
  <si>
    <t>LOS JARALITOS</t>
  </si>
  <si>
    <t>175</t>
  </si>
  <si>
    <t>DORSA ENERGY S.A. DE C.V.</t>
  </si>
  <si>
    <t>C68052535</t>
  </si>
  <si>
    <t>OBRA ELECTROMECANICA E INSTRUMENTACION PARA SISTEMA DE BOMBEO DEL PROYECTO SISTEMA DE RECUPERACION PLS QUEBALIX IV</t>
  </si>
  <si>
    <t>QUEBALIX IV</t>
  </si>
  <si>
    <t>174</t>
  </si>
  <si>
    <t>C84722535</t>
  </si>
  <si>
    <t>OBRA ELECTRICA PARA SISTEMAS DE CAPTACION DE AGUAS PLUBIALES EN AREA LOS JARALITOS DE PROYECTO REPRESO EL TEPETATERA TINAJAS</t>
  </si>
  <si>
    <t>JARALITO</t>
  </si>
  <si>
    <t>176</t>
  </si>
  <si>
    <t>EFREN  ROSAS YANES</t>
  </si>
  <si>
    <t>C84OP2584</t>
  </si>
  <si>
    <t>PERFORACIÓN, CONSTRUCCIÓN Y AFORO DE2 POZOS DE REPOSICIÓN (PARA EXTRACCIÓN DE AGUA, EN LA CUENCA DE BACOACHI</t>
  </si>
  <si>
    <t>POZOS</t>
  </si>
  <si>
    <t>19/08/2024</t>
  </si>
  <si>
    <t>177</t>
  </si>
  <si>
    <t>ESTUDIOS BASICOS DE INGENIERIA Y GEOLOGIA S.A. DE C.V.</t>
  </si>
  <si>
    <t>EBI900105867</t>
  </si>
  <si>
    <t>T68057535</t>
  </si>
  <si>
    <t>SERVICIOS ESPECIALIZADOS PARA CONTROL DE CALIDAD DE MECANICA DE SUELOS DEL PROYECTO SISTEMA DE RECUPERACION DE SOLICIONES PLS QUEBALIX IV UBICADO EN EL COMPLEJO MINERO METALURGICO DE SU SUBCIDIARIA BUENAVISTA DEL COBRE EN CANANEA SONORA</t>
  </si>
  <si>
    <t>10/04/2025</t>
  </si>
  <si>
    <t>178</t>
  </si>
  <si>
    <t>FARCO PERFORACIONES Y BOMBEOS S.A. DE C.V.</t>
  </si>
  <si>
    <t>FPB110107QG0</t>
  </si>
  <si>
    <t>C68212515</t>
  </si>
  <si>
    <t>CUARTA ETAPA DE PERFORACIÓN, CONSTRUCCIÓN DE POZOS DE RECUPERACION CUENCA MARGEN IZQUIERPO DE LA CORTINA NUEVO DEPOSITO DE JALES UBICADO EN EL COMPLEJO MINERO METALURGICO DE SU SUBCIDIARIA BUENAVISTA DEL COBRE UBICADO EN EL MUNICIPIO DE CANANEA SONORA</t>
  </si>
  <si>
    <t>179</t>
  </si>
  <si>
    <t>GM CONSULTORIA Y PROYECTOS DE INGENIERIA AMBIENTAL S.A. DE C.V.</t>
  </si>
  <si>
    <t>C68DI2533</t>
  </si>
  <si>
    <t>SERVICIO ESPECIALIZADO MULTIFUNCIONAL (CON UN ESTIMADO DE 13 PERSONAS) PARA ATENDER Y VALIDAR EL SEGUIMIENTO A LOS PROGRAMAS DE FLORA, FAUNA, SUELO, AGUA, AIRE, RESIDUOS Y PAISAJISMO, UBICADO EN EL COMPLEJO MINERO METALÚRGICO DE BUENAVISTA DEL COBRE, UBICADA EN CANANEA, ESTADO DE SONORA;</t>
  </si>
  <si>
    <t>VARIOS</t>
  </si>
  <si>
    <t>180</t>
  </si>
  <si>
    <t>T84OP7624</t>
  </si>
  <si>
    <t>SERVICIO ESPECIALIZADO DE SUPERVISION AMBIENTALEN LOS DIFERENTES PROYECTOS DE LA DIRECCION DE INGENIERIA Y CONTRUCCION ZONA NOROESTE LOCALIZADO DENTRO DE LAS INSTALACIONES DE BUENAVISTA DEL COBRE UBICADO EN CANANEA SONORA</t>
  </si>
  <si>
    <t>28/05/2024</t>
  </si>
  <si>
    <t>186</t>
  </si>
  <si>
    <t>C68202525</t>
  </si>
  <si>
    <t>ACTIVIDAD COMPLEMENTARIA</t>
  </si>
  <si>
    <t>27/12/2025</t>
  </si>
  <si>
    <t>181</t>
  </si>
  <si>
    <t>GCP800324FJ1</t>
  </si>
  <si>
    <t>C68202545</t>
  </si>
  <si>
    <t>CONSTRUCCION DEL TRAMO A DE LA TERCERA SOBRE ELEVACION DE LOS DIQUES 1,2,3 DE LA 1359 MSNM DEL PROYECTO NUEVO DEPOSITO DE JALES BVC ETAPA IV</t>
  </si>
  <si>
    <t>182</t>
  </si>
  <si>
    <t>CONSTRUCCIÓN TRAMO A (KM 3+650 AL KM 6+406) DE TERRAPLÉN CONFORMADO CON JALES SECOS COMPACTOS PARA DESPLANTE DE LA SEGUNDA ETAPA DE SOBREELEVACIÓN DE LA PRESA DE JALES 3</t>
  </si>
  <si>
    <t>183</t>
  </si>
  <si>
    <t>184</t>
  </si>
  <si>
    <t>185</t>
  </si>
  <si>
    <t>187</t>
  </si>
  <si>
    <t>188</t>
  </si>
  <si>
    <t>189</t>
  </si>
  <si>
    <t>190</t>
  </si>
  <si>
    <t>SHI190905KS5</t>
  </si>
  <si>
    <t>193</t>
  </si>
  <si>
    <t>C68052514</t>
  </si>
  <si>
    <t>DESMONTE Y DESPALME DE LA ETAPA 1 PARA LA FORMACIÓN DE PATIOS DE LIXIVIACIÓN DEL PROYECTO SISTEMA DE RECUPERACIÓN DE SOLUCIÓN PLS QUEBALIX 4</t>
  </si>
  <si>
    <t>QUEBALIX 4</t>
  </si>
  <si>
    <t>192</t>
  </si>
  <si>
    <t>C68052515</t>
  </si>
  <si>
    <t>DESMONTE Y DESPALME DE POLIGONO 1B Y 1C Y CONSTRUCCION DE BORDO DE CONCONTINGENCIA 3 DELPROYECTO SISTEMA DE RECUPERACION DE SOLUCION PLS QUEBALIX 4</t>
  </si>
  <si>
    <t>21/03/2025</t>
  </si>
  <si>
    <t>08/06/2027</t>
  </si>
  <si>
    <t>191</t>
  </si>
  <si>
    <t>C68952524</t>
  </si>
  <si>
    <t>CONSTRUCCION DE PILETAS, CANALES Y OBRA CIVIL EN ZONA “LOS JARALITOS” DEL PROYECTO SISTEMA DE ABASTECIMIENTO DE AGUA LA CHUREA</t>
  </si>
  <si>
    <t>JARALITOS</t>
  </si>
  <si>
    <t>194</t>
  </si>
  <si>
    <t>195</t>
  </si>
  <si>
    <t>196</t>
  </si>
  <si>
    <t>197</t>
  </si>
  <si>
    <t>GRUPO MEXICO SERVICIOS DE INGENIERIA</t>
  </si>
  <si>
    <t>C68DI2511</t>
  </si>
  <si>
    <t>SUPERVISION PROYECTOS MM (GMSI)</t>
  </si>
  <si>
    <t>198</t>
  </si>
  <si>
    <t>HEIRDI SOLORIO SANCHEZ</t>
  </si>
  <si>
    <t>SOSH901009MS5</t>
  </si>
  <si>
    <t>T84727515</t>
  </si>
  <si>
    <t>SERVICIOS ESPECIALIZADOS PARA CONTROL TOPOGRAFICO PROYECTO EL ENCANTO</t>
  </si>
  <si>
    <t>199</t>
  </si>
  <si>
    <t>JESUS BERNARDO HERNANDEZ OROS</t>
  </si>
  <si>
    <t>HEOJ-700416-AD8</t>
  </si>
  <si>
    <t>T84 OP 7515</t>
  </si>
  <si>
    <t>OBRA CIVIL Y TRENES DE DESCARGA PARA POZOS DE REPOSICION CUENCA BACANUCHI LOCALIZADOS DENTRO DE LAS INSTACIONES DE MINA BUENAVISTA DEL COBRE UBICADA EN EL MUNICIPIO DE CANANEA SONORA</t>
  </si>
  <si>
    <t>02/04/2025</t>
  </si>
  <si>
    <t>203</t>
  </si>
  <si>
    <t>ACU860203SF5</t>
  </si>
  <si>
    <t>C 84112515</t>
  </si>
  <si>
    <t>CONSTRUCCIÓN DE TERCERA ETAPA DE DIQUES PERIMETRALES DE PRESA DE 
JALES 3 EN MINA BUENAVISTA DEL COBRE UBICADA EN CANANEA, SONORA</t>
  </si>
  <si>
    <t>PRESA JALES</t>
  </si>
  <si>
    <t>202</t>
  </si>
  <si>
    <t>C68202555</t>
  </si>
  <si>
    <t>Construcción de tramo B de Tercera Sobreelevación de los Diques 1, 2 y 3 a la 1,359MS.N.M para el Proyecto Nuevo Depósito de Jales de BVC Etapa IV 
--- NDJ "Nuevo Depósito de Jales"</t>
  </si>
  <si>
    <t>201</t>
  </si>
  <si>
    <t>C84072515</t>
  </si>
  <si>
    <t>SUMINISTRO E INSTALACIÓN DE DEFENSA METÁLICA PARA PROTECCIÓN VIAL EN 
SOBRE ELEVACIÓN DE PRESA DE JALES 3, EN MINA BUENAVISTA DEL COBRE, UBICADA EN CANANEA, SONORA.
SONORA</t>
  </si>
  <si>
    <t>200</t>
  </si>
  <si>
    <t>CONSTRUCCIÓN DE CUÑA DE RESPALDO E INCREMENTO DE CORONA EN PRESA DE JALES 3, CON MATERIAL TIPO CONGLOMERADO PROVENIENTE DE BANCO A PIE DE OBRA. CONSTRUCCIÓN DE OBRAS HIDRÁULICAS Y PROTECCIÓN DE TALUDES DE LA EROSIÓN PLUVIAL Y EÓLICA. EN PRESA DE JALES 3</t>
  </si>
  <si>
    <t>31/08/2026</t>
  </si>
  <si>
    <t>204</t>
  </si>
  <si>
    <t>H181036104</t>
  </si>
  <si>
    <t>205</t>
  </si>
  <si>
    <t>206</t>
  </si>
  <si>
    <t>LEES LAB S.A. DE C.V.</t>
  </si>
  <si>
    <t>C84BVC 2514</t>
  </si>
  <si>
    <t>SUMINISTRO Y PUESTA EN MARCHA DE SISTEMA DE TRANSMISION DE FLUJO DE AGUAS NACIONALES EN 89 POZOS UBICADO EN EL COMPLEJO MINERO METALURGICO DE SU SUBCIDIARIA BUENAVISTA DEL COBRE</t>
  </si>
  <si>
    <t>210</t>
  </si>
  <si>
    <t>M3 MEXICANAS S DE RL DE CV</t>
  </si>
  <si>
    <t>MME920819NM4</t>
  </si>
  <si>
    <t>M3-PN150049</t>
  </si>
  <si>
    <t>ENGINEERING, PROCUREMENT AND CONSTRUCCION MANAGEMENT SERVICES FOR THE BUENAVISTA DEL ZINC PROJECT</t>
  </si>
  <si>
    <t>ZINC</t>
  </si>
  <si>
    <t>208</t>
  </si>
  <si>
    <t>MARA LIZETH MARTINEZ LUNA</t>
  </si>
  <si>
    <t>MALM741001173</t>
  </si>
  <si>
    <t>T68117525</t>
  </si>
  <si>
    <t>SERVICIO ESPECIALIZADO DE APOYO DE LIMPIEZA DE OFICINAS DE INGENIERIA  CONTRUCCION DELPROYECTO NUEVO TAJO Y CONCETRADORA DE ZINC EN  EL COMPLEJO MINERO METALURGICO DE BUENAVISTA DEL COBRE</t>
  </si>
  <si>
    <t>209</t>
  </si>
  <si>
    <t>T84OP7714</t>
  </si>
  <si>
    <t>SERVICIO ESPECIALIZADO DE APOYO DE LIMPIEZA DE SALA DE CAPACITACION Y OFICINA DE ASUNTOS AMBIENBTALES UBICADA EN ELCOMPLEJO MINERO METALURGICO DE SU SUBCIDIARIA BUENAVISTA DEL COBRE EN MUNICIPIO DE CANANEA SONORA</t>
  </si>
  <si>
    <t>ESDE 3</t>
  </si>
  <si>
    <t>207</t>
  </si>
  <si>
    <t>T84OP2523</t>
  </si>
  <si>
    <t>SERVICIO ESPECIALIZADO DE SEGUIMIENTO Y MANTENIMIENTO DEL CERTIFICADO DEL SISTEMA DE GESTION DE CALIDAD (SGC) ISO 9001:2015</t>
  </si>
  <si>
    <t>01/06/2023</t>
  </si>
  <si>
    <t>211</t>
  </si>
  <si>
    <t>CONSTRUCCION DE LA ETAPA 3 DE LA CORTINA DEL NUEVO DEPOSITO DE JALES DE LA UNIDAD MINERA DE BUENAVISTA DEL COBRE UBICADA EN LA CIUDAD DE CANANEA, SONORA</t>
  </si>
  <si>
    <t>NUEVO DEPOSITO DE JALES</t>
  </si>
  <si>
    <t>28/03/2026</t>
  </si>
  <si>
    <t>212</t>
  </si>
  <si>
    <t>213</t>
  </si>
  <si>
    <t>214</t>
  </si>
  <si>
    <t>215</t>
  </si>
  <si>
    <t>216</t>
  </si>
  <si>
    <t>AARS8806018AA</t>
  </si>
  <si>
    <t>217</t>
  </si>
  <si>
    <t>TRA800423S25</t>
  </si>
  <si>
    <t>219</t>
  </si>
  <si>
    <t>MONTREAL INFRASTRUCTURA</t>
  </si>
  <si>
    <t>MEC1211266A4</t>
  </si>
  <si>
    <t>C68052525</t>
  </si>
  <si>
    <t>CONSTRUCCION DE LINEA DE CONDUCCION DE AGUA HDPE 18 DEL PROYECTO RECUPERACION DE SOLUCION PLS QUEBALIX IV</t>
  </si>
  <si>
    <t>218</t>
  </si>
  <si>
    <t>SERVICIO ESPECIALIZADO DE RENTA DE EQUIPOS Y OPERACIÓN DELALMACÉN TAMOSURA DEL PROYECTO SISTEMA DE ABASTECIMIENTO DE AGUA LA CHUREA, UBICADO EN EL MUNICIPIO DE CANANEA, SON</t>
  </si>
  <si>
    <t>TAMOSURA</t>
  </si>
  <si>
    <t>221</t>
  </si>
  <si>
    <t>OESTEC DE MEXICO S.A.DE C.V.</t>
  </si>
  <si>
    <t>OCO081031ME6</t>
  </si>
  <si>
    <t>C84962533</t>
  </si>
  <si>
    <t>SERVICIO ESPECIALIZADO DE CONTROL DE CALIDAD (CON UN ESTIMADO DE 4 PERSINAS) EN LOS TRABAJOS DE PROYECTO CUÑA DE RESPALDO DEL DEPOSITO PRESA 3 UBICADO EN EL COMPLEJO MINERO METALURGICO DE BUNAVISTA DEL COBRE UBICADO EN CANANEA SONORA</t>
  </si>
  <si>
    <t>13/07/2023</t>
  </si>
  <si>
    <t>220</t>
  </si>
  <si>
    <t>OSA CONTROL DE CALIDAD S.C.</t>
  </si>
  <si>
    <t>C68922523</t>
  </si>
  <si>
    <t>SERVICIOS ESPECIALIZADOS DE CONTROL DE CALIDAD (7 PERSONAS) PARA LA CONSTRUCCION DEL NUEVO DEPOSITO DE JALES ETAPA III</t>
  </si>
  <si>
    <t>225</t>
  </si>
  <si>
    <t>C68922535</t>
  </si>
  <si>
    <t>SOBREELEVACION AL 1,359 M.S.N.M PARA SEGUNDA ETAPA DEL DIQUE 4, DEL PROYECTO DEL NUEVO DEPOSITO DE JALES</t>
  </si>
  <si>
    <t>222</t>
  </si>
  <si>
    <t>CONSTRUCCION DE TRAMO B DE TRRAPLEN CONFORMADO POR JALES SECOS COMPACTOS PARA DESPLANTE DE LA SEGUNDA ETAPA DE SOBREELEVACION DE LA PRESA DE JALES 3 UBICADO EN EL COMPLEJO MINERO METALURGICO DE BUENAVISTA DEL COBRE UBICADO EN CANANEA SONORA</t>
  </si>
  <si>
    <t>JALES 3</t>
  </si>
  <si>
    <t>223</t>
  </si>
  <si>
    <t>COLF710130C97</t>
  </si>
  <si>
    <t>224</t>
  </si>
  <si>
    <t>CONSTRUCCIÓN TRAMO C DE CUÑA DE RESPALDO E INCREMENTO DE CORONA EN PRESA DE JALES 3, CON MATERIAL TIPO CONGLOMERADO PROVENIENTE DE BANCO A PIE DE OBRA, ASÍ COMO, CONSTRUCCIÓN DE OBRAS HIDRÁULICAS Y PROTECCIÓN DE TALUDES DE LA EROSIÓN PLUVIAL Y EÓLICA, EN PRESA DE JALES 3 DEL DEPÓSITO DE JALES EN BUENAVISTA DEL COBRE, EN CANANEA, SONORA</t>
  </si>
  <si>
    <t>226</t>
  </si>
  <si>
    <t>227</t>
  </si>
  <si>
    <t>PROYECTOS VIALES GL</t>
  </si>
  <si>
    <t>T68057515</t>
  </si>
  <si>
    <t>SERVCIO ESPECIALIZADO PARA CONTROL TOPOGRAFICO DE PROYECTO SISTEMA DE RECUPERACION DE SOLUCIONES PLS QUEBALIX 4 UBICADO EN EL COMPLEJO MINERI METALURGICO DE SU SUBSIDIARIA BUENAVISTA DEL COBRE EN MUNICIPIO DE CANANEA SONORA</t>
  </si>
  <si>
    <t>228</t>
  </si>
  <si>
    <t>PROYECTOS Y DESARROLLOS ARAIZA S.A. DE C.V</t>
  </si>
  <si>
    <t>PDA1903048Z7</t>
  </si>
  <si>
    <t>C84 96 232 3</t>
  </si>
  <si>
    <t>SERVICIO ESPECIALIZADO DE TOPOGRAFÍA EN LOS TRABAJOS DEL PROYECTO "CUÑA DE RESPALDO DEL DEPÓSITO DE JALES "PRESA-3"</t>
  </si>
  <si>
    <t>22/05/2023</t>
  </si>
  <si>
    <t>06/08/2025</t>
  </si>
  <si>
    <t>229</t>
  </si>
  <si>
    <t>RUBIO Y RUBIO CONTRUCCIONES</t>
  </si>
  <si>
    <t>RRC-981022-LW7</t>
  </si>
  <si>
    <t>OBRA CIVIL ESTRUCTURAL DEL LAS ESTACIONES DE BOMBEO PARA RECUPERACION DE AGUA DE LLUVIA LOS JARALITOS EN EL COMPLEJO MINERO METALURGICOE EN CANANEA SONORA</t>
  </si>
  <si>
    <t>230</t>
  </si>
  <si>
    <t>SOL Y ADOBE INGENIEROS ASOCIADOS S.A. DE C.V.</t>
  </si>
  <si>
    <t>SAI050210GD4</t>
  </si>
  <si>
    <t>C68052513</t>
  </si>
  <si>
    <t>SERVICIO ESPECIALIZADO MULTIFUNCIONAL PARA ATENDER Y VALIDAR EL SEGUIMIENTO A LOS PROGRAMAS DE FLORA, FAUNA, SUELO, AGUA, AIRE, RESIDUOS, CAPACITACIÓN, DELIMITACIÓN, ALMACENAMIENTO DE CARBONO Y PAISAJISMO EN EL PROYECTO SISTEMA DE RECUPERACIÓN DE SOLUCIONES PLS QUEBALIX 4 (CON UN ESTIMADO DE 13 PERSONAS),</t>
  </si>
  <si>
    <t>QUEVALIX IV</t>
  </si>
  <si>
    <t>21/09/2023</t>
  </si>
  <si>
    <t>21/09/2025</t>
  </si>
  <si>
    <t>231</t>
  </si>
  <si>
    <t>TERRACERIAS Y TRITURADOS DE CANANEA S.A. DE C.V.</t>
  </si>
  <si>
    <t>TTC070416H28</t>
  </si>
  <si>
    <t>C68922564</t>
  </si>
  <si>
    <t>EXPLOTACIÓN DE BANCO, TRITURADO Y CRIBADO DE MATERIAL TIPO "A", "B1" Y "D" PARA EL PROYECTO 3RA ETAPA DEL NUEVO DEPÓSITO DE JALES (CON UN ESTIMADO DE 37 PERSONAS);</t>
  </si>
  <si>
    <t>07/11/2024</t>
  </si>
  <si>
    <t>232</t>
  </si>
  <si>
    <t>MINERA MEXICO</t>
  </si>
  <si>
    <t>INNOVACIÓN Y
ADMINISTRACIÓN DE TI S. DE R.L. DE C.V.,</t>
  </si>
  <si>
    <t>MX07R06200291</t>
  </si>
  <si>
    <t>SOPORTE TECNICO</t>
  </si>
  <si>
    <t>ADMINISTRACION DE TI</t>
  </si>
  <si>
    <t>TECNOLOGIAS DE LA INFORMACION</t>
  </si>
  <si>
    <t>03/01/2024</t>
  </si>
  <si>
    <t>28/02/2025</t>
  </si>
  <si>
    <t>48</t>
  </si>
  <si>
    <t>MX09R237251449</t>
  </si>
  <si>
    <t>Servicio especializado para la operacion del parque bicentenario en SLP</t>
  </si>
  <si>
    <t>Ecologia</t>
  </si>
  <si>
    <t>Parque Bicentenario</t>
  </si>
  <si>
    <t>21/09/2026</t>
  </si>
  <si>
    <t>42</t>
  </si>
  <si>
    <t>MX09 L 12 24 0082</t>
  </si>
  <si>
    <t>Suministro de personal para los trabajos de mantenimiento, limpieza y vigilancia del confinamiento en predio antigua planta Monterrey.</t>
  </si>
  <si>
    <t>Antigua Planta Monterrey</t>
  </si>
  <si>
    <t>12/03/2024</t>
  </si>
  <si>
    <t>449</t>
  </si>
  <si>
    <t>EQUIPOS DE SEGURIDAD DEL CENTRO</t>
  </si>
  <si>
    <t>MX06L51250618</t>
  </si>
  <si>
    <t>SUMINISTRO E INSTALACIÓN DE SISTEMAS CONTRA INCENDIO EN TODAS LAS ÁREAS ELÉCTRICAS</t>
  </si>
  <si>
    <t>Planta de Cal</t>
  </si>
  <si>
    <t>OBRA CIVIL PARA LA CONSTRUCCIÓN, REHABILITACIÓN Y MANTENIMIENTO DE NAVES INDUSTRIALES Y EDIFICIOS DE LAS DIFERENTES ÁREAS DEL COMPLEJO MINERO LA CARIDAD, UBICADO EN NACOZARI DE GARCÍA</t>
  </si>
  <si>
    <t>448</t>
  </si>
  <si>
    <t>IMM IND METALMECAN Y MINERAS</t>
  </si>
  <si>
    <t>IIM060110GE4</t>
  </si>
  <si>
    <t>MX06L51240913</t>
  </si>
  <si>
    <t>INSTALACIÓN DE COLECTORES PARA POLVO EN ÁREA DE CARGA Y DESCARGA DEL HORNO 1 DE PLANTA DE CAL</t>
  </si>
  <si>
    <t>447</t>
  </si>
  <si>
    <t>Leonila Xitilaly Medina Gonzalez</t>
  </si>
  <si>
    <t>MEGL871030KF9</t>
  </si>
  <si>
    <t>56220041</t>
  </si>
  <si>
    <t>Chofer Transporte</t>
  </si>
  <si>
    <t>445</t>
  </si>
  <si>
    <t>Ulli Rubber Linning  Solutions, S.A. de C.V.</t>
  </si>
  <si>
    <t>MX06L56230252</t>
  </si>
  <si>
    <t>Servicio de Mantenimineto Civil y Limpieza de Areas de Proceso, Auxiliares y Administrativas, Recolección de Basura</t>
  </si>
  <si>
    <t>01/08/2024</t>
  </si>
  <si>
    <t>Gerencia Operaciones</t>
  </si>
  <si>
    <t>Colonia Planta de Cobre</t>
  </si>
  <si>
    <t>39</t>
  </si>
  <si>
    <t>Grupo México Servicios de Ingeniería, S.A. de C.V.</t>
  </si>
  <si>
    <t>C99DI0023</t>
  </si>
  <si>
    <t>Prestación de servicios técnico administrativos, especializados para el desarrollo y supervisión de los proyectos y trabajos de operación a cargos de la dirección general de ingeniería y construcción.</t>
  </si>
  <si>
    <t>01/04/2023</t>
  </si>
  <si>
    <t>40</t>
  </si>
  <si>
    <t>Pendiente</t>
  </si>
  <si>
    <t>Revisión auditoria IMSS laboral contratistas terceros.</t>
  </si>
  <si>
    <t>16/02/2025</t>
  </si>
  <si>
    <t>41</t>
  </si>
  <si>
    <t>MX07R99240152</t>
  </si>
  <si>
    <t>Servicios de soporte técnico en sitio a oficinas y plantas mineras.</t>
  </si>
  <si>
    <t>Tecnologías de la información</t>
  </si>
  <si>
    <t>01/03/2024</t>
  </si>
  <si>
    <t>45</t>
  </si>
  <si>
    <t>MX09 D 99 24 0169</t>
  </si>
  <si>
    <t>Servicios de apoyo a departamento de impuestos.</t>
  </si>
  <si>
    <t>Contraloría</t>
  </si>
  <si>
    <t>05/05/2024</t>
  </si>
  <si>
    <t>02/07/2025</t>
  </si>
  <si>
    <t>44</t>
  </si>
  <si>
    <t>MX09R137251011</t>
  </si>
  <si>
    <t>Servicios especializados para la estación de monitoreo ambiental en instalaciones de la colonia.</t>
  </si>
  <si>
    <t>49</t>
  </si>
  <si>
    <t>Servicios Auxiliares del Centro, S.A. de C.V.</t>
  </si>
  <si>
    <t>SAC940601DC1</t>
  </si>
  <si>
    <t>MX09 R1 33 24 0248</t>
  </si>
  <si>
    <t>Servicios especializados de limpieza en las áreas de oficina, así como el mantenimiento de casas y oficinas administrativas de la colonia</t>
  </si>
  <si>
    <t>27/06/2024</t>
  </si>
  <si>
    <t>50</t>
  </si>
  <si>
    <t>MX09R133251129</t>
  </si>
  <si>
    <t>Trabajos de mantenimiento de las areas de depositos de escoria, encapsulamientos norte y sur de las antiguas plantas de plomo, cobre y arsenico. IMMSA SLP.</t>
  </si>
  <si>
    <t>Planta de Cobre</t>
  </si>
  <si>
    <t>08/07/2025</t>
  </si>
  <si>
    <t>08/07/2026</t>
  </si>
  <si>
    <t>52</t>
  </si>
  <si>
    <t>MX09R237250737</t>
  </si>
  <si>
    <t>Servicios especializados necesarios para el mantenimiento y limpieza de la antigua planta de cobre</t>
  </si>
  <si>
    <t>02/05/2026</t>
  </si>
  <si>
    <t>MANTENIMIENTO DE AREAS VERDES  DE LA PLANTA DE ZINC, AREA RECREATIVA, PLANTA DE TRATAMIENTO DE AGUAS RESIDUALES . AREA DEL SINDICATO Y POZO NO 2.</t>
  </si>
  <si>
    <t>SERVICIOS</t>
  </si>
  <si>
    <t>AREAS VERDES</t>
  </si>
  <si>
    <t>458</t>
  </si>
  <si>
    <t>GILSA COMP S.A. DE C.V.</t>
  </si>
  <si>
    <t>GCO090925HK7</t>
  </si>
  <si>
    <t>MX09D37240958</t>
  </si>
  <si>
    <t>ACONDICIONAMIENTO NORMATIVO DE SALA DE SUBESTACIÓN DE TABLEROS DE POTENCIA PARA EL PROYECTO DEL NUEVO TREN DE LOS ELECTROFILTROS HUMEDOS, EN REFINERÍA ELECTROLÍTICA DE ZINC, SLP;</t>
  </si>
  <si>
    <t>PRESIPITADORES HUMEDOS AREA SECA</t>
  </si>
  <si>
    <t>14/05/2025</t>
  </si>
  <si>
    <t>459</t>
  </si>
  <si>
    <t>GRUPO MAYA PROTECCION PERSONAL  PRIVADA Y EMPRESARIAL S.A. DE  C.V.</t>
  </si>
  <si>
    <t>MX09L99230017</t>
  </si>
  <si>
    <t>TRABAJOS DE VIGILANCIA EN LA PLANTA</t>
  </si>
  <si>
    <t>PROTECCION DE PLANTAS</t>
  </si>
  <si>
    <t>VIGILANCIA</t>
  </si>
  <si>
    <t>467</t>
  </si>
  <si>
    <t>NAHLA NETWORK SA DE CV.</t>
  </si>
  <si>
    <t>NNE190214B36</t>
  </si>
  <si>
    <t>MX09E99230460</t>
  </si>
  <si>
    <t>SERVICIO ESPECIALIZADO DE ASESORIA Y AUDITORIA DE PERSONAL EXTERNO PARA LA EMPRESA INDUSTRIAL MINERA MEXICO, S.A. DE C.V</t>
  </si>
  <si>
    <t>RR. HH.</t>
  </si>
  <si>
    <t>CAPACITACION</t>
  </si>
  <si>
    <t>468</t>
  </si>
  <si>
    <t>REFACCIONAMIENTO SUMINISTRO Y SOLUCIONES GLOBALES DEL CENTRO</t>
  </si>
  <si>
    <t>RSS180711664</t>
  </si>
  <si>
    <t>MX09L37250332</t>
  </si>
  <si>
    <t>FABRICACIÓN DE BARRAS DE COBRE ESTAÑADAS PARA EL MOLDEO DE ANODOS EN FEA DE LA PLANTA ELECTROLÍTICA DE ZINC</t>
  </si>
  <si>
    <t>GENERAL</t>
  </si>
  <si>
    <t>15/05/2027</t>
  </si>
  <si>
    <t>472</t>
  </si>
  <si>
    <t>MX09L37230571</t>
  </si>
  <si>
    <t>RECOLECCION,LIMPIEZA Y LAVADO DE CHATARRA</t>
  </si>
  <si>
    <t>AREA SECA</t>
  </si>
  <si>
    <t>RECEPCION DE MAT</t>
  </si>
  <si>
    <t>17/12/2024</t>
  </si>
  <si>
    <t>11/12/2025</t>
  </si>
  <si>
    <t>53</t>
  </si>
  <si>
    <t>Veolia Wt&amp;s Mexico, S. de R.L. de C.V.</t>
  </si>
  <si>
    <t>PRO660901HM0</t>
  </si>
  <si>
    <t>MX09 E 37 22 0301</t>
  </si>
  <si>
    <t>Servicio para la operacion y mantenimiento de la planta tratadora de aguas residuales en planta electrolitica de Zinc.</t>
  </si>
  <si>
    <t>Planta Tratadora de aguas Zinc</t>
  </si>
  <si>
    <t>07/09/2024</t>
  </si>
  <si>
    <t>477</t>
  </si>
  <si>
    <t>ANTICORROSION INDUSTRIAL DE MONTERREY, S.A. DE C.V.</t>
  </si>
  <si>
    <t>AIM970212AN8</t>
  </si>
  <si>
    <t>MX09L77250412</t>
  </si>
  <si>
    <t>CÁLCULO, FABRICACIÓN, SUMINISTRO, INSTALACIÓN Y PUESTA EN MARCHA DE COLECTOR DE POLVOS PARA LABORATORIO DE METALURGIA</t>
  </si>
  <si>
    <t>OPERACIONES IMMSA</t>
  </si>
  <si>
    <t>PLANTA DE BENEFICIO</t>
  </si>
  <si>
    <t>General de operaciones y servicios</t>
  </si>
  <si>
    <t>05/12/2025</t>
  </si>
  <si>
    <t>520</t>
  </si>
  <si>
    <t>MX09L77251187</t>
  </si>
  <si>
    <t>CONSTRUCCIÓN PARA EL CUARTO DE LUBRICACIÓN DE LAS UNIDADES HIDRAULICAS DE LAS QUEBRADORAS DE LA PLANTA 4-400</t>
  </si>
  <si>
    <t>14/12/2025</t>
  </si>
  <si>
    <t>490</t>
  </si>
  <si>
    <t>MX09L77250964</t>
  </si>
  <si>
    <t>SERVICIO DE MANTENIMIENTO A RAMPA GENERAL EN MINA SAN MARTIN</t>
  </si>
  <si>
    <t>MINA</t>
  </si>
  <si>
    <t>SERVICIO ESPECIALIZADO DE PROTECCION, CUSTODIA, VIGILANCIA Y SEGURIDAD INTEGRAL</t>
  </si>
  <si>
    <t>SEGURIDAD PATRIMONIAL</t>
  </si>
  <si>
    <t>499</t>
  </si>
  <si>
    <t>SANTOS COMPAÑÍA TERCERA S.A. DE C.V.</t>
  </si>
  <si>
    <t>STE131128DQ5</t>
  </si>
  <si>
    <t>T770P7545</t>
  </si>
  <si>
    <t>Mano de obra especializada y renta de equipo para realizar la limpieza de canales existentes en la Unidad San Martin; desmalezado dentro y por fuera del canal en el municipio de San Martín, Zac</t>
  </si>
  <si>
    <t>INGENIERIA Y CONSTRUCCION</t>
  </si>
  <si>
    <t>PRESA DE JALES</t>
  </si>
  <si>
    <t>502</t>
  </si>
  <si>
    <t>MX09L77250502</t>
  </si>
  <si>
    <t>REHABILITACIÓN DE PUERTA 6 DE UNIDAD SAN MARTÍN</t>
  </si>
  <si>
    <t>20/06/2025</t>
  </si>
  <si>
    <t>503</t>
  </si>
  <si>
    <t>MX09L77250963</t>
  </si>
  <si>
    <t>SERVICIO DE LIMPIEZA Y DESAZOLVE DE PILETAS DE BOMBEOS INTERIOR MINA EN MINA</t>
  </si>
  <si>
    <t>08/08/2025</t>
  </si>
  <si>
    <t>10/02/2027</t>
  </si>
  <si>
    <t>504</t>
  </si>
  <si>
    <t>MX09L77251193</t>
  </si>
  <si>
    <t>SERVICIOS DE REPARACIÓN DE ESTRUCTURA DE BANDA UNO DE PLANTA 4-400</t>
  </si>
  <si>
    <t>510</t>
  </si>
  <si>
    <t>VIVEROS MEXICO GM A.C.</t>
  </si>
  <si>
    <t>MX09D01250926</t>
  </si>
  <si>
    <t>SERVICIO DE OPERACIÓN DE VIVERO</t>
  </si>
  <si>
    <t>ASUNTOS AMBIENTALES</t>
  </si>
  <si>
    <t>ECOLOGIA</t>
  </si>
  <si>
    <t>525</t>
  </si>
  <si>
    <t>BPT GLOBAL CONSULTING S DE RL DE CV</t>
  </si>
  <si>
    <t>BGC181128A35</t>
  </si>
  <si>
    <t>MX07R99240151</t>
  </si>
  <si>
    <t>SOPORTE ESPECIALIZADO DE TECNOLOGÍAS DE LA INFORMACIÓN, PARA LA ATENCIÓN DE INCIDENTES DE HARDWARE Y SOFTWARE CANALIZADOS POR LA MESA DE SERVICIO Y QUE REQUIERAN PRESENCIA</t>
  </si>
  <si>
    <t>02/09/2020</t>
  </si>
  <si>
    <t>529</t>
  </si>
  <si>
    <t>CONSTRUCCION Y MANTENIMIENTO MECANICO EN MINAS DE CHIHUAHUA</t>
  </si>
  <si>
    <t>CMM160511DX8</t>
  </si>
  <si>
    <t>C 59 04 251 3</t>
  </si>
  <si>
    <t>Obra Civil para las adecuaciones de Polvorín I y II. Incluye Obra Eléctrica para la instalación de tablero que alimentará centinela de equipo zarpeo y la reubicación de antena pararrayos del polvorín Tecolotes y Línea eléctrica</t>
  </si>
  <si>
    <t>Operaciones</t>
  </si>
  <si>
    <t>07/08/2023</t>
  </si>
  <si>
    <t>530</t>
  </si>
  <si>
    <t>MX09L59240462</t>
  </si>
  <si>
    <t>SERVICIOS DE REHABILITACION DE VIAS DE TREN PARA TIRO COYOTES,</t>
  </si>
  <si>
    <t>06/01/2025</t>
  </si>
  <si>
    <t>531</t>
  </si>
  <si>
    <t>MX09L59250501</t>
  </si>
  <si>
    <t>OBRA CIVIL DE CIMENTACIÓN PARA EL SOPORTE DE DIFERENTES TANQUES A COLOCARSE EN LA UNIDAD DE SANTA BÁRBARA, EN EL MUNICIPIO DE SANTA BÁRBARA CHIHUAHUA</t>
  </si>
  <si>
    <t>535</t>
  </si>
  <si>
    <t>GESTION DE EQUIPOS MINERIA MANTENIMIENTO Y ACARREO</t>
  </si>
  <si>
    <t>GEM161027AR8</t>
  </si>
  <si>
    <t>T 59 94 774 5</t>
  </si>
  <si>
    <t>Obra civil estructural en área de sistema de bombeo en relevos, incluye desmontaje y montaje de bombas existentes en elproyecto 59094 “Nuevo Sistema de Bombeo Jales Redundante para 5800 TMPD”</t>
  </si>
  <si>
    <t>Presa de jales</t>
  </si>
  <si>
    <t>28/05/2026</t>
  </si>
  <si>
    <t>568</t>
  </si>
  <si>
    <t>GRUPO MINDAJ S. DE R.L. DE C.V.</t>
  </si>
  <si>
    <t>GMI211022AY8</t>
  </si>
  <si>
    <t>MX09L59250447</t>
  </si>
  <si>
    <t>BARRENACIÓN DE CONTRAPOZOS VERTICAL U HORIZONTAL EN SECCIÓN EN LA UNIDAD SANTA BARBARA;</t>
  </si>
  <si>
    <t>Interior mina</t>
  </si>
  <si>
    <t>26/06/2025</t>
  </si>
  <si>
    <t>537</t>
  </si>
  <si>
    <t>Hidraulix de mexico sa de cv</t>
  </si>
  <si>
    <t>HME170907EH8</t>
  </si>
  <si>
    <t>MX09L99240031</t>
  </si>
  <si>
    <t>Mantenimiento a sistema supresor de fuego a flotilla de camiones</t>
  </si>
  <si>
    <t>mina</t>
  </si>
  <si>
    <t>538</t>
  </si>
  <si>
    <t>ING M.A.H. CONSTRUCCIONES, S.A. DE C.V</t>
  </si>
  <si>
    <t>AAHM6402188E2</t>
  </si>
  <si>
    <t>C59042525</t>
  </si>
  <si>
    <t>Obra civil para la construcción de una nueva bodega de artificios en interior mina en el Complejo Alfareña, en el proyecto “Rampas Alfareña”, Santa Bárbara, Chihuahua</t>
  </si>
  <si>
    <t>27/07/2025</t>
  </si>
  <si>
    <t>21/11/2025</t>
  </si>
  <si>
    <t>539</t>
  </si>
  <si>
    <t>MX09L59250872</t>
  </si>
  <si>
    <t>SUMINISTRO E INSTALACIÓN DE TUBERÍAS DE HDPE, EN INTERIOR DE MINA SEGOVEDAD PARA CONDICIÓN DE JALES A LOS  LUGARES ESTABLECIDOS PARA VACIAR DE LA UNIDAD SANTA BARBARA</t>
  </si>
  <si>
    <t>bombeo</t>
  </si>
  <si>
    <t>548</t>
  </si>
  <si>
    <t>MX09L59250536</t>
  </si>
  <si>
    <t>SUMINISTRO E INSTALACIÓN DE SISTEMA DE CALEFACCIÓN PARA LA ALBERCA DE LA COL TECOLOTES EN LA UNIDAD DE SANTA</t>
  </si>
  <si>
    <t>12/09/2025</t>
  </si>
  <si>
    <t>547</t>
  </si>
  <si>
    <t>T 59 99 763 5</t>
  </si>
  <si>
    <t>Instalación de unidad Acondicionadora de Aire Tipo Paquete de 15 Toneladas en cuarto eléctrico del proyecto Infraestructura para Contingencias en la Unidad Santa Barbara</t>
  </si>
  <si>
    <t>541</t>
  </si>
  <si>
    <t>C59072515</t>
  </si>
  <si>
    <t>Obra civil-estructural para la construcción de cuarto donde se alojarán los equipos periféricos de los malacates (producción y servicio) en Mina San Diego, Incluye: sistema de tierras y sistema de alumbrado;</t>
  </si>
  <si>
    <t>18/11/2025</t>
  </si>
  <si>
    <t>543</t>
  </si>
  <si>
    <t>MX09L59250776</t>
  </si>
  <si>
    <t>CONSTRUCCIÓN DE MUROS DE CONCRETO PARA CONTENCIÓN PARA JALES EN INTERIOR MINA SEGOVEDAD DE LA UNIDAD SANTA BÁRBARA, UBICADA EN SANTA BARBRA, CHIHUAHUA</t>
  </si>
  <si>
    <t>545</t>
  </si>
  <si>
    <t>Juan Rucobo Rodriguez (Gate Controls)</t>
  </si>
  <si>
    <t>RURJ940136HA</t>
  </si>
  <si>
    <t>C59892525</t>
  </si>
  <si>
    <t>Obra eléctrica para el sistema de fuerza, control, alumbrado, montaje y conexión de equipos eléctricos en superficie y nivel 10 de mina San Diego en el proyecto 59089</t>
  </si>
  <si>
    <t>566</t>
  </si>
  <si>
    <t>T59087515</t>
  </si>
  <si>
    <t>OBRA CIVIL Y ELÉCTRICA PARA REMODELACIÓN DE EDIFICIO DE LABORATORIO DE ENSAYES, INCLUYE: PLAFONERÍA, PUERTAS, VENTANAS, ALUMBRADO, AIRE ACONDICIONADO Y SISTEMA DE TIERRAS.</t>
  </si>
  <si>
    <t>06/01/2026</t>
  </si>
  <si>
    <t>572</t>
  </si>
  <si>
    <t>PRESTADORA DE SERVICIOS Y PRODUCTOS INDUSTRIALES MINERO KYA</t>
  </si>
  <si>
    <t>PSP1602247N6</t>
  </si>
  <si>
    <t>MX09D59250537</t>
  </si>
  <si>
    <t>ESTABILIDAD DE BOCA MINAS ALFAREÑA BAJO SIMULACION CON INSTALACION DE MARCOS DE ACERO EN LA UNIDAD DE SANTA BARBARA, EN EL MUNICIPIO DE SANTA BARBARA,</t>
  </si>
  <si>
    <t>Alfareña</t>
  </si>
  <si>
    <t>571</t>
  </si>
  <si>
    <t>RAUL GRIMALDO BALLESTEROS</t>
  </si>
  <si>
    <t>MX09L59250877</t>
  </si>
  <si>
    <t>SERVICIO MECÁNICO ESTRUCTURAL Y APLICACIÓN DE PINTURA ANTICORROSIVE EN ESTRUCTURA DE LOS CASTILLOS QUE SOPORTAN EL MECANISMO DE ACENSO Y DESCENSO DEL MALACATE EN MINA SEGOVEDAD Y TECOLOTES DE LA UNIDAD SANTA BARBARA</t>
  </si>
  <si>
    <t>Malacates segovedad/tecolotes</t>
  </si>
  <si>
    <t>556</t>
  </si>
  <si>
    <t>MX09D59251093</t>
  </si>
  <si>
    <t>ACARREO DE MINERAL DE MINA NUEVA DE SUPERFICIE A PLANTA BENEFICIO, EN UNIDAD SANTA BARBARA, CHIHUAHUA</t>
  </si>
  <si>
    <t>558</t>
  </si>
  <si>
    <t>C59D 12523</t>
  </si>
  <si>
    <t>Servicio especializado de control de calidad para los diferentes proyectos de Ingenieria y construccion</t>
  </si>
  <si>
    <t>Ingenieria y construccion</t>
  </si>
  <si>
    <t>573</t>
  </si>
  <si>
    <t>MX09L59250870</t>
  </si>
  <si>
    <t>OBRA ELÉCTRICA PARA LA INSTALACIÓN DE LÍNEA DE FUERZA, INSTALACIÓN DE SUBESTACIÓN COMPACTA, CCM´S, SISTEMA DE TIERRAS E ILUMINACIÓN, CANALIZACIÓN DE TUBERÍAS, TENDIDO DE DIVERSOS CABLES HACÍA LOS DIFERENTES EQUIPOS A INSTALAR EN MINA SEGOVEDAD NIVEL 9</t>
  </si>
  <si>
    <t>Mina segovedad</t>
  </si>
  <si>
    <t>576</t>
  </si>
  <si>
    <t>AMALIA AIDA MARTINEZ REYNA</t>
  </si>
  <si>
    <t>MARA5807106C0</t>
  </si>
  <si>
    <t>MX09 D 71220703</t>
  </si>
  <si>
    <t>Limpiezas de Oficinas</t>
  </si>
  <si>
    <t>577</t>
  </si>
  <si>
    <t>C99 DI 0021</t>
  </si>
  <si>
    <t>Prestación de servicios tecnicos administrativos especializados.</t>
  </si>
  <si>
    <t>Ingenieria y Construccion</t>
  </si>
  <si>
    <t>575</t>
  </si>
  <si>
    <t>SEDEGRAL S.A. DE C.V.</t>
  </si>
  <si>
    <t>SSP121018B67</t>
  </si>
  <si>
    <t>MX09D71230461</t>
  </si>
  <si>
    <t>Guardias de seguridad</t>
  </si>
  <si>
    <t>Proteccion de Plantas</t>
  </si>
  <si>
    <t>16/04/2024</t>
  </si>
  <si>
    <t>245</t>
  </si>
  <si>
    <t>ALITE CONSTRUCCIONES</t>
  </si>
  <si>
    <t>ACO050207A82</t>
  </si>
  <si>
    <t>MX06L51240231</t>
  </si>
  <si>
    <t>BACHEO DE VIALIDAD</t>
  </si>
  <si>
    <t>OPERACIONES</t>
  </si>
  <si>
    <t>MANTENIMIENTO</t>
  </si>
  <si>
    <t>243</t>
  </si>
  <si>
    <t>EIM</t>
  </si>
  <si>
    <t>MX06L58250714</t>
  </si>
  <si>
    <t>SERVICIO DE MECANICA</t>
  </si>
  <si>
    <t>30/11/2026</t>
  </si>
  <si>
    <t>248</t>
  </si>
  <si>
    <t>GERARDO NAVARRO CONSULTORIA</t>
  </si>
  <si>
    <t>GNC1505296V1</t>
  </si>
  <si>
    <t>C58 03 251 5</t>
  </si>
  <si>
    <t>PROYECTO DE BANDAS TRANSPORTADORAS</t>
  </si>
  <si>
    <t>251</t>
  </si>
  <si>
    <t>HECTOR GABRIEL QUINTERO TABARDILLO</t>
  </si>
  <si>
    <t>QUTH83123118A</t>
  </si>
  <si>
    <t>MX06D58251281</t>
  </si>
  <si>
    <t>REUBICACIÓN DE ESTRUCTURA Y 35 PANELES SOLARES</t>
  </si>
  <si>
    <t>SEGURIDAD</t>
  </si>
  <si>
    <t>247</t>
  </si>
  <si>
    <t>INSTRUMENTOS DE MEDICION NORMALIZADOS</t>
  </si>
  <si>
    <t>IMN040528P10</t>
  </si>
  <si>
    <t>MX06L58240525</t>
  </si>
  <si>
    <t>CALIBRACION DE BASCULAS</t>
  </si>
  <si>
    <t>LABORATORIO</t>
  </si>
  <si>
    <t>10/01/2025</t>
  </si>
  <si>
    <t>250</t>
  </si>
  <si>
    <t>JOSE RODRIGO ROMERO FELIX</t>
  </si>
  <si>
    <t>MX06L58251033</t>
  </si>
  <si>
    <t>INSPECCIÓN Y MANTENIMIENTO DE EXTINTORES</t>
  </si>
  <si>
    <t>244</t>
  </si>
  <si>
    <t>MOVIMEX</t>
  </si>
  <si>
    <t>TEP950712NY3</t>
  </si>
  <si>
    <t>MX06-L-58-24-0044</t>
  </si>
  <si>
    <t>TRANSPORTE PERSONAL</t>
  </si>
  <si>
    <t>RECURSOS HUMANOS</t>
  </si>
  <si>
    <t>10/03/2027</t>
  </si>
  <si>
    <t>476</t>
  </si>
  <si>
    <t>SAASA</t>
  </si>
  <si>
    <t>MULTISERVICIOS LIMO, S. DE R.L. DE C.V.</t>
  </si>
  <si>
    <t>MLI2105274H2</t>
  </si>
  <si>
    <t>MX07L42251243</t>
  </si>
  <si>
    <t>LIMPIEZA OFICINAS HERMOSILLO</t>
  </si>
  <si>
    <t>12/08/2026</t>
  </si>
  <si>
    <t>246</t>
  </si>
  <si>
    <t>TENNANT VENTAS &amp; SERVICIOS DE MEXICO</t>
  </si>
  <si>
    <t>TVA100610S27</t>
  </si>
  <si>
    <t>MX06E51230079</t>
  </si>
  <si>
    <t>MTTO A BARREDORAS</t>
  </si>
  <si>
    <t>26/06/2026</t>
  </si>
  <si>
    <t>241</t>
  </si>
  <si>
    <t>ULLI RUBBER</t>
  </si>
  <si>
    <t>MX06L58250808</t>
  </si>
  <si>
    <t>LIMPIEZA</t>
  </si>
  <si>
    <t>20/07/2026</t>
  </si>
  <si>
    <t>43</t>
  </si>
  <si>
    <t>MX09R78250201</t>
  </si>
  <si>
    <t>Servicio de actividades de exploracion geologica en el proyecto San Martin (Chalchihuites) Zac.</t>
  </si>
  <si>
    <t>Gerencia Exploración</t>
  </si>
  <si>
    <t>Chalchihuites</t>
  </si>
  <si>
    <t>579</t>
  </si>
  <si>
    <t>OTJ6505016TA</t>
  </si>
  <si>
    <t>MX09L81240846</t>
  </si>
  <si>
    <t>Rehabilitacion de techumbres de casas en colonia la prieta, asi como la delimitación de instalaciones de Taller Central</t>
  </si>
  <si>
    <t>Colonia La Prieta</t>
  </si>
  <si>
    <t>582</t>
  </si>
  <si>
    <t>MX09L78250138</t>
  </si>
  <si>
    <t>Mantenimiento General a instalaciones del Centro de Investigaciones Metalurgicas</t>
  </si>
  <si>
    <t>Gerencia CIM</t>
  </si>
  <si>
    <t>Centro de investigaciones metalurgicas</t>
  </si>
  <si>
    <t>581</t>
  </si>
  <si>
    <t>ULTRA PROTECCIÓN, S.A. DE C.V.</t>
  </si>
  <si>
    <t>MX09L81240237</t>
  </si>
  <si>
    <t>Mantenimiento civil y construccion en Taller Central</t>
  </si>
  <si>
    <t>Gerencia Taller Central</t>
  </si>
  <si>
    <t>Instalaciones Taller Central</t>
  </si>
  <si>
    <t>17/09/2024</t>
  </si>
  <si>
    <t>16/09/2026</t>
  </si>
  <si>
    <t>583</t>
  </si>
  <si>
    <t>Septiembre_2025</t>
  </si>
  <si>
    <t>Industrial Minera México, S. A. de C. V.</t>
  </si>
  <si>
    <t>Ultra Protección, S. A. De C. V.</t>
  </si>
  <si>
    <t>MX09R379240181</t>
  </si>
  <si>
    <t>La prestación de servicios especializados relacionados con mantenimiento preventivo y correctivo y limpieza de muebles e inmuebles</t>
  </si>
  <si>
    <t>Gerencia Unidad Taxco</t>
  </si>
  <si>
    <t>Unidad Taxco</t>
  </si>
  <si>
    <t>19/05/2024</t>
  </si>
  <si>
    <t>Motivo</t>
  </si>
  <si>
    <t>54</t>
  </si>
  <si>
    <t>ZINC VIVERO FORESTAL</t>
  </si>
  <si>
    <t>VACÍO</t>
  </si>
  <si>
    <t>55</t>
  </si>
  <si>
    <t>ZINC VIVERO DIDACTIVO</t>
  </si>
  <si>
    <t>233</t>
  </si>
  <si>
    <t>RICOH MEXICANA SA DE CV</t>
  </si>
  <si>
    <t>234</t>
  </si>
  <si>
    <t>GRUPO MEXICO SERVICIOS DE INGENIERIA, S.A. DE C.V.</t>
  </si>
  <si>
    <t>235</t>
  </si>
  <si>
    <t>236</t>
  </si>
  <si>
    <t>237</t>
  </si>
  <si>
    <t>ACONSA Y ASOCIADOS CONSULTORES S DE RL DE C.V.</t>
  </si>
  <si>
    <t>238</t>
  </si>
  <si>
    <t>Juan Miguel Trujano</t>
  </si>
  <si>
    <t>239</t>
  </si>
  <si>
    <t>ISS Facility Services, S.A. de C.V.</t>
  </si>
  <si>
    <t>240</t>
  </si>
  <si>
    <t>EQUINO DESARROLLOS ED S.A. DE C.V.</t>
  </si>
  <si>
    <t>EDE1312102H5</t>
  </si>
  <si>
    <t>242</t>
  </si>
  <si>
    <t>IENPAC</t>
  </si>
  <si>
    <t>UVM130307VA8</t>
  </si>
  <si>
    <t>249</t>
  </si>
  <si>
    <t>INTERMODAL MEXICO S.A. DE C.V. (IMEX)</t>
  </si>
  <si>
    <t>IME010718PU3</t>
  </si>
  <si>
    <t>29/04/2025</t>
  </si>
  <si>
    <t>446</t>
  </si>
  <si>
    <t>Muiltisistemas de Seguridad del Noroeste, S.A. de C.V</t>
  </si>
  <si>
    <t>MSN-900226-R10</t>
  </si>
  <si>
    <t>Sin Contrato</t>
  </si>
  <si>
    <t>INVÁLIDO: Sin Contrato</t>
  </si>
  <si>
    <t>470</t>
  </si>
  <si>
    <t>INTERNATIONAL SURVEYORS AND ASSAYERS S DE RL DE CV SEMIESA</t>
  </si>
  <si>
    <t>ISA1405304Y3</t>
  </si>
  <si>
    <t>524</t>
  </si>
  <si>
    <t>Autolineas Real De San Jose</t>
  </si>
  <si>
    <t>ARS9108149W2</t>
  </si>
  <si>
    <t>25/09/2020</t>
  </si>
  <si>
    <t>534</t>
  </si>
  <si>
    <t>FULL &amp; DIVERSITY INTELLIGENT SERVICES, SA DE CV.</t>
  </si>
  <si>
    <t>FAD211019BX2</t>
  </si>
  <si>
    <t>551</t>
  </si>
  <si>
    <t>Multisistemas De Seguridad Del Valle De Mexico Sa De Cv</t>
  </si>
  <si>
    <t>MMA070914FD9</t>
  </si>
  <si>
    <t>552</t>
  </si>
  <si>
    <t>578</t>
  </si>
  <si>
    <t>580</t>
  </si>
  <si>
    <t>NAHLA NETWORK S.A. DE C.V.</t>
  </si>
  <si>
    <t>TOTALES</t>
  </si>
  <si>
    <t>INDUSTRIAL MINERA MÉXICO</t>
  </si>
  <si>
    <t>TECNOLOGIAS GPG DE MEXICO, S.A. DE C.V.</t>
  </si>
  <si>
    <t>TGM110214QK0</t>
  </si>
  <si>
    <t>01/11/2023</t>
  </si>
  <si>
    <t>FULL AND DIVERSITY INTELLIGENT SERVICES SA DE CV</t>
  </si>
  <si>
    <t>FAD211019BX</t>
  </si>
  <si>
    <t>MULTISISTEMAS DE SEGURIDAD DEL VALLE DE MEXICO. S.A. DE C.V.</t>
  </si>
  <si>
    <t>287</t>
  </si>
  <si>
    <t>286</t>
  </si>
  <si>
    <t>CQO1111087S3</t>
  </si>
  <si>
    <t>326</t>
  </si>
  <si>
    <t>VIS081006GB0</t>
  </si>
  <si>
    <t>325</t>
  </si>
  <si>
    <t>342</t>
  </si>
  <si>
    <t>274</t>
  </si>
  <si>
    <t>DNM7503261L1</t>
  </si>
  <si>
    <t>01/04/2020</t>
  </si>
  <si>
    <t>→ SUBTOTAL ANGANGUEO</t>
  </si>
  <si>
    <t>Contratos duplicados eliminados por deduplicación</t>
  </si>
  <si>
    <t>1 registros</t>
  </si>
  <si>
    <t>→ SUBTOTAL CANANEA</t>
  </si>
  <si>
    <t>123 registros</t>
  </si>
  <si>
    <t>→ SUBTOTAL CHARCAS</t>
  </si>
  <si>
    <t>36 registros</t>
  </si>
  <si>
    <t>→ SUBTOTAL EL ARCO, B.C.</t>
  </si>
  <si>
    <t>2 registros</t>
  </si>
  <si>
    <t>→ SUBTOTAL ESTACION SANTIAGO</t>
  </si>
  <si>
    <t>→ SUBTOTAL FUNDICION</t>
  </si>
  <si>
    <t>111 registros</t>
  </si>
  <si>
    <t>→ SUBTOTAL LA CARIDAD</t>
  </si>
  <si>
    <t>70 registros</t>
  </si>
  <si>
    <t>→ SUBTOTAL NUEVA ROSITA</t>
  </si>
  <si>
    <t>→ SUBTOTAL NUEVOS PROYECTOS CANANEA</t>
  </si>
  <si>
    <t>63 registros</t>
  </si>
  <si>
    <t>→ SUBTOTAL OFICINAS MEXICO</t>
  </si>
  <si>
    <t>→ SUBTOTAL PARQUE BICENTENARIO</t>
  </si>
  <si>
    <t>→ SUBTOTAL PARQUE ECOLOGICO ANTIGUA PLANTA MONTERREY</t>
  </si>
  <si>
    <t>→ SUBTOTAL PLANTA DE CAL</t>
  </si>
  <si>
    <t>6 registros</t>
  </si>
  <si>
    <t>→ SUBTOTAL PLANTA DE COBRE</t>
  </si>
  <si>
    <t>9 registros</t>
  </si>
  <si>
    <t>→ SUBTOTAL PLANTA DE ZINC</t>
  </si>
  <si>
    <t>24 registros</t>
  </si>
  <si>
    <t>→ SUBTOTAL PLANTA TRATADORA DE AGUAS RESIDUALES ZINC</t>
  </si>
  <si>
    <t>→ SUBTOTAL SAN MARTIN</t>
  </si>
  <si>
    <t>47 registros</t>
  </si>
  <si>
    <t>→ SUBTOTAL SANTA BARBARA</t>
  </si>
  <si>
    <t>→ SUBTOTAL SANTA EULALIA</t>
  </si>
  <si>
    <t>3 registros</t>
  </si>
  <si>
    <t>→ SUBTOTAL SIN UNIDAD</t>
  </si>
  <si>
    <t>10 registros</t>
  </si>
  <si>
    <t>→ SUBTOTAL SN MARTIN (CHALCHIHUITES)</t>
  </si>
  <si>
    <t>→ SUBTOTAL TALLER CENTRAL</t>
  </si>
  <si>
    <t>→ SUBTOTAL TAXCO</t>
  </si>
  <si>
    <t>Total de contratos eliminados por duplicación</t>
  </si>
  <si>
    <t>564 registros</t>
  </si>
  <si>
    <t>🔵 TOTAL GENERAL</t>
  </si>
  <si>
    <t>PTDARZ</t>
  </si>
  <si>
    <t>Etiquetas de fila</t>
  </si>
  <si>
    <t>Suma de Total Contratos Padrón</t>
  </si>
  <si>
    <t>Suma de Total Contratos Estado</t>
  </si>
  <si>
    <t>Suma de Capturados</t>
  </si>
  <si>
    <t>Suma de Faltan</t>
  </si>
  <si>
    <t>Suma de % Captura</t>
  </si>
  <si>
    <t>Total general</t>
  </si>
  <si>
    <t>Columna1</t>
  </si>
  <si>
    <t>LOGRADO</t>
  </si>
  <si>
    <t>META</t>
  </si>
  <si>
    <t>G META PADRON BARRA</t>
  </si>
  <si>
    <t>Fórmula1</t>
  </si>
  <si>
    <t>PARQUE MONTERREY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</si>
</sst>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2" x14ac:knownFonts="1">
    <font>
      <sz val="11"/>
      <color theme="1"/>
      <name val="Calibri"/>
      <family val="2"/>
      <scheme val="minor"/>
    </font>
    <font>
      <b/>
      <sz val="11"/>
      <color rgb="FFC80000"/>
      <name val="Calibri"/>
      <family val="2"/>
    </font>
    <font>
      <b/>
      <sz val="11"/>
      <color rgb="FF00008B"/>
      <name val="Calibri"/>
      <family val="2"/>
    </font>
    <font>
      <sz val="12"/>
      <color theme="10"/>
      <name val="Calibri"/>
      <family val="2"/>
      <scheme val="minor"/>
    </font>
    <font>
      <sz val="11"/>
      <color rgb="FFFFFFFF"/>
      <name val="Segoe UI"/>
      <family val="2"/>
    </font>
    <font>
      <sz val="10"/>
      <color rgb="FFFFFFFF"/>
      <name val="Segoe UI"/>
      <family val="2"/>
    </font>
    <font>
      <b/>
      <sz val="10"/>
      <color rgb="FFFFFFFF"/>
      <name val="Segoe UI"/>
      <family val="2"/>
    </font>
    <font>
      <sz val="11"/>
      <color theme="1"/>
      <name val="Calibri"/>
      <family val="2"/>
      <scheme val="minor"/>
    </font>
    <font>
      <sz val="11"/>
      <color theme="0"/>
      <name val="Calibri"/>
      <family val="2"/>
      <scheme val="minor"/>
    </font>
    <font>
      <b/>
      <sz val="11"/>
      <name val="Calibri"/>
      <family val="2"/>
    </font>
    <font>
      <sz val="12"/>
      <color theme="0"/>
      <name val="Calibri"/>
      <family val="2"/>
      <scheme val="minor"/>
    </font>
    <font>
      <sz val="10"/>
      <color rgb="FFFFFFFF"/>
      <name val="Segoe UI"/>
      <family val="2"/>
    </font>
  </fonts>
  <fills count="10">
    <fill>
      <patternFill patternType="none"/>
    </fill>
    <fill>
      <patternFill patternType="gray125"/>
    </fill>
    <fill>
      <patternFill patternType="solid">
        <fgColor rgb="FFA80000"/>
        <bgColor rgb="FFA80000"/>
      </patternFill>
    </fill>
    <fill>
      <patternFill patternType="solid">
        <fgColor theme="0"/>
        <bgColor indexed="64"/>
      </patternFill>
    </fill>
    <fill>
      <patternFill patternType="solid">
        <fgColor rgb="FF00B050"/>
        <bgColor indexed="64"/>
      </patternFill>
    </fill>
    <fill>
      <patternFill patternType="solid">
        <fgColor rgb="FF00B0F0"/>
        <bgColor indexed="64"/>
      </patternFill>
    </fill>
    <fill>
      <patternFill patternType="solid">
        <fgColor rgb="FFFF66FF"/>
        <bgColor indexed="64"/>
      </patternFill>
    </fill>
    <fill>
      <patternFill patternType="solid">
        <fgColor theme="1" tint="4.9989318521683403E-2"/>
        <bgColor indexed="64"/>
      </patternFill>
    </fill>
    <fill>
      <patternFill patternType="solid">
        <fgColor rgb="FF993300"/>
        <bgColor indexed="64"/>
      </patternFill>
    </fill>
    <fill>
      <patternFill patternType="solid">
        <fgColor theme="1"/>
        <bgColor indexed="64"/>
      </patternFill>
    </fill>
  </fills>
  <borders count="3">
    <border>
      <left/>
      <right/>
      <top/>
      <bottom/>
      <diagonal/>
    </border>
    <border>
      <left/>
      <right/>
      <top/>
      <bottom/>
      <diagonal/>
    </border>
    <border>
      <left style="thin">
        <color auto="1"/>
      </left>
      <right style="thin">
        <color auto="1"/>
      </right>
      <top/>
      <bottom style="thin">
        <color auto="1"/>
      </bottom>
      <diagonal/>
    </border>
  </borders>
  <cellStyleXfs count="6">
    <xf numFmtId="0" fontId="0" fillId="0" borderId="0"/>
    <xf numFmtId="0" fontId="3" fillId="0" borderId="0"/>
    <xf numFmtId="9" fontId="7" fillId="0" borderId="0" applyFont="0" applyFill="0" applyBorder="0" applyAlignment="0" applyProtection="0"/>
    <xf numFmtId="0" fontId="7" fillId="0" borderId="1"/>
    <xf numFmtId="0" fontId="3" fillId="0" borderId="1"/>
    <xf numFmtId="9" fontId="7" fillId="0" borderId="1" applyFont="0" applyFill="0" applyBorder="0" applyAlignment="0" applyProtection="0"/>
  </cellStyleXfs>
  <cellXfs count="53">
    <xf numFmtId="0" fontId="0" fillId="0" borderId="0" xfId="0"/>
    <xf numFmtId="0" fontId="4" fillId="2" borderId="1" xfId="0" applyFont="1" applyFill="1" applyBorder="1" applyAlignment="1">
      <alignment horizontal="left" vertical="center"/>
    </xf>
    <xf numFmtId="0" fontId="0" fillId="2" borderId="1" xfId="0" applyFill="1" applyBorder="1"/>
    <xf numFmtId="0" fontId="4" fillId="2" borderId="1" xfId="0" applyFont="1" applyFill="1" applyBorder="1" applyAlignment="1">
      <alignment horizontal="right" vertical="center"/>
    </xf>
    <xf numFmtId="0" fontId="5" fillId="2" borderId="1" xfId="0" applyFont="1" applyFill="1" applyBorder="1" applyAlignment="1">
      <alignment horizontal="left" vertical="center"/>
    </xf>
    <xf numFmtId="0" fontId="5" fillId="2" borderId="1" xfId="0" applyFont="1" applyFill="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6" fillId="2" borderId="0" xfId="0" applyFont="1" applyFill="1" applyAlignment="1">
      <alignment horizontal="left" vertical="center"/>
    </xf>
    <xf numFmtId="0" fontId="6" fillId="2" borderId="0" xfId="0" applyFont="1" applyFill="1" applyAlignment="1">
      <alignment horizontal="center" vertical="center"/>
    </xf>
    <xf numFmtId="0" fontId="3" fillId="0" borderId="0" xfId="1" applyAlignment="1">
      <alignment horizontal="center" vertical="center"/>
    </xf>
    <xf numFmtId="9" fontId="0" fillId="0" borderId="0" xfId="0" applyNumberFormat="1" applyAlignment="1">
      <alignment horizontal="center" vertical="center"/>
    </xf>
    <xf numFmtId="164" fontId="0" fillId="0" borderId="0" xfId="2" applyNumberFormat="1" applyFont="1"/>
    <xf numFmtId="0" fontId="7" fillId="0" borderId="1" xfId="3"/>
    <xf numFmtId="9" fontId="0" fillId="0" borderId="1" xfId="5" applyFont="1" applyAlignment="1">
      <alignment horizontal="center"/>
    </xf>
    <xf numFmtId="9" fontId="0" fillId="0" borderId="1" xfId="5" applyFont="1"/>
    <xf numFmtId="9" fontId="7" fillId="0" borderId="1" xfId="3" applyNumberFormat="1" applyAlignment="1">
      <alignment horizontal="center"/>
    </xf>
    <xf numFmtId="0" fontId="9" fillId="0" borderId="2" xfId="3" applyFont="1" applyBorder="1" applyAlignment="1">
      <alignment horizontal="center" vertical="top"/>
    </xf>
    <xf numFmtId="0" fontId="7" fillId="4" borderId="1" xfId="3" applyFill="1"/>
    <xf numFmtId="0" fontId="7" fillId="4" borderId="1" xfId="3" applyFill="1" applyAlignment="1">
      <alignment horizontal="center"/>
    </xf>
    <xf numFmtId="0" fontId="3" fillId="4" borderId="1" xfId="4" applyFill="1" applyAlignment="1">
      <alignment horizontal="center"/>
    </xf>
    <xf numFmtId="9" fontId="0" fillId="4" borderId="1" xfId="5" applyFont="1" applyFill="1" applyAlignment="1">
      <alignment horizontal="center"/>
    </xf>
    <xf numFmtId="0" fontId="7" fillId="5" borderId="1" xfId="3" applyFill="1"/>
    <xf numFmtId="0" fontId="7" fillId="5" borderId="1" xfId="3" applyFill="1" applyAlignment="1">
      <alignment horizontal="center"/>
    </xf>
    <xf numFmtId="0" fontId="3" fillId="5" borderId="1" xfId="4" applyFill="1" applyAlignment="1">
      <alignment horizontal="center"/>
    </xf>
    <xf numFmtId="9" fontId="0" fillId="5" borderId="1" xfId="5" applyFont="1" applyFill="1" applyAlignment="1">
      <alignment horizontal="center"/>
    </xf>
    <xf numFmtId="0" fontId="7" fillId="6" borderId="1" xfId="3" applyFill="1"/>
    <xf numFmtId="0" fontId="7" fillId="6" borderId="1" xfId="3" applyFill="1" applyAlignment="1">
      <alignment horizontal="center"/>
    </xf>
    <xf numFmtId="0" fontId="3" fillId="6" borderId="1" xfId="4" applyFill="1" applyAlignment="1">
      <alignment horizontal="center"/>
    </xf>
    <xf numFmtId="9" fontId="0" fillId="6" borderId="1" xfId="5" applyFont="1" applyFill="1" applyAlignment="1">
      <alignment horizontal="center"/>
    </xf>
    <xf numFmtId="0" fontId="8" fillId="7" borderId="1" xfId="3" applyFont="1" applyFill="1"/>
    <xf numFmtId="0" fontId="8" fillId="7" borderId="1" xfId="3" applyFont="1" applyFill="1" applyAlignment="1">
      <alignment horizontal="center"/>
    </xf>
    <xf numFmtId="0" fontId="10" fillId="7" borderId="1" xfId="4" applyFont="1" applyFill="1" applyAlignment="1">
      <alignment horizontal="center"/>
    </xf>
    <xf numFmtId="9" fontId="8" fillId="7" borderId="1" xfId="5" applyFont="1" applyFill="1" applyAlignment="1">
      <alignment horizontal="center"/>
    </xf>
    <xf numFmtId="0" fontId="8" fillId="8" borderId="1" xfId="3" applyFont="1" applyFill="1"/>
    <xf numFmtId="0" fontId="8" fillId="8" borderId="1" xfId="3" applyFont="1" applyFill="1" applyAlignment="1">
      <alignment horizontal="center"/>
    </xf>
    <xf numFmtId="0" fontId="10" fillId="8" borderId="1" xfId="4" applyFont="1" applyFill="1" applyAlignment="1">
      <alignment horizontal="center"/>
    </xf>
    <xf numFmtId="9" fontId="8" fillId="8" borderId="1" xfId="5" applyFont="1" applyFill="1" applyAlignment="1">
      <alignment horizontal="center"/>
    </xf>
    <xf numFmtId="0" fontId="7" fillId="0" borderId="1" xfId="3" applyAlignment="1">
      <alignment horizontal="center"/>
    </xf>
    <xf numFmtId="164" fontId="0" fillId="0" borderId="1" xfId="5" applyNumberFormat="1" applyFont="1"/>
    <xf numFmtId="0" fontId="7" fillId="9" borderId="1" xfId="3" applyFill="1"/>
    <xf numFmtId="0" fontId="7" fillId="3" borderId="1" xfId="3" applyFill="1" applyAlignment="1">
      <alignment horizontal="center"/>
    </xf>
    <xf numFmtId="9" fontId="7" fillId="3" borderId="1" xfId="3" applyNumberFormat="1" applyFill="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applyAlignment="1">
      <alignment horizontal="left" indent="1"/>
    </xf>
    <xf numFmtId="9" fontId="0" fillId="0" borderId="0" xfId="0" applyNumberFormat="1"/>
    <xf numFmtId="164" fontId="0" fillId="0" borderId="0" xfId="2" applyNumberFormat="1" applyFont="1" applyAlignment="1">
      <alignment horizontal="center"/>
    </xf>
    <xf numFmtId="0" fontId="11" fillId="2" borderId="1" xfId="0" applyFont="1" applyFill="1" applyBorder="1" applyAlignment="1">
      <alignment horizontal="left" vertical="center"/>
    </xf>
    <xf numFmtId="0" fontId="7" fillId="0" borderId="1" xfId="3" applyAlignment="1">
      <alignment horizontal="center"/>
    </xf>
  </cellXfs>
  <cellStyles count="6">
    <cellStyle name="Hipervínculo" xfId="1" builtinId="8"/>
    <cellStyle name="Hipervínculo 2" xfId="4" xr:uid="{387D6793-C668-488A-9C7E-7ECAE02B30CB}"/>
    <cellStyle name="Normal" xfId="0" builtinId="0"/>
    <cellStyle name="Normal 2" xfId="3" xr:uid="{52CBBDE7-6657-4833-B8A0-3427FDFEEDAB}"/>
    <cellStyle name="Porcentaje" xfId="2" builtinId="5"/>
    <cellStyle name="Porcentaje 2" xfId="5" xr:uid="{9C095734-F8D5-4CEA-B5E1-F4DCF703F910}"/>
  </cellStyles>
  <dxfs count="44">
    <dxf>
      <alignment horizontal="center" vertical="bottom" textRotation="0" wrapText="0" indent="0" justifyLastLine="0" shrinkToFit="0" readingOrder="0"/>
    </dxf>
    <dxf>
      <numFmt numFmtId="0" formatCode="General"/>
    </dxf>
    <dxf>
      <numFmt numFmtId="13" formatCode="0%"/>
      <alignment horizontal="center" vertical="bottom" textRotation="0" wrapText="0" indent="0" justifyLastLine="0" shrinkToFit="0" readingOrder="0"/>
    </dxf>
    <dxf>
      <numFmt numFmtId="13" formatCode="0%"/>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0"/>
        <color rgb="FFFFFFFF"/>
        <name val="Segoe UI"/>
        <scheme val="none"/>
      </font>
      <numFmt numFmtId="2" formatCode="0.00"/>
      <fill>
        <patternFill patternType="solid">
          <fgColor rgb="FFA80000"/>
          <bgColor rgb="FFA80000"/>
        </patternFill>
      </fill>
      <alignment horizontal="center" vertical="center" textRotation="0" wrapText="0" indent="0" justifyLastLine="0" shrinkToFit="0" readingOrder="0"/>
    </dxf>
    <dxf>
      <fill>
        <patternFill patternType="solid">
          <fgColor indexed="64"/>
          <bgColor rgb="FF00B050"/>
        </patternFill>
      </fill>
      <alignment horizontal="center" vertical="bottom" textRotation="0" wrapText="0" indent="0" justifyLastLine="0" shrinkToFit="0" readingOrder="0"/>
    </dxf>
    <dxf>
      <fill>
        <patternFill patternType="solid">
          <fgColor indexed="64"/>
          <bgColor rgb="FF00B050"/>
        </patternFill>
      </fill>
      <alignment horizontal="center" vertical="bottom" textRotation="0" wrapText="0" indent="0" justifyLastLine="0" shrinkToFit="0" readingOrder="0"/>
    </dxf>
    <dxf>
      <fill>
        <patternFill patternType="solid">
          <fgColor indexed="64"/>
          <bgColor rgb="FF00B050"/>
        </patternFill>
      </fill>
      <alignment horizontal="center" vertical="bottom" textRotation="0" wrapText="0" indent="0" justifyLastLine="0" shrinkToFit="0" readingOrder="0"/>
    </dxf>
    <dxf>
      <fill>
        <patternFill patternType="solid">
          <fgColor indexed="64"/>
          <bgColor rgb="FF00B050"/>
        </patternFill>
      </fill>
      <alignment horizontal="center" vertical="bottom" textRotation="0" wrapText="0" indent="0" justifyLastLine="0" shrinkToFit="0" readingOrder="0"/>
    </dxf>
    <dxf>
      <fill>
        <patternFill patternType="solid">
          <fgColor indexed="64"/>
          <bgColor rgb="FF00B050"/>
        </patternFill>
      </fill>
      <alignment horizontal="center" vertical="bottom" textRotation="0" wrapText="0" indent="0" justifyLastLine="0" shrinkToFit="0" readingOrder="0"/>
    </dxf>
    <dxf>
      <fill>
        <patternFill patternType="solid">
          <fgColor indexed="64"/>
          <bgColor rgb="FF00B050"/>
        </patternFill>
      </fill>
    </dxf>
    <dxf>
      <border outline="0">
        <top style="thin">
          <color auto="1"/>
        </top>
      </border>
    </dxf>
    <dxf>
      <fill>
        <patternFill patternType="solid">
          <fgColor indexed="64"/>
          <bgColor rgb="FF00B050"/>
        </patternFill>
      </fill>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3" formatCode="0%"/>
    </dxf>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ont>
        <b/>
        <color rgb="FFC80000"/>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border outline="0">
        <top style="thin">
          <color auto="1"/>
        </top>
      </border>
    </dxf>
    <dxf>
      <fill>
        <patternFill patternType="solid">
          <fgColor indexed="64"/>
          <bgColor theme="0"/>
        </patternFill>
      </fill>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fgColor indexed="64"/>
          <bgColor theme="0"/>
        </patternFill>
      </fill>
      <alignment horizontal="center" vertical="center" textRotation="0" wrapText="0" indent="0" justifyLastLine="0" shrinkToFit="0" readingOrder="0"/>
    </dxf>
    <dxf>
      <font>
        <b/>
        <color rgb="FFC80000"/>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dxf>
    <dxf>
      <border outline="0">
        <top style="thin">
          <color auto="1"/>
        </top>
      </border>
    </dxf>
    <dxf>
      <fill>
        <patternFill patternType="solid">
          <fgColor indexed="64"/>
          <bgColor theme="0"/>
        </patternFill>
      </fill>
      <alignment horizontal="center" vertical="center" textRotation="0" wrapText="0" indent="0" justifyLastLine="0" shrinkToFit="0" readingOrder="0"/>
    </dxf>
    <dxf>
      <border outline="0">
        <bottom style="thin">
          <color auto="1"/>
        </bottom>
      </border>
    </dxf>
    <dxf>
      <font>
        <b val="0"/>
        <i val="0"/>
        <strike val="0"/>
        <condense val="0"/>
        <extend val="0"/>
        <outline val="0"/>
        <shadow val="0"/>
        <u val="none"/>
        <vertAlign val="baseline"/>
        <sz val="10"/>
        <color rgb="FFFFFFFF"/>
        <name val="Segoe UI"/>
        <scheme val="none"/>
      </font>
      <fill>
        <patternFill patternType="solid">
          <fgColor rgb="FFA80000"/>
          <bgColor rgb="FFA80000"/>
        </patternFill>
      </fill>
      <alignment horizontal="center" vertical="center" textRotation="0" wrapText="0" indent="0" justifyLastLine="0" shrinkToFit="0" readingOrder="0"/>
    </dxf>
    <dxf>
      <fill>
        <patternFill>
          <bgColor theme="0"/>
        </patternFill>
      </fill>
    </dxf>
    <dxf>
      <fill>
        <patternFill>
          <bgColor theme="0"/>
        </patternFill>
      </fill>
    </dxf>
    <dxf>
      <fill>
        <patternFill>
          <bgColor theme="0"/>
        </patternFill>
      </fill>
    </dxf>
    <dxf>
      <fill>
        <patternFill>
          <bgColor theme="0"/>
        </patternFill>
      </fill>
    </dxf>
    <dxf>
      <fill>
        <patternFill>
          <bgColor rgb="FFA80000"/>
        </patternFill>
      </fill>
    </dxf>
    <dxf>
      <font>
        <b/>
        <i val="0"/>
        <color theme="0"/>
      </font>
      <fill>
        <patternFill>
          <bgColor rgb="FFA80000"/>
        </patternFill>
      </fill>
    </dxf>
    <dxf>
      <font>
        <b/>
        <i val="0"/>
      </font>
      <fill>
        <patternFill>
          <bgColor rgb="FFA80000"/>
        </patternFill>
      </fill>
    </dxf>
  </dxfs>
  <tableStyles count="2" defaultTableStyle="TableStyleMedium9" defaultPivotStyle="PivotStyleLight16">
    <tableStyle name="Estilo de segmentación de datos 1" pivot="0" table="0" count="8" xr9:uid="{620E2EE9-4825-4F37-AAE9-894DBE734CCF}">
      <tableStyleElement type="wholeTable" dxfId="43"/>
      <tableStyleElement type="headerRow" dxfId="42"/>
    </tableStyle>
    <tableStyle name="Estilo de tabla 1" pivot="0" count="5" xr9:uid="{28DBBCA8-6C9C-4213-AA40-50ED2F761E8D}">
      <tableStyleElement type="wholeTable" dxfId="41"/>
      <tableStyleElement type="firstRowStripe" dxfId="40"/>
      <tableStyleElement type="secondRowStripe" dxfId="39"/>
      <tableStyleElement type="firstColumnStripe" dxfId="38"/>
      <tableStyleElement type="secondColumnStripe" dxfId="37"/>
    </tableStyle>
  </tableStyles>
  <colors>
    <mruColors>
      <color rgb="FFA80000"/>
    </mruColors>
  </colors>
  <extLst>
    <ext xmlns:x14="http://schemas.microsoft.com/office/spreadsheetml/2009/9/main" uri="{46F421CA-312F-682f-3DD2-61675219B42D}">
      <x14:dxfs count="6">
        <dxf>
          <fill>
            <patternFill>
              <bgColor theme="0"/>
            </patternFill>
          </fill>
        </dxf>
        <dxf>
          <fill>
            <patternFill>
              <bgColor theme="0"/>
            </patternFill>
          </fill>
        </dxf>
        <dxf>
          <fill>
            <patternFill>
              <bgColor rgb="FFA9CEDC"/>
            </patternFill>
          </fill>
        </dxf>
        <dxf>
          <font>
            <color theme="1"/>
          </font>
          <fill>
            <patternFill>
              <bgColor theme="0"/>
            </patternFill>
          </fill>
        </dxf>
        <dxf>
          <font>
            <color theme="0"/>
          </font>
          <fill>
            <patternFill>
              <bgColor rgb="FFA80000"/>
            </patternFill>
          </fill>
        </dxf>
        <dxf>
          <font>
            <color theme="0"/>
          </font>
          <fill>
            <patternFill>
              <bgColor rgb="FFA80000"/>
            </patternFill>
          </fill>
        </dxf>
      </x14:dxfs>
    </ext>
    <ext xmlns:x14="http://schemas.microsoft.com/office/spreadsheetml/2009/9/main" uri="{EB79DEF2-80B8-43e5-95BD-54CBDDF9020C}">
      <x14:slicerStyles defaultSlicerStyle="SlicerStyleLight1">
        <x14:slicerStyle name="Estilo de segmentación de datos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[SEPTIEMBRE 2025 LISTO - copia.xlsx]GRAFICOS!TablaDinámica13</c:name>
    <c:fmtId val="23"/>
  </c:pivotSource>
  <c:chart>
    <c:autoTitleDeleted val="0"/>
    <c:pivotFmts>
      <c:pivotFmt>
        <c:idx val="0"/>
        <c:spPr>
          <a:solidFill>
            <a:srgbClr val="A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A9CE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80000"/>
          </a:solidFill>
          <a:ln>
            <a:noFill/>
          </a:ln>
          <a:effectLst/>
        </c:spPr>
      </c:pivotFmt>
      <c:pivotFmt>
        <c:idx val="4"/>
        <c:spPr>
          <a:solidFill>
            <a:srgbClr val="A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9CE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GRAFICOS!$B$25</c:f>
              <c:strCache>
                <c:ptCount val="1"/>
                <c:pt idx="0">
                  <c:v>Suma de Capturados</c:v>
                </c:pt>
              </c:strCache>
            </c:strRef>
          </c:tx>
          <c:spPr>
            <a:solidFill>
              <a:schemeClr val="accent1"/>
            </a:solidFill>
            <a:ln>
              <a:noFill/>
            </a:ln>
            <a:effectLst/>
          </c:spPr>
          <c:invertIfNegative val="0"/>
          <c:cat>
            <c:strRef>
              <c:f>GRAFICOS!$A$26:$A$46</c:f>
              <c:strCache>
                <c:ptCount val="21"/>
                <c:pt idx="0">
                  <c:v>TAXCO</c:v>
                </c:pt>
                <c:pt idx="1">
                  <c:v>TALLER CENTRAL</c:v>
                </c:pt>
                <c:pt idx="2">
                  <c:v>SN MARTIN (CHALCHIHUITES)</c:v>
                </c:pt>
                <c:pt idx="3">
                  <c:v>SANTA EULALIA</c:v>
                </c:pt>
                <c:pt idx="4">
                  <c:v>SANTA BARBARA</c:v>
                </c:pt>
                <c:pt idx="5">
                  <c:v>SAN MARTIN</c:v>
                </c:pt>
                <c:pt idx="6">
                  <c:v>PTDARZ</c:v>
                </c:pt>
                <c:pt idx="7">
                  <c:v>PLANTA DE ZINC</c:v>
                </c:pt>
                <c:pt idx="8">
                  <c:v>PLANTA DE COBRE</c:v>
                </c:pt>
                <c:pt idx="9">
                  <c:v>PLANTA DE CAL</c:v>
                </c:pt>
                <c:pt idx="10">
                  <c:v>PARQUE MONTERREY</c:v>
                </c:pt>
                <c:pt idx="11">
                  <c:v>PARQUE BICENTENARIO</c:v>
                </c:pt>
                <c:pt idx="12">
                  <c:v>OFICINAS MEXICO</c:v>
                </c:pt>
                <c:pt idx="13">
                  <c:v>NUEVA ROSITA</c:v>
                </c:pt>
                <c:pt idx="14">
                  <c:v>LA CARIDAD</c:v>
                </c:pt>
                <c:pt idx="15">
                  <c:v>FUNDICION</c:v>
                </c:pt>
                <c:pt idx="16">
                  <c:v>ESTACION SANTIAGO</c:v>
                </c:pt>
                <c:pt idx="17">
                  <c:v>EL ARCO, B.C.</c:v>
                </c:pt>
                <c:pt idx="18">
                  <c:v>CHARCAS</c:v>
                </c:pt>
                <c:pt idx="19">
                  <c:v>CANANEA</c:v>
                </c:pt>
                <c:pt idx="20">
                  <c:v>ANGANGUEO</c:v>
                </c:pt>
              </c:strCache>
            </c:strRef>
          </c:cat>
          <c:val>
            <c:numRef>
              <c:f>GRAFICOS!$B$26:$B$46</c:f>
              <c:numCache>
                <c:formatCode>General</c:formatCode>
                <c:ptCount val="21"/>
                <c:pt idx="0">
                  <c:v>0</c:v>
                </c:pt>
                <c:pt idx="1">
                  <c:v>0</c:v>
                </c:pt>
                <c:pt idx="2">
                  <c:v>0</c:v>
                </c:pt>
                <c:pt idx="3">
                  <c:v>0</c:v>
                </c:pt>
                <c:pt idx="4">
                  <c:v>27</c:v>
                </c:pt>
                <c:pt idx="5">
                  <c:v>39</c:v>
                </c:pt>
                <c:pt idx="6">
                  <c:v>0</c:v>
                </c:pt>
                <c:pt idx="7">
                  <c:v>19</c:v>
                </c:pt>
                <c:pt idx="8">
                  <c:v>0</c:v>
                </c:pt>
                <c:pt idx="9">
                  <c:v>0</c:v>
                </c:pt>
                <c:pt idx="10">
                  <c:v>0</c:v>
                </c:pt>
                <c:pt idx="11">
                  <c:v>0</c:v>
                </c:pt>
                <c:pt idx="12">
                  <c:v>0</c:v>
                </c:pt>
                <c:pt idx="13">
                  <c:v>0</c:v>
                </c:pt>
                <c:pt idx="14">
                  <c:v>42</c:v>
                </c:pt>
                <c:pt idx="15">
                  <c:v>91</c:v>
                </c:pt>
                <c:pt idx="16">
                  <c:v>0</c:v>
                </c:pt>
                <c:pt idx="17">
                  <c:v>0</c:v>
                </c:pt>
                <c:pt idx="18">
                  <c:v>29</c:v>
                </c:pt>
                <c:pt idx="19">
                  <c:v>116</c:v>
                </c:pt>
                <c:pt idx="20">
                  <c:v>0</c:v>
                </c:pt>
              </c:numCache>
            </c:numRef>
          </c:val>
          <c:extLst>
            <c:ext xmlns:c16="http://schemas.microsoft.com/office/drawing/2014/chart" uri="{C3380CC4-5D6E-409C-BE32-E72D297353CC}">
              <c16:uniqueId val="{00000000-AB7C-4B41-A9AC-7FAEF0FA5170}"/>
            </c:ext>
          </c:extLst>
        </c:ser>
        <c:ser>
          <c:idx val="1"/>
          <c:order val="1"/>
          <c:tx>
            <c:strRef>
              <c:f>GRAFICOS!$C$25</c:f>
              <c:strCache>
                <c:ptCount val="1"/>
                <c:pt idx="0">
                  <c:v>Suma de Faltan</c:v>
                </c:pt>
              </c:strCache>
            </c:strRef>
          </c:tx>
          <c:spPr>
            <a:solidFill>
              <a:srgbClr val="A9CEDC"/>
            </a:solidFill>
            <a:ln>
              <a:noFill/>
            </a:ln>
            <a:effectLst/>
          </c:spPr>
          <c:invertIfNegative val="0"/>
          <c:cat>
            <c:strRef>
              <c:f>GRAFICOS!$A$26:$A$46</c:f>
              <c:strCache>
                <c:ptCount val="21"/>
                <c:pt idx="0">
                  <c:v>TAXCO</c:v>
                </c:pt>
                <c:pt idx="1">
                  <c:v>TALLER CENTRAL</c:v>
                </c:pt>
                <c:pt idx="2">
                  <c:v>SN MARTIN (CHALCHIHUITES)</c:v>
                </c:pt>
                <c:pt idx="3">
                  <c:v>SANTA EULALIA</c:v>
                </c:pt>
                <c:pt idx="4">
                  <c:v>SANTA BARBARA</c:v>
                </c:pt>
                <c:pt idx="5">
                  <c:v>SAN MARTIN</c:v>
                </c:pt>
                <c:pt idx="6">
                  <c:v>PTDARZ</c:v>
                </c:pt>
                <c:pt idx="7">
                  <c:v>PLANTA DE ZINC</c:v>
                </c:pt>
                <c:pt idx="8">
                  <c:v>PLANTA DE COBRE</c:v>
                </c:pt>
                <c:pt idx="9">
                  <c:v>PLANTA DE CAL</c:v>
                </c:pt>
                <c:pt idx="10">
                  <c:v>PARQUE MONTERREY</c:v>
                </c:pt>
                <c:pt idx="11">
                  <c:v>PARQUE BICENTENARIO</c:v>
                </c:pt>
                <c:pt idx="12">
                  <c:v>OFICINAS MEXICO</c:v>
                </c:pt>
                <c:pt idx="13">
                  <c:v>NUEVA ROSITA</c:v>
                </c:pt>
                <c:pt idx="14">
                  <c:v>LA CARIDAD</c:v>
                </c:pt>
                <c:pt idx="15">
                  <c:v>FUNDICION</c:v>
                </c:pt>
                <c:pt idx="16">
                  <c:v>ESTACION SANTIAGO</c:v>
                </c:pt>
                <c:pt idx="17">
                  <c:v>EL ARCO, B.C.</c:v>
                </c:pt>
                <c:pt idx="18">
                  <c:v>CHARCAS</c:v>
                </c:pt>
                <c:pt idx="19">
                  <c:v>CANANEA</c:v>
                </c:pt>
                <c:pt idx="20">
                  <c:v>ANGANGUEO</c:v>
                </c:pt>
              </c:strCache>
            </c:strRef>
          </c:cat>
          <c:val>
            <c:numRef>
              <c:f>GRAFICOS!$C$26:$C$46</c:f>
              <c:numCache>
                <c:formatCode>General</c:formatCode>
                <c:ptCount val="21"/>
                <c:pt idx="0">
                  <c:v>1</c:v>
                </c:pt>
                <c:pt idx="1">
                  <c:v>3</c:v>
                </c:pt>
                <c:pt idx="2">
                  <c:v>1</c:v>
                </c:pt>
                <c:pt idx="3">
                  <c:v>3</c:v>
                </c:pt>
                <c:pt idx="4">
                  <c:v>20</c:v>
                </c:pt>
                <c:pt idx="5">
                  <c:v>8</c:v>
                </c:pt>
                <c:pt idx="6">
                  <c:v>1</c:v>
                </c:pt>
                <c:pt idx="7">
                  <c:v>5</c:v>
                </c:pt>
                <c:pt idx="8">
                  <c:v>9</c:v>
                </c:pt>
                <c:pt idx="9">
                  <c:v>5</c:v>
                </c:pt>
                <c:pt idx="10">
                  <c:v>1</c:v>
                </c:pt>
                <c:pt idx="11">
                  <c:v>1</c:v>
                </c:pt>
                <c:pt idx="12">
                  <c:v>1</c:v>
                </c:pt>
                <c:pt idx="13">
                  <c:v>2</c:v>
                </c:pt>
                <c:pt idx="14">
                  <c:v>26</c:v>
                </c:pt>
                <c:pt idx="15">
                  <c:v>18</c:v>
                </c:pt>
                <c:pt idx="16">
                  <c:v>1</c:v>
                </c:pt>
                <c:pt idx="17">
                  <c:v>2</c:v>
                </c:pt>
                <c:pt idx="18">
                  <c:v>7</c:v>
                </c:pt>
                <c:pt idx="19">
                  <c:v>0</c:v>
                </c:pt>
                <c:pt idx="20">
                  <c:v>1</c:v>
                </c:pt>
              </c:numCache>
            </c:numRef>
          </c:val>
          <c:extLst>
            <c:ext xmlns:c16="http://schemas.microsoft.com/office/drawing/2014/chart" uri="{C3380CC4-5D6E-409C-BE32-E72D297353CC}">
              <c16:uniqueId val="{00000001-AB7C-4B41-A9AC-7FAEF0FA5170}"/>
            </c:ext>
          </c:extLst>
        </c:ser>
        <c:dLbls>
          <c:showLegendKey val="0"/>
          <c:showVal val="0"/>
          <c:showCatName val="0"/>
          <c:showSerName val="0"/>
          <c:showPercent val="0"/>
          <c:showBubbleSize val="0"/>
        </c:dLbls>
        <c:gapWidth val="150"/>
        <c:overlap val="100"/>
        <c:axId val="1216019184"/>
        <c:axId val="1216015344"/>
      </c:barChart>
      <c:catAx>
        <c:axId val="12160191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s-MX"/>
          </a:p>
        </c:txPr>
        <c:crossAx val="1216015344"/>
        <c:crosses val="autoZero"/>
        <c:auto val="1"/>
        <c:lblAlgn val="ctr"/>
        <c:lblOffset val="100"/>
        <c:noMultiLvlLbl val="0"/>
      </c:catAx>
      <c:valAx>
        <c:axId val="12160153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s-MX"/>
          </a:p>
        </c:txPr>
        <c:crossAx val="121601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lumMod val="65000"/>
              <a:lumOff val="35000"/>
            </a:schemeClr>
          </a:solidFill>
          <a:latin typeface="+mn-lt"/>
          <a:ea typeface="+mn-ea"/>
          <a:cs typeface="+mn-cs"/>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[SEPTIEMBRE 2025 LISTO - copia.xlsx]GRAFICOS!TablaDinámica13</c:name>
    <c:fmtId val="24"/>
  </c:pivotSource>
  <c:chart>
    <c:autoTitleDeleted val="0"/>
    <c:pivotFmts>
      <c:pivotFmt>
        <c:idx val="0"/>
        <c:spPr>
          <a:solidFill>
            <a:srgbClr val="A8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A9CEDC"/>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80000"/>
          </a:solidFill>
          <a:ln>
            <a:noFill/>
          </a:ln>
          <a:effectLst/>
        </c:spPr>
      </c:pivotFmt>
      <c:pivotFmt>
        <c:idx val="4"/>
        <c:spPr>
          <a:solidFill>
            <a:srgbClr val="A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9CE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9CE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A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9CE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GRAFICOS!$B$25</c:f>
              <c:strCache>
                <c:ptCount val="1"/>
                <c:pt idx="0">
                  <c:v>Suma de Capturados</c:v>
                </c:pt>
              </c:strCache>
            </c:strRef>
          </c:tx>
          <c:spPr>
            <a:solidFill>
              <a:schemeClr val="accent1"/>
            </a:solidFill>
            <a:ln>
              <a:noFill/>
            </a:ln>
            <a:effectLst/>
          </c:spPr>
          <c:invertIfNegative val="0"/>
          <c:cat>
            <c:strRef>
              <c:f>GRAFICOS!$A$26:$A$46</c:f>
              <c:strCache>
                <c:ptCount val="21"/>
                <c:pt idx="0">
                  <c:v>TAXCO</c:v>
                </c:pt>
                <c:pt idx="1">
                  <c:v>TALLER CENTRAL</c:v>
                </c:pt>
                <c:pt idx="2">
                  <c:v>SN MARTIN (CHALCHIHUITES)</c:v>
                </c:pt>
                <c:pt idx="3">
                  <c:v>SANTA EULALIA</c:v>
                </c:pt>
                <c:pt idx="4">
                  <c:v>SANTA BARBARA</c:v>
                </c:pt>
                <c:pt idx="5">
                  <c:v>SAN MARTIN</c:v>
                </c:pt>
                <c:pt idx="6">
                  <c:v>PTDARZ</c:v>
                </c:pt>
                <c:pt idx="7">
                  <c:v>PLANTA DE ZINC</c:v>
                </c:pt>
                <c:pt idx="8">
                  <c:v>PLANTA DE COBRE</c:v>
                </c:pt>
                <c:pt idx="9">
                  <c:v>PLANTA DE CAL</c:v>
                </c:pt>
                <c:pt idx="10">
                  <c:v>PARQUE MONTERREY</c:v>
                </c:pt>
                <c:pt idx="11">
                  <c:v>PARQUE BICENTENARIO</c:v>
                </c:pt>
                <c:pt idx="12">
                  <c:v>OFICINAS MEXICO</c:v>
                </c:pt>
                <c:pt idx="13">
                  <c:v>NUEVA ROSITA</c:v>
                </c:pt>
                <c:pt idx="14">
                  <c:v>LA CARIDAD</c:v>
                </c:pt>
                <c:pt idx="15">
                  <c:v>FUNDICION</c:v>
                </c:pt>
                <c:pt idx="16">
                  <c:v>ESTACION SANTIAGO</c:v>
                </c:pt>
                <c:pt idx="17">
                  <c:v>EL ARCO, B.C.</c:v>
                </c:pt>
                <c:pt idx="18">
                  <c:v>CHARCAS</c:v>
                </c:pt>
                <c:pt idx="19">
                  <c:v>CANANEA</c:v>
                </c:pt>
                <c:pt idx="20">
                  <c:v>ANGANGUEO</c:v>
                </c:pt>
              </c:strCache>
            </c:strRef>
          </c:cat>
          <c:val>
            <c:numRef>
              <c:f>GRAFICOS!$B$26:$B$46</c:f>
              <c:numCache>
                <c:formatCode>General</c:formatCode>
                <c:ptCount val="21"/>
                <c:pt idx="0">
                  <c:v>0</c:v>
                </c:pt>
                <c:pt idx="1">
                  <c:v>0</c:v>
                </c:pt>
                <c:pt idx="2">
                  <c:v>0</c:v>
                </c:pt>
                <c:pt idx="3">
                  <c:v>0</c:v>
                </c:pt>
                <c:pt idx="4">
                  <c:v>27</c:v>
                </c:pt>
                <c:pt idx="5">
                  <c:v>39</c:v>
                </c:pt>
                <c:pt idx="6">
                  <c:v>0</c:v>
                </c:pt>
                <c:pt idx="7">
                  <c:v>19</c:v>
                </c:pt>
                <c:pt idx="8">
                  <c:v>0</c:v>
                </c:pt>
                <c:pt idx="9">
                  <c:v>0</c:v>
                </c:pt>
                <c:pt idx="10">
                  <c:v>0</c:v>
                </c:pt>
                <c:pt idx="11">
                  <c:v>0</c:v>
                </c:pt>
                <c:pt idx="12">
                  <c:v>0</c:v>
                </c:pt>
                <c:pt idx="13">
                  <c:v>0</c:v>
                </c:pt>
                <c:pt idx="14">
                  <c:v>42</c:v>
                </c:pt>
                <c:pt idx="15">
                  <c:v>91</c:v>
                </c:pt>
                <c:pt idx="16">
                  <c:v>0</c:v>
                </c:pt>
                <c:pt idx="17">
                  <c:v>0</c:v>
                </c:pt>
                <c:pt idx="18">
                  <c:v>29</c:v>
                </c:pt>
                <c:pt idx="19">
                  <c:v>116</c:v>
                </c:pt>
                <c:pt idx="20">
                  <c:v>0</c:v>
                </c:pt>
              </c:numCache>
            </c:numRef>
          </c:val>
          <c:extLst>
            <c:ext xmlns:c16="http://schemas.microsoft.com/office/drawing/2014/chart" uri="{C3380CC4-5D6E-409C-BE32-E72D297353CC}">
              <c16:uniqueId val="{00000000-6D92-4688-80F9-A870CFAF49EC}"/>
            </c:ext>
          </c:extLst>
        </c:ser>
        <c:ser>
          <c:idx val="1"/>
          <c:order val="1"/>
          <c:tx>
            <c:strRef>
              <c:f>GRAFICOS!$C$25</c:f>
              <c:strCache>
                <c:ptCount val="1"/>
                <c:pt idx="0">
                  <c:v>Suma de Faltan</c:v>
                </c:pt>
              </c:strCache>
            </c:strRef>
          </c:tx>
          <c:spPr>
            <a:solidFill>
              <a:srgbClr val="A9CEDC"/>
            </a:solidFill>
            <a:ln>
              <a:noFill/>
            </a:ln>
            <a:effectLst/>
          </c:spPr>
          <c:invertIfNegative val="0"/>
          <c:cat>
            <c:strRef>
              <c:f>GRAFICOS!$A$26:$A$46</c:f>
              <c:strCache>
                <c:ptCount val="21"/>
                <c:pt idx="0">
                  <c:v>TAXCO</c:v>
                </c:pt>
                <c:pt idx="1">
                  <c:v>TALLER CENTRAL</c:v>
                </c:pt>
                <c:pt idx="2">
                  <c:v>SN MARTIN (CHALCHIHUITES)</c:v>
                </c:pt>
                <c:pt idx="3">
                  <c:v>SANTA EULALIA</c:v>
                </c:pt>
                <c:pt idx="4">
                  <c:v>SANTA BARBARA</c:v>
                </c:pt>
                <c:pt idx="5">
                  <c:v>SAN MARTIN</c:v>
                </c:pt>
                <c:pt idx="6">
                  <c:v>PTDARZ</c:v>
                </c:pt>
                <c:pt idx="7">
                  <c:v>PLANTA DE ZINC</c:v>
                </c:pt>
                <c:pt idx="8">
                  <c:v>PLANTA DE COBRE</c:v>
                </c:pt>
                <c:pt idx="9">
                  <c:v>PLANTA DE CAL</c:v>
                </c:pt>
                <c:pt idx="10">
                  <c:v>PARQUE MONTERREY</c:v>
                </c:pt>
                <c:pt idx="11">
                  <c:v>PARQUE BICENTENARIO</c:v>
                </c:pt>
                <c:pt idx="12">
                  <c:v>OFICINAS MEXICO</c:v>
                </c:pt>
                <c:pt idx="13">
                  <c:v>NUEVA ROSITA</c:v>
                </c:pt>
                <c:pt idx="14">
                  <c:v>LA CARIDAD</c:v>
                </c:pt>
                <c:pt idx="15">
                  <c:v>FUNDICION</c:v>
                </c:pt>
                <c:pt idx="16">
                  <c:v>ESTACION SANTIAGO</c:v>
                </c:pt>
                <c:pt idx="17">
                  <c:v>EL ARCO, B.C.</c:v>
                </c:pt>
                <c:pt idx="18">
                  <c:v>CHARCAS</c:v>
                </c:pt>
                <c:pt idx="19">
                  <c:v>CANANEA</c:v>
                </c:pt>
                <c:pt idx="20">
                  <c:v>ANGANGUEO</c:v>
                </c:pt>
              </c:strCache>
            </c:strRef>
          </c:cat>
          <c:val>
            <c:numRef>
              <c:f>GRAFICOS!$C$26:$C$46</c:f>
              <c:numCache>
                <c:formatCode>General</c:formatCode>
                <c:ptCount val="21"/>
                <c:pt idx="0">
                  <c:v>1</c:v>
                </c:pt>
                <c:pt idx="1">
                  <c:v>3</c:v>
                </c:pt>
                <c:pt idx="2">
                  <c:v>1</c:v>
                </c:pt>
                <c:pt idx="3">
                  <c:v>3</c:v>
                </c:pt>
                <c:pt idx="4">
                  <c:v>20</c:v>
                </c:pt>
                <c:pt idx="5">
                  <c:v>8</c:v>
                </c:pt>
                <c:pt idx="6">
                  <c:v>1</c:v>
                </c:pt>
                <c:pt idx="7">
                  <c:v>5</c:v>
                </c:pt>
                <c:pt idx="8">
                  <c:v>9</c:v>
                </c:pt>
                <c:pt idx="9">
                  <c:v>5</c:v>
                </c:pt>
                <c:pt idx="10">
                  <c:v>1</c:v>
                </c:pt>
                <c:pt idx="11">
                  <c:v>1</c:v>
                </c:pt>
                <c:pt idx="12">
                  <c:v>1</c:v>
                </c:pt>
                <c:pt idx="13">
                  <c:v>2</c:v>
                </c:pt>
                <c:pt idx="14">
                  <c:v>26</c:v>
                </c:pt>
                <c:pt idx="15">
                  <c:v>18</c:v>
                </c:pt>
                <c:pt idx="16">
                  <c:v>1</c:v>
                </c:pt>
                <c:pt idx="17">
                  <c:v>2</c:v>
                </c:pt>
                <c:pt idx="18">
                  <c:v>7</c:v>
                </c:pt>
                <c:pt idx="19">
                  <c:v>0</c:v>
                </c:pt>
                <c:pt idx="20">
                  <c:v>1</c:v>
                </c:pt>
              </c:numCache>
            </c:numRef>
          </c:val>
          <c:extLst>
            <c:ext xmlns:c16="http://schemas.microsoft.com/office/drawing/2014/chart" uri="{C3380CC4-5D6E-409C-BE32-E72D297353CC}">
              <c16:uniqueId val="{00000001-6D92-4688-80F9-A870CFAF49EC}"/>
            </c:ext>
          </c:extLst>
        </c:ser>
        <c:dLbls>
          <c:showLegendKey val="0"/>
          <c:showVal val="0"/>
          <c:showCatName val="0"/>
          <c:showSerName val="0"/>
          <c:showPercent val="0"/>
          <c:showBubbleSize val="0"/>
        </c:dLbls>
        <c:gapWidth val="150"/>
        <c:overlap val="100"/>
        <c:axId val="1216019184"/>
        <c:axId val="1216015344"/>
      </c:barChart>
      <c:catAx>
        <c:axId val="12160191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s-MX"/>
          </a:p>
        </c:txPr>
        <c:crossAx val="1216015344"/>
        <c:crosses val="autoZero"/>
        <c:auto val="1"/>
        <c:lblAlgn val="ctr"/>
        <c:lblOffset val="100"/>
        <c:noMultiLvlLbl val="0"/>
      </c:catAx>
      <c:valAx>
        <c:axId val="12160153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s-MX"/>
          </a:p>
        </c:txPr>
        <c:crossAx val="121601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1000" b="0" i="0" u="none" strike="noStrike" kern="1200" baseline="0">
          <a:solidFill>
            <a:schemeClr val="tx1">
              <a:lumMod val="65000"/>
              <a:lumOff val="35000"/>
            </a:schemeClr>
          </a:solidFill>
          <a:latin typeface="+mn-lt"/>
          <a:ea typeface="+mn-ea"/>
          <a:cs typeface="+mn-cs"/>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[SEPTIEMBRE 2025 LISTO - copia.xlsx]GRAFICOS!TablaDinámica13</c:name>
    <c:fmtId val="25"/>
  </c:pivotSource>
  <c:chart>
    <c:autoTitleDeleted val="0"/>
    <c:pivotFmts>
      <c:pivotFmt>
        <c:idx val="0"/>
        <c:spPr>
          <a:solidFill>
            <a:srgbClr val="A8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A9CEDC"/>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80000"/>
          </a:solidFill>
          <a:ln>
            <a:noFill/>
          </a:ln>
          <a:effectLst/>
        </c:spPr>
      </c:pivotFmt>
      <c:pivotFmt>
        <c:idx val="4"/>
        <c:spPr>
          <a:solidFill>
            <a:srgbClr val="A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9CE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A9CE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A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9CE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A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A9CE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A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A9CE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A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GRAFICOS!$B$25</c:f>
              <c:strCache>
                <c:ptCount val="1"/>
                <c:pt idx="0">
                  <c:v>Suma de Capturados</c:v>
                </c:pt>
              </c:strCache>
            </c:strRef>
          </c:tx>
          <c:spPr>
            <a:solidFill>
              <a:srgbClr val="A80000"/>
            </a:solidFill>
            <a:ln>
              <a:noFill/>
            </a:ln>
            <a:effectLst/>
          </c:spPr>
          <c:invertIfNegative val="0"/>
          <c:cat>
            <c:strRef>
              <c:f>GRAFICOS!$A$26:$A$46</c:f>
              <c:strCache>
                <c:ptCount val="21"/>
                <c:pt idx="0">
                  <c:v>TAXCO</c:v>
                </c:pt>
                <c:pt idx="1">
                  <c:v>TALLER CENTRAL</c:v>
                </c:pt>
                <c:pt idx="2">
                  <c:v>SN MARTIN (CHALCHIHUITES)</c:v>
                </c:pt>
                <c:pt idx="3">
                  <c:v>SANTA EULALIA</c:v>
                </c:pt>
                <c:pt idx="4">
                  <c:v>SANTA BARBARA</c:v>
                </c:pt>
                <c:pt idx="5">
                  <c:v>SAN MARTIN</c:v>
                </c:pt>
                <c:pt idx="6">
                  <c:v>PTDARZ</c:v>
                </c:pt>
                <c:pt idx="7">
                  <c:v>PLANTA DE ZINC</c:v>
                </c:pt>
                <c:pt idx="8">
                  <c:v>PLANTA DE COBRE</c:v>
                </c:pt>
                <c:pt idx="9">
                  <c:v>PLANTA DE CAL</c:v>
                </c:pt>
                <c:pt idx="10">
                  <c:v>PARQUE MONTERREY</c:v>
                </c:pt>
                <c:pt idx="11">
                  <c:v>PARQUE BICENTENARIO</c:v>
                </c:pt>
                <c:pt idx="12">
                  <c:v>OFICINAS MEXICO</c:v>
                </c:pt>
                <c:pt idx="13">
                  <c:v>NUEVA ROSITA</c:v>
                </c:pt>
                <c:pt idx="14">
                  <c:v>LA CARIDAD</c:v>
                </c:pt>
                <c:pt idx="15">
                  <c:v>FUNDICION</c:v>
                </c:pt>
                <c:pt idx="16">
                  <c:v>ESTACION SANTIAGO</c:v>
                </c:pt>
                <c:pt idx="17">
                  <c:v>EL ARCO, B.C.</c:v>
                </c:pt>
                <c:pt idx="18">
                  <c:v>CHARCAS</c:v>
                </c:pt>
                <c:pt idx="19">
                  <c:v>CANANEA</c:v>
                </c:pt>
                <c:pt idx="20">
                  <c:v>ANGANGUEO</c:v>
                </c:pt>
              </c:strCache>
            </c:strRef>
          </c:cat>
          <c:val>
            <c:numRef>
              <c:f>GRAFICOS!$B$26:$B$46</c:f>
              <c:numCache>
                <c:formatCode>General</c:formatCode>
                <c:ptCount val="21"/>
                <c:pt idx="0">
                  <c:v>0</c:v>
                </c:pt>
                <c:pt idx="1">
                  <c:v>0</c:v>
                </c:pt>
                <c:pt idx="2">
                  <c:v>0</c:v>
                </c:pt>
                <c:pt idx="3">
                  <c:v>0</c:v>
                </c:pt>
                <c:pt idx="4">
                  <c:v>27</c:v>
                </c:pt>
                <c:pt idx="5">
                  <c:v>39</c:v>
                </c:pt>
                <c:pt idx="6">
                  <c:v>0</c:v>
                </c:pt>
                <c:pt idx="7">
                  <c:v>19</c:v>
                </c:pt>
                <c:pt idx="8">
                  <c:v>0</c:v>
                </c:pt>
                <c:pt idx="9">
                  <c:v>0</c:v>
                </c:pt>
                <c:pt idx="10">
                  <c:v>0</c:v>
                </c:pt>
                <c:pt idx="11">
                  <c:v>0</c:v>
                </c:pt>
                <c:pt idx="12">
                  <c:v>0</c:v>
                </c:pt>
                <c:pt idx="13">
                  <c:v>0</c:v>
                </c:pt>
                <c:pt idx="14">
                  <c:v>42</c:v>
                </c:pt>
                <c:pt idx="15">
                  <c:v>91</c:v>
                </c:pt>
                <c:pt idx="16">
                  <c:v>0</c:v>
                </c:pt>
                <c:pt idx="17">
                  <c:v>0</c:v>
                </c:pt>
                <c:pt idx="18">
                  <c:v>29</c:v>
                </c:pt>
                <c:pt idx="19">
                  <c:v>116</c:v>
                </c:pt>
                <c:pt idx="20">
                  <c:v>0</c:v>
                </c:pt>
              </c:numCache>
            </c:numRef>
          </c:val>
          <c:extLst>
            <c:ext xmlns:c16="http://schemas.microsoft.com/office/drawing/2014/chart" uri="{C3380CC4-5D6E-409C-BE32-E72D297353CC}">
              <c16:uniqueId val="{00000000-9CDC-4BD2-951A-CC74DCE2BA84}"/>
            </c:ext>
          </c:extLst>
        </c:ser>
        <c:ser>
          <c:idx val="1"/>
          <c:order val="1"/>
          <c:tx>
            <c:strRef>
              <c:f>GRAFICOS!$C$25</c:f>
              <c:strCache>
                <c:ptCount val="1"/>
                <c:pt idx="0">
                  <c:v>Suma de Faltan</c:v>
                </c:pt>
              </c:strCache>
            </c:strRef>
          </c:tx>
          <c:spPr>
            <a:solidFill>
              <a:srgbClr val="A9CEDC"/>
            </a:solidFill>
            <a:ln>
              <a:noFill/>
            </a:ln>
            <a:effectLst/>
          </c:spPr>
          <c:invertIfNegative val="0"/>
          <c:cat>
            <c:strRef>
              <c:f>GRAFICOS!$A$26:$A$46</c:f>
              <c:strCache>
                <c:ptCount val="21"/>
                <c:pt idx="0">
                  <c:v>TAXCO</c:v>
                </c:pt>
                <c:pt idx="1">
                  <c:v>TALLER CENTRAL</c:v>
                </c:pt>
                <c:pt idx="2">
                  <c:v>SN MARTIN (CHALCHIHUITES)</c:v>
                </c:pt>
                <c:pt idx="3">
                  <c:v>SANTA EULALIA</c:v>
                </c:pt>
                <c:pt idx="4">
                  <c:v>SANTA BARBARA</c:v>
                </c:pt>
                <c:pt idx="5">
                  <c:v>SAN MARTIN</c:v>
                </c:pt>
                <c:pt idx="6">
                  <c:v>PTDARZ</c:v>
                </c:pt>
                <c:pt idx="7">
                  <c:v>PLANTA DE ZINC</c:v>
                </c:pt>
                <c:pt idx="8">
                  <c:v>PLANTA DE COBRE</c:v>
                </c:pt>
                <c:pt idx="9">
                  <c:v>PLANTA DE CAL</c:v>
                </c:pt>
                <c:pt idx="10">
                  <c:v>PARQUE MONTERREY</c:v>
                </c:pt>
                <c:pt idx="11">
                  <c:v>PARQUE BICENTENARIO</c:v>
                </c:pt>
                <c:pt idx="12">
                  <c:v>OFICINAS MEXICO</c:v>
                </c:pt>
                <c:pt idx="13">
                  <c:v>NUEVA ROSITA</c:v>
                </c:pt>
                <c:pt idx="14">
                  <c:v>LA CARIDAD</c:v>
                </c:pt>
                <c:pt idx="15">
                  <c:v>FUNDICION</c:v>
                </c:pt>
                <c:pt idx="16">
                  <c:v>ESTACION SANTIAGO</c:v>
                </c:pt>
                <c:pt idx="17">
                  <c:v>EL ARCO, B.C.</c:v>
                </c:pt>
                <c:pt idx="18">
                  <c:v>CHARCAS</c:v>
                </c:pt>
                <c:pt idx="19">
                  <c:v>CANANEA</c:v>
                </c:pt>
                <c:pt idx="20">
                  <c:v>ANGANGUEO</c:v>
                </c:pt>
              </c:strCache>
            </c:strRef>
          </c:cat>
          <c:val>
            <c:numRef>
              <c:f>GRAFICOS!$C$26:$C$46</c:f>
              <c:numCache>
                <c:formatCode>General</c:formatCode>
                <c:ptCount val="21"/>
                <c:pt idx="0">
                  <c:v>1</c:v>
                </c:pt>
                <c:pt idx="1">
                  <c:v>3</c:v>
                </c:pt>
                <c:pt idx="2">
                  <c:v>1</c:v>
                </c:pt>
                <c:pt idx="3">
                  <c:v>3</c:v>
                </c:pt>
                <c:pt idx="4">
                  <c:v>20</c:v>
                </c:pt>
                <c:pt idx="5">
                  <c:v>8</c:v>
                </c:pt>
                <c:pt idx="6">
                  <c:v>1</c:v>
                </c:pt>
                <c:pt idx="7">
                  <c:v>5</c:v>
                </c:pt>
                <c:pt idx="8">
                  <c:v>9</c:v>
                </c:pt>
                <c:pt idx="9">
                  <c:v>5</c:v>
                </c:pt>
                <c:pt idx="10">
                  <c:v>1</c:v>
                </c:pt>
                <c:pt idx="11">
                  <c:v>1</c:v>
                </c:pt>
                <c:pt idx="12">
                  <c:v>1</c:v>
                </c:pt>
                <c:pt idx="13">
                  <c:v>2</c:v>
                </c:pt>
                <c:pt idx="14">
                  <c:v>26</c:v>
                </c:pt>
                <c:pt idx="15">
                  <c:v>18</c:v>
                </c:pt>
                <c:pt idx="16">
                  <c:v>1</c:v>
                </c:pt>
                <c:pt idx="17">
                  <c:v>2</c:v>
                </c:pt>
                <c:pt idx="18">
                  <c:v>7</c:v>
                </c:pt>
                <c:pt idx="19">
                  <c:v>0</c:v>
                </c:pt>
                <c:pt idx="20">
                  <c:v>1</c:v>
                </c:pt>
              </c:numCache>
            </c:numRef>
          </c:val>
          <c:extLst>
            <c:ext xmlns:c16="http://schemas.microsoft.com/office/drawing/2014/chart" uri="{C3380CC4-5D6E-409C-BE32-E72D297353CC}">
              <c16:uniqueId val="{00000001-9CDC-4BD2-951A-CC74DCE2BA84}"/>
            </c:ext>
          </c:extLst>
        </c:ser>
        <c:dLbls>
          <c:showLegendKey val="0"/>
          <c:showVal val="0"/>
          <c:showCatName val="0"/>
          <c:showSerName val="0"/>
          <c:showPercent val="0"/>
          <c:showBubbleSize val="0"/>
        </c:dLbls>
        <c:gapWidth val="150"/>
        <c:overlap val="100"/>
        <c:axId val="1216019184"/>
        <c:axId val="1216015344"/>
      </c:barChart>
      <c:catAx>
        <c:axId val="121601918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s-MX"/>
          </a:p>
        </c:txPr>
        <c:crossAx val="1216015344"/>
        <c:crosses val="autoZero"/>
        <c:auto val="1"/>
        <c:lblAlgn val="ctr"/>
        <c:lblOffset val="100"/>
        <c:noMultiLvlLbl val="0"/>
      </c:catAx>
      <c:valAx>
        <c:axId val="12160153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s-MX"/>
          </a:p>
        </c:txPr>
        <c:crossAx val="121601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1000" b="0" i="0" u="none" strike="noStrike" kern="1200" baseline="0">
          <a:solidFill>
            <a:schemeClr val="tx1">
              <a:lumMod val="65000"/>
              <a:lumOff val="35000"/>
            </a:schemeClr>
          </a:solidFill>
          <a:latin typeface="+mn-lt"/>
          <a:ea typeface="+mn-ea"/>
          <a:cs typeface="+mn-cs"/>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[SEPTIEMBRE 2025 LISTO - copia.xlsx]GRAFICOS!TablaDinámica15</c:name>
    <c:fmtId val="15"/>
  </c:pivotSource>
  <c:chart>
    <c:autoTitleDeleted val="0"/>
    <c:pivotFmts>
      <c:pivotFmt>
        <c:idx val="0"/>
        <c:spPr>
          <a:solidFill>
            <a:srgbClr val="102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9CE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025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8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9CE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GRAFICOS!$B$49</c:f>
              <c:strCache>
                <c:ptCount val="1"/>
                <c:pt idx="0">
                  <c:v>Suma de Faltan</c:v>
                </c:pt>
              </c:strCache>
            </c:strRef>
          </c:tx>
          <c:spPr>
            <a:solidFill>
              <a:srgbClr val="10253F"/>
            </a:solidFill>
            <a:ln>
              <a:noFill/>
            </a:ln>
            <a:effectLst/>
          </c:spPr>
          <c:invertIfNegative val="0"/>
          <c:cat>
            <c:strRef>
              <c:f>GRAFICOS!$A$50:$A$55</c:f>
              <c:strCache>
                <c:ptCount val="6"/>
                <c:pt idx="0">
                  <c:v>FUNDICION</c:v>
                </c:pt>
                <c:pt idx="1">
                  <c:v>LA CARIDAD</c:v>
                </c:pt>
                <c:pt idx="2">
                  <c:v>OFICINAS MEXICO</c:v>
                </c:pt>
                <c:pt idx="3">
                  <c:v>PLANTA DE CAL</c:v>
                </c:pt>
                <c:pt idx="4">
                  <c:v>PLANTA DE COBRE</c:v>
                </c:pt>
                <c:pt idx="5">
                  <c:v>SANTA BARBARA</c:v>
                </c:pt>
              </c:strCache>
            </c:strRef>
          </c:cat>
          <c:val>
            <c:numRef>
              <c:f>GRAFICOS!$B$50:$B$55</c:f>
              <c:numCache>
                <c:formatCode>General</c:formatCode>
                <c:ptCount val="6"/>
                <c:pt idx="0">
                  <c:v>18</c:v>
                </c:pt>
                <c:pt idx="1">
                  <c:v>26</c:v>
                </c:pt>
                <c:pt idx="2">
                  <c:v>1</c:v>
                </c:pt>
                <c:pt idx="3">
                  <c:v>5</c:v>
                </c:pt>
                <c:pt idx="4">
                  <c:v>9</c:v>
                </c:pt>
                <c:pt idx="5">
                  <c:v>20</c:v>
                </c:pt>
              </c:numCache>
            </c:numRef>
          </c:val>
          <c:extLst>
            <c:ext xmlns:c16="http://schemas.microsoft.com/office/drawing/2014/chart" uri="{C3380CC4-5D6E-409C-BE32-E72D297353CC}">
              <c16:uniqueId val="{00000000-A5E4-4F5E-A5E7-2F04ACF48C87}"/>
            </c:ext>
          </c:extLst>
        </c:ser>
        <c:ser>
          <c:idx val="1"/>
          <c:order val="1"/>
          <c:tx>
            <c:strRef>
              <c:f>GRAFICOS!$C$49</c:f>
              <c:strCache>
                <c:ptCount val="1"/>
                <c:pt idx="0">
                  <c:v>Suma de Capturados</c:v>
                </c:pt>
              </c:strCache>
            </c:strRef>
          </c:tx>
          <c:spPr>
            <a:solidFill>
              <a:srgbClr val="A80000"/>
            </a:solidFill>
            <a:ln>
              <a:noFill/>
            </a:ln>
            <a:effectLst/>
          </c:spPr>
          <c:invertIfNegative val="0"/>
          <c:cat>
            <c:strRef>
              <c:f>GRAFICOS!$A$50:$A$55</c:f>
              <c:strCache>
                <c:ptCount val="6"/>
                <c:pt idx="0">
                  <c:v>FUNDICION</c:v>
                </c:pt>
                <c:pt idx="1">
                  <c:v>LA CARIDAD</c:v>
                </c:pt>
                <c:pt idx="2">
                  <c:v>OFICINAS MEXICO</c:v>
                </c:pt>
                <c:pt idx="3">
                  <c:v>PLANTA DE CAL</c:v>
                </c:pt>
                <c:pt idx="4">
                  <c:v>PLANTA DE COBRE</c:v>
                </c:pt>
                <c:pt idx="5">
                  <c:v>SANTA BARBARA</c:v>
                </c:pt>
              </c:strCache>
            </c:strRef>
          </c:cat>
          <c:val>
            <c:numRef>
              <c:f>GRAFICOS!$C$50:$C$55</c:f>
              <c:numCache>
                <c:formatCode>General</c:formatCode>
                <c:ptCount val="6"/>
                <c:pt idx="0">
                  <c:v>91</c:v>
                </c:pt>
                <c:pt idx="1">
                  <c:v>42</c:v>
                </c:pt>
                <c:pt idx="2">
                  <c:v>0</c:v>
                </c:pt>
                <c:pt idx="3">
                  <c:v>0</c:v>
                </c:pt>
                <c:pt idx="4">
                  <c:v>0</c:v>
                </c:pt>
                <c:pt idx="5">
                  <c:v>27</c:v>
                </c:pt>
              </c:numCache>
            </c:numRef>
          </c:val>
          <c:extLst>
            <c:ext xmlns:c16="http://schemas.microsoft.com/office/drawing/2014/chart" uri="{C3380CC4-5D6E-409C-BE32-E72D297353CC}">
              <c16:uniqueId val="{00000001-A5E4-4F5E-A5E7-2F04ACF48C87}"/>
            </c:ext>
          </c:extLst>
        </c:ser>
        <c:ser>
          <c:idx val="2"/>
          <c:order val="2"/>
          <c:tx>
            <c:strRef>
              <c:f>GRAFICOS!$D$49</c:f>
              <c:strCache>
                <c:ptCount val="1"/>
                <c:pt idx="0">
                  <c:v>Suma de Total Contratos Estado</c:v>
                </c:pt>
              </c:strCache>
            </c:strRef>
          </c:tx>
          <c:spPr>
            <a:solidFill>
              <a:srgbClr val="A9CEDC"/>
            </a:solidFill>
            <a:ln>
              <a:noFill/>
            </a:ln>
            <a:effectLst/>
          </c:spPr>
          <c:invertIfNegative val="0"/>
          <c:cat>
            <c:strRef>
              <c:f>GRAFICOS!$A$50:$A$55</c:f>
              <c:strCache>
                <c:ptCount val="6"/>
                <c:pt idx="0">
                  <c:v>FUNDICION</c:v>
                </c:pt>
                <c:pt idx="1">
                  <c:v>LA CARIDAD</c:v>
                </c:pt>
                <c:pt idx="2">
                  <c:v>OFICINAS MEXICO</c:v>
                </c:pt>
                <c:pt idx="3">
                  <c:v>PLANTA DE CAL</c:v>
                </c:pt>
                <c:pt idx="4">
                  <c:v>PLANTA DE COBRE</c:v>
                </c:pt>
                <c:pt idx="5">
                  <c:v>SANTA BARBARA</c:v>
                </c:pt>
              </c:strCache>
            </c:strRef>
          </c:cat>
          <c:val>
            <c:numRef>
              <c:f>GRAFICOS!$D$50:$D$55</c:f>
              <c:numCache>
                <c:formatCode>General</c:formatCode>
                <c:ptCount val="6"/>
                <c:pt idx="0">
                  <c:v>109</c:v>
                </c:pt>
                <c:pt idx="1">
                  <c:v>68</c:v>
                </c:pt>
                <c:pt idx="2">
                  <c:v>1</c:v>
                </c:pt>
                <c:pt idx="3">
                  <c:v>5</c:v>
                </c:pt>
                <c:pt idx="4">
                  <c:v>9</c:v>
                </c:pt>
                <c:pt idx="5">
                  <c:v>47</c:v>
                </c:pt>
              </c:numCache>
            </c:numRef>
          </c:val>
          <c:extLst>
            <c:ext xmlns:c16="http://schemas.microsoft.com/office/drawing/2014/chart" uri="{C3380CC4-5D6E-409C-BE32-E72D297353CC}">
              <c16:uniqueId val="{00000002-A5E4-4F5E-A5E7-2F04ACF48C87}"/>
            </c:ext>
          </c:extLst>
        </c:ser>
        <c:dLbls>
          <c:showLegendKey val="0"/>
          <c:showVal val="0"/>
          <c:showCatName val="0"/>
          <c:showSerName val="0"/>
          <c:showPercent val="0"/>
          <c:showBubbleSize val="0"/>
        </c:dLbls>
        <c:gapWidth val="219"/>
        <c:overlap val="-27"/>
        <c:axId val="533287919"/>
        <c:axId val="533288399"/>
      </c:barChart>
      <c:catAx>
        <c:axId val="53328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solidFill>
                <a:latin typeface="+mn-lt"/>
                <a:ea typeface="+mn-ea"/>
                <a:cs typeface="+mn-cs"/>
              </a:defRPr>
            </a:pPr>
            <a:endParaRPr lang="es-MX"/>
          </a:p>
        </c:txPr>
        <c:crossAx val="533288399"/>
        <c:crosses val="autoZero"/>
        <c:auto val="1"/>
        <c:lblAlgn val="ctr"/>
        <c:lblOffset val="100"/>
        <c:noMultiLvlLbl val="0"/>
      </c:catAx>
      <c:valAx>
        <c:axId val="533288399"/>
        <c:scaling>
          <c:orientation val="minMax"/>
          <c:max val="1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332879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MX"/>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419793</xdr:colOff>
      <xdr:row>130</xdr:row>
      <xdr:rowOff>693</xdr:rowOff>
    </xdr:from>
    <xdr:to>
      <xdr:col>13</xdr:col>
      <xdr:colOff>419793</xdr:colOff>
      <xdr:row>143</xdr:row>
      <xdr:rowOff>126251</xdr:rowOff>
    </xdr:to>
    <mc:AlternateContent xmlns:mc="http://schemas.openxmlformats.org/markup-compatibility/2006" xmlns:a14="http://schemas.microsoft.com/office/drawing/2010/main">
      <mc:Choice Requires="a14">
        <xdr:graphicFrame macro="">
          <xdr:nvGraphicFramePr>
            <xdr:cNvPr id="2" name="Unidad">
              <a:extLst>
                <a:ext uri="{FF2B5EF4-FFF2-40B4-BE49-F238E27FC236}">
                  <a16:creationId xmlns:a16="http://schemas.microsoft.com/office/drawing/2014/main" id="{B28E50B3-5BDD-458C-B9AE-4665C3E1ACBF}"/>
                </a:ext>
              </a:extLst>
            </xdr:cNvPr>
            <xdr:cNvGraphicFramePr/>
          </xdr:nvGraphicFramePr>
          <xdr:xfrm>
            <a:off x="0" y="0"/>
            <a:ext cx="0" cy="0"/>
          </xdr:xfrm>
          <a:graphic>
            <a:graphicData uri="http://schemas.microsoft.com/office/drawing/2010/slicer">
              <sle:slicer xmlns:sle="http://schemas.microsoft.com/office/drawing/2010/slicer" name="Unidad"/>
            </a:graphicData>
          </a:graphic>
        </xdr:graphicFrame>
      </mc:Choice>
      <mc:Fallback xmlns="">
        <xdr:sp macro="" textlink="">
          <xdr:nvSpPr>
            <xdr:cNvPr id="0" name=""/>
            <xdr:cNvSpPr>
              <a:spLocks noTextEdit="1"/>
            </xdr:cNvSpPr>
          </xdr:nvSpPr>
          <xdr:spPr>
            <a:xfrm>
              <a:off x="10282661" y="23816787"/>
              <a:ext cx="1833113" cy="2461878"/>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14</xdr:col>
      <xdr:colOff>40871</xdr:colOff>
      <xdr:row>129</xdr:row>
      <xdr:rowOff>120534</xdr:rowOff>
    </xdr:from>
    <xdr:to>
      <xdr:col>17</xdr:col>
      <xdr:colOff>40871</xdr:colOff>
      <xdr:row>143</xdr:row>
      <xdr:rowOff>65983</xdr:rowOff>
    </xdr:to>
    <mc:AlternateContent xmlns:mc="http://schemas.openxmlformats.org/markup-compatibility/2006" xmlns:a14="http://schemas.microsoft.com/office/drawing/2010/main">
      <mc:Choice Requires="a14">
        <xdr:graphicFrame macro="">
          <xdr:nvGraphicFramePr>
            <xdr:cNvPr id="3" name="% Captura">
              <a:extLst>
                <a:ext uri="{FF2B5EF4-FFF2-40B4-BE49-F238E27FC236}">
                  <a16:creationId xmlns:a16="http://schemas.microsoft.com/office/drawing/2014/main" id="{372175FE-2C8B-4D9E-9A13-76B350BC887D}"/>
                </a:ext>
              </a:extLst>
            </xdr:cNvPr>
            <xdr:cNvGraphicFramePr/>
          </xdr:nvGraphicFramePr>
          <xdr:xfrm>
            <a:off x="0" y="0"/>
            <a:ext cx="0" cy="0"/>
          </xdr:xfrm>
          <a:graphic>
            <a:graphicData uri="http://schemas.microsoft.com/office/drawing/2010/slicer">
              <sle:slicer xmlns:sle="http://schemas.microsoft.com/office/drawing/2010/slicer" name="% Captura"/>
            </a:graphicData>
          </a:graphic>
        </xdr:graphicFrame>
      </mc:Choice>
      <mc:Fallback xmlns="">
        <xdr:sp macro="" textlink="">
          <xdr:nvSpPr>
            <xdr:cNvPr id="0" name=""/>
            <xdr:cNvSpPr>
              <a:spLocks noTextEdit="1"/>
            </xdr:cNvSpPr>
          </xdr:nvSpPr>
          <xdr:spPr>
            <a:xfrm>
              <a:off x="12347890" y="23756911"/>
              <a:ext cx="1833113" cy="2461486"/>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282419</xdr:colOff>
      <xdr:row>0</xdr:row>
      <xdr:rowOff>0</xdr:rowOff>
    </xdr:from>
    <xdr:to>
      <xdr:col>23</xdr:col>
      <xdr:colOff>541027</xdr:colOff>
      <xdr:row>33</xdr:row>
      <xdr:rowOff>163704</xdr:rowOff>
    </xdr:to>
    <xdr:graphicFrame macro="">
      <xdr:nvGraphicFramePr>
        <xdr:cNvPr id="2" name="Gráfico 1">
          <a:extLst>
            <a:ext uri="{FF2B5EF4-FFF2-40B4-BE49-F238E27FC236}">
              <a16:creationId xmlns:a16="http://schemas.microsoft.com/office/drawing/2014/main" id="{7D5E081B-3336-4853-9573-1482576F0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419549</xdr:colOff>
      <xdr:row>0</xdr:row>
      <xdr:rowOff>0</xdr:rowOff>
    </xdr:from>
    <xdr:to>
      <xdr:col>17</xdr:col>
      <xdr:colOff>200201</xdr:colOff>
      <xdr:row>36</xdr:row>
      <xdr:rowOff>79128</xdr:rowOff>
    </xdr:to>
    <xdr:grpSp>
      <xdr:nvGrpSpPr>
        <xdr:cNvPr id="3" name="Grupo 2">
          <a:extLst>
            <a:ext uri="{FF2B5EF4-FFF2-40B4-BE49-F238E27FC236}">
              <a16:creationId xmlns:a16="http://schemas.microsoft.com/office/drawing/2014/main" id="{5E3D64ED-67E9-4D6B-9F83-6071BB11B966}"/>
            </a:ext>
          </a:extLst>
        </xdr:cNvPr>
        <xdr:cNvGrpSpPr/>
      </xdr:nvGrpSpPr>
      <xdr:grpSpPr>
        <a:xfrm>
          <a:off x="12283466" y="0"/>
          <a:ext cx="4543152" cy="6556128"/>
          <a:chOff x="8965164" y="4183224"/>
          <a:chExt cx="4550963" cy="6797169"/>
        </a:xfrm>
      </xdr:grpSpPr>
      <xdr:sp macro="" textlink="">
        <xdr:nvSpPr>
          <xdr:cNvPr id="4" name="Rectángulo: esquinas redondeadas 3">
            <a:extLst>
              <a:ext uri="{FF2B5EF4-FFF2-40B4-BE49-F238E27FC236}">
                <a16:creationId xmlns:a16="http://schemas.microsoft.com/office/drawing/2014/main" id="{E87690ED-1E00-0A5E-2B24-E9324B68F99B}"/>
              </a:ext>
            </a:extLst>
          </xdr:cNvPr>
          <xdr:cNvSpPr/>
        </xdr:nvSpPr>
        <xdr:spPr>
          <a:xfrm>
            <a:off x="8965164" y="4183224"/>
            <a:ext cx="4550963" cy="67971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aphicFrame macro="">
        <xdr:nvGraphicFramePr>
          <xdr:cNvPr id="5" name="Gráfico 4">
            <a:extLst>
              <a:ext uri="{FF2B5EF4-FFF2-40B4-BE49-F238E27FC236}">
                <a16:creationId xmlns:a16="http://schemas.microsoft.com/office/drawing/2014/main" id="{E2555C98-A7F5-1E9C-B130-5B1FF8920F72}"/>
              </a:ext>
            </a:extLst>
          </xdr:cNvPr>
          <xdr:cNvGraphicFramePr>
            <a:graphicFrameLocks/>
          </xdr:cNvGraphicFramePr>
        </xdr:nvGraphicFramePr>
        <xdr:xfrm>
          <a:off x="9252858" y="4415348"/>
          <a:ext cx="4027048" cy="632136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6</xdr:col>
      <xdr:colOff>317948</xdr:colOff>
      <xdr:row>0</xdr:row>
      <xdr:rowOff>1</xdr:rowOff>
    </xdr:from>
    <xdr:to>
      <xdr:col>11</xdr:col>
      <xdr:colOff>417214</xdr:colOff>
      <xdr:row>36</xdr:row>
      <xdr:rowOff>79129</xdr:rowOff>
    </xdr:to>
    <xdr:grpSp>
      <xdr:nvGrpSpPr>
        <xdr:cNvPr id="6" name="Grupo 5">
          <a:extLst>
            <a:ext uri="{FF2B5EF4-FFF2-40B4-BE49-F238E27FC236}">
              <a16:creationId xmlns:a16="http://schemas.microsoft.com/office/drawing/2014/main" id="{707F4564-ABC7-4F28-9AD8-763E2F0C46DF}"/>
            </a:ext>
          </a:extLst>
        </xdr:cNvPr>
        <xdr:cNvGrpSpPr/>
      </xdr:nvGrpSpPr>
      <xdr:grpSpPr>
        <a:xfrm>
          <a:off x="7726281" y="1"/>
          <a:ext cx="4554850" cy="6556128"/>
          <a:chOff x="8965164" y="4183224"/>
          <a:chExt cx="4550963" cy="6797169"/>
        </a:xfrm>
      </xdr:grpSpPr>
      <xdr:sp macro="" textlink="">
        <xdr:nvSpPr>
          <xdr:cNvPr id="7" name="Rectángulo: esquinas redondeadas 6">
            <a:extLst>
              <a:ext uri="{FF2B5EF4-FFF2-40B4-BE49-F238E27FC236}">
                <a16:creationId xmlns:a16="http://schemas.microsoft.com/office/drawing/2014/main" id="{031E8AC3-8355-BD67-CE04-5E47B50213C9}"/>
              </a:ext>
            </a:extLst>
          </xdr:cNvPr>
          <xdr:cNvSpPr/>
        </xdr:nvSpPr>
        <xdr:spPr>
          <a:xfrm>
            <a:off x="8965164" y="4183224"/>
            <a:ext cx="4550963" cy="67971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u="sng"/>
          </a:p>
        </xdr:txBody>
      </xdr:sp>
      <xdr:graphicFrame macro="">
        <xdr:nvGraphicFramePr>
          <xdr:cNvPr id="8" name="Gráfico 7">
            <a:extLst>
              <a:ext uri="{FF2B5EF4-FFF2-40B4-BE49-F238E27FC236}">
                <a16:creationId xmlns:a16="http://schemas.microsoft.com/office/drawing/2014/main" id="{B35B48C6-B55B-2798-4754-0D46A2BB99EB}"/>
              </a:ext>
            </a:extLst>
          </xdr:cNvPr>
          <xdr:cNvGraphicFramePr>
            <a:graphicFrameLocks/>
          </xdr:cNvGraphicFramePr>
        </xdr:nvGraphicFramePr>
        <xdr:xfrm>
          <a:off x="9252858" y="4415348"/>
          <a:ext cx="4027048" cy="6321363"/>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4</xdr:col>
      <xdr:colOff>468123</xdr:colOff>
      <xdr:row>44</xdr:row>
      <xdr:rowOff>105600</xdr:rowOff>
    </xdr:from>
    <xdr:to>
      <xdr:col>17</xdr:col>
      <xdr:colOff>53724</xdr:colOff>
      <xdr:row>62</xdr:row>
      <xdr:rowOff>144910</xdr:rowOff>
    </xdr:to>
    <xdr:grpSp>
      <xdr:nvGrpSpPr>
        <xdr:cNvPr id="9" name="Grupo 8">
          <a:extLst>
            <a:ext uri="{FF2B5EF4-FFF2-40B4-BE49-F238E27FC236}">
              <a16:creationId xmlns:a16="http://schemas.microsoft.com/office/drawing/2014/main" id="{BD73CC4F-E4B2-4326-85D1-F2394715B9FE}"/>
            </a:ext>
          </a:extLst>
        </xdr:cNvPr>
        <xdr:cNvGrpSpPr/>
      </xdr:nvGrpSpPr>
      <xdr:grpSpPr>
        <a:xfrm>
          <a:off x="6373623" y="8021933"/>
          <a:ext cx="10306518" cy="3277810"/>
          <a:chOff x="6156257" y="9964382"/>
          <a:chExt cx="11162139" cy="3380387"/>
        </a:xfrm>
      </xdr:grpSpPr>
      <xdr:sp macro="" textlink="">
        <xdr:nvSpPr>
          <xdr:cNvPr id="10" name="Rectángulo: esquinas redondeadas 9">
            <a:extLst>
              <a:ext uri="{FF2B5EF4-FFF2-40B4-BE49-F238E27FC236}">
                <a16:creationId xmlns:a16="http://schemas.microsoft.com/office/drawing/2014/main" id="{1BBA6A2C-BA21-A32D-E139-73F1CC331CF1}"/>
              </a:ext>
            </a:extLst>
          </xdr:cNvPr>
          <xdr:cNvSpPr/>
        </xdr:nvSpPr>
        <xdr:spPr>
          <a:xfrm>
            <a:off x="6156257" y="9964382"/>
            <a:ext cx="11162139" cy="33803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graphicFrame macro="">
        <xdr:nvGraphicFramePr>
          <xdr:cNvPr id="11" name="Gráfico 10">
            <a:extLst>
              <a:ext uri="{FF2B5EF4-FFF2-40B4-BE49-F238E27FC236}">
                <a16:creationId xmlns:a16="http://schemas.microsoft.com/office/drawing/2014/main" id="{8E6DAC72-B08A-4C1F-89C8-3A25C6488010}"/>
              </a:ext>
            </a:extLst>
          </xdr:cNvPr>
          <xdr:cNvGraphicFramePr/>
        </xdr:nvGraphicFramePr>
        <xdr:xfrm>
          <a:off x="6545385" y="10006116"/>
          <a:ext cx="10335846" cy="3306441"/>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drawings/drawing3.xml><?xml version="1.0" encoding="utf-8"?>
<c:userShapes xmlns:c="http://schemas.openxmlformats.org/drawingml/2006/chart">
  <cdr:relSizeAnchor xmlns:cdr="http://schemas.openxmlformats.org/drawingml/2006/chartDrawing">
    <cdr:from>
      <cdr:x>0.78969</cdr:x>
      <cdr:y>0.06932</cdr:y>
    </cdr:from>
    <cdr:to>
      <cdr:x>0.97621</cdr:x>
      <cdr:y>0.26803</cdr:y>
    </cdr:to>
    <cdr:pic>
      <cdr:nvPicPr>
        <cdr:cNvPr id="2" name="Imagen 1">
          <a:extLst xmlns:a="http://schemas.openxmlformats.org/drawingml/2006/main">
            <a:ext uri="{FF2B5EF4-FFF2-40B4-BE49-F238E27FC236}">
              <a16:creationId xmlns:a16="http://schemas.microsoft.com/office/drawing/2014/main" id="{346532D3-381C-4EE1-8291-7949DE7FF7C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8178800" y="222251"/>
          <a:ext cx="1931713" cy="637098"/>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2</xdr:col>
      <xdr:colOff>678180</xdr:colOff>
      <xdr:row>29</xdr:row>
      <xdr:rowOff>15240</xdr:rowOff>
    </xdr:from>
    <xdr:to>
      <xdr:col>4</xdr:col>
      <xdr:colOff>177661</xdr:colOff>
      <xdr:row>36</xdr:row>
      <xdr:rowOff>25799</xdr:rowOff>
    </xdr:to>
    <xdr:sp macro="" textlink="$G$28">
      <xdr:nvSpPr>
        <xdr:cNvPr id="3" name="Rectángulo: esquinas redondeadas 2">
          <a:extLst>
            <a:ext uri="{FF2B5EF4-FFF2-40B4-BE49-F238E27FC236}">
              <a16:creationId xmlns:a16="http://schemas.microsoft.com/office/drawing/2014/main" id="{AB7ADBFE-BB70-4CFD-85D6-735A0E081886}"/>
            </a:ext>
          </a:extLst>
        </xdr:cNvPr>
        <xdr:cNvSpPr/>
      </xdr:nvSpPr>
      <xdr:spPr>
        <a:xfrm>
          <a:off x="3771900" y="5135880"/>
          <a:ext cx="2699881" cy="1290719"/>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D786176-5C08-4C2F-89E2-2B54E4D139E3}" type="TxLink">
            <a:rPr lang="en-US" sz="1100" b="0" i="0" u="none" strike="noStrike">
              <a:solidFill>
                <a:srgbClr val="000000"/>
              </a:solidFill>
              <a:effectLst/>
              <a:latin typeface="Calibri"/>
              <a:ea typeface="Calibri"/>
              <a:cs typeface="Calibri"/>
            </a:rPr>
            <a:pPr marL="0" indent="0" algn="ctr"/>
            <a:t>75%</a:t>
          </a:fld>
          <a:endParaRPr lang="en-US" sz="3600" b="0" i="0" u="none" strike="noStrike">
            <a:solidFill>
              <a:srgbClr val="000000"/>
            </a:solidFill>
            <a:effectLst/>
            <a:latin typeface="Amasis MT Pro Black" panose="020F0502020204030204" pitchFamily="18" charset="0"/>
            <a:ea typeface="Calibri"/>
            <a:cs typeface="Calibri"/>
          </a:endParaRPr>
        </a:p>
      </xdr:txBody>
    </xdr:sp>
    <xdr:clientData/>
  </xdr:twoCellAnchor>
  <xdr:twoCellAnchor editAs="oneCell">
    <xdr:from>
      <xdr:col>0</xdr:col>
      <xdr:colOff>0</xdr:colOff>
      <xdr:row>28</xdr:row>
      <xdr:rowOff>76200</xdr:rowOff>
    </xdr:from>
    <xdr:to>
      <xdr:col>1</xdr:col>
      <xdr:colOff>693420</xdr:colOff>
      <xdr:row>41</xdr:row>
      <xdr:rowOff>165735</xdr:rowOff>
    </xdr:to>
    <mc:AlternateContent xmlns:mc="http://schemas.openxmlformats.org/markup-compatibility/2006" xmlns:a14="http://schemas.microsoft.com/office/drawing/2010/main">
      <mc:Choice Requires="a14">
        <xdr:graphicFrame macro="">
          <xdr:nvGraphicFramePr>
            <xdr:cNvPr id="4" name="Unidad 2">
              <a:extLst>
                <a:ext uri="{FF2B5EF4-FFF2-40B4-BE49-F238E27FC236}">
                  <a16:creationId xmlns:a16="http://schemas.microsoft.com/office/drawing/2014/main" id="{3FEBA6AD-3EB0-4EC0-B3C1-42605AFE4CCB}"/>
                </a:ext>
              </a:extLst>
            </xdr:cNvPr>
            <xdr:cNvGraphicFramePr/>
          </xdr:nvGraphicFramePr>
          <xdr:xfrm>
            <a:off x="0" y="0"/>
            <a:ext cx="0" cy="0"/>
          </xdr:xfrm>
          <a:graphic>
            <a:graphicData uri="http://schemas.microsoft.com/office/drawing/2010/slicer">
              <sle:slicer xmlns:sle="http://schemas.microsoft.com/office/drawing/2010/slicer" name="Unidad 2"/>
            </a:graphicData>
          </a:graphic>
        </xdr:graphicFrame>
      </mc:Choice>
      <mc:Fallback xmlns="">
        <xdr:sp macro="" textlink="">
          <xdr:nvSpPr>
            <xdr:cNvPr id="0" name=""/>
            <xdr:cNvSpPr>
              <a:spLocks noTextEdit="1"/>
            </xdr:cNvSpPr>
          </xdr:nvSpPr>
          <xdr:spPr>
            <a:xfrm>
              <a:off x="0" y="5196840"/>
              <a:ext cx="1828800" cy="2466975"/>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838200</xdr:colOff>
      <xdr:row>28</xdr:row>
      <xdr:rowOff>76200</xdr:rowOff>
    </xdr:from>
    <xdr:to>
      <xdr:col>2</xdr:col>
      <xdr:colOff>708660</xdr:colOff>
      <xdr:row>41</xdr:row>
      <xdr:rowOff>165735</xdr:rowOff>
    </xdr:to>
    <mc:AlternateContent xmlns:mc="http://schemas.openxmlformats.org/markup-compatibility/2006" xmlns:a14="http://schemas.microsoft.com/office/drawing/2010/main">
      <mc:Choice Requires="a14">
        <xdr:graphicFrame macro="">
          <xdr:nvGraphicFramePr>
            <xdr:cNvPr id="5" name="% Captura 2">
              <a:extLst>
                <a:ext uri="{FF2B5EF4-FFF2-40B4-BE49-F238E27FC236}">
                  <a16:creationId xmlns:a16="http://schemas.microsoft.com/office/drawing/2014/main" id="{396C05EC-0F33-4A17-9063-6A8BA4468D48}"/>
                </a:ext>
              </a:extLst>
            </xdr:cNvPr>
            <xdr:cNvGraphicFramePr/>
          </xdr:nvGraphicFramePr>
          <xdr:xfrm>
            <a:off x="0" y="0"/>
            <a:ext cx="0" cy="0"/>
          </xdr:xfrm>
          <a:graphic>
            <a:graphicData uri="http://schemas.microsoft.com/office/drawing/2010/slicer">
              <sle:slicer xmlns:sle="http://schemas.microsoft.com/office/drawing/2010/slicer" name="% Captura 2"/>
            </a:graphicData>
          </a:graphic>
        </xdr:graphicFrame>
      </mc:Choice>
      <mc:Fallback xmlns="">
        <xdr:sp macro="" textlink="">
          <xdr:nvSpPr>
            <xdr:cNvPr id="0" name=""/>
            <xdr:cNvSpPr>
              <a:spLocks noTextEdit="1"/>
            </xdr:cNvSpPr>
          </xdr:nvSpPr>
          <xdr:spPr>
            <a:xfrm>
              <a:off x="2583180" y="5196840"/>
              <a:ext cx="1828800" cy="2466975"/>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2</xdr:col>
      <xdr:colOff>220980</xdr:colOff>
      <xdr:row>27</xdr:row>
      <xdr:rowOff>137160</xdr:rowOff>
    </xdr:from>
    <xdr:to>
      <xdr:col>5</xdr:col>
      <xdr:colOff>1036320</xdr:colOff>
      <xdr:row>30</xdr:row>
      <xdr:rowOff>178199</xdr:rowOff>
    </xdr:to>
    <xdr:sp macro="" textlink="$H$27">
      <xdr:nvSpPr>
        <xdr:cNvPr id="6" name="Rectángulo: esquinas redondeadas 5">
          <a:extLst>
            <a:ext uri="{FF2B5EF4-FFF2-40B4-BE49-F238E27FC236}">
              <a16:creationId xmlns:a16="http://schemas.microsoft.com/office/drawing/2014/main" id="{2BAC653A-DDC8-4727-8B64-6C4FB1FCD6EE}"/>
            </a:ext>
          </a:extLst>
        </xdr:cNvPr>
        <xdr:cNvSpPr/>
      </xdr:nvSpPr>
      <xdr:spPr>
        <a:xfrm>
          <a:off x="3314700" y="4892040"/>
          <a:ext cx="4968240" cy="589679"/>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4933052-9D6A-4C99-9670-C739808EE006}" type="TxLink">
            <a:rPr lang="en-US" sz="2000" b="0" i="0" u="none" strike="noStrike">
              <a:solidFill>
                <a:srgbClr val="000000"/>
              </a:solidFill>
              <a:effectLst/>
              <a:latin typeface="Amasis MT Pro Black" panose="020F0502020204030204" pitchFamily="18" charset="0"/>
              <a:ea typeface="Calibri"/>
              <a:cs typeface="Calibri"/>
            </a:rPr>
            <a:pPr marL="0" indent="0" algn="ctr"/>
            <a:t>TOTAL GENERAL</a:t>
          </a:fld>
          <a:endParaRPr lang="en-US" sz="2000" b="0" i="0" u="none" strike="noStrike">
            <a:solidFill>
              <a:srgbClr val="000000"/>
            </a:solidFill>
            <a:effectLst/>
            <a:latin typeface="Amasis MT Pro Black" panose="020F0502020204030204" pitchFamily="18" charset="0"/>
            <a:ea typeface="Calibri"/>
            <a:cs typeface="Calibri"/>
          </a:endParaRPr>
        </a:p>
      </xdr:txBody>
    </xdr:sp>
    <xdr:clientData/>
  </xdr:twoCellAnchor>
  <xdr:twoCellAnchor>
    <xdr:from>
      <xdr:col>2</xdr:col>
      <xdr:colOff>1043940</xdr:colOff>
      <xdr:row>35</xdr:row>
      <xdr:rowOff>121920</xdr:rowOff>
    </xdr:from>
    <xdr:to>
      <xdr:col>3</xdr:col>
      <xdr:colOff>234781</xdr:colOff>
      <xdr:row>37</xdr:row>
      <xdr:rowOff>56115</xdr:rowOff>
    </xdr:to>
    <xdr:sp macro="" textlink="">
      <xdr:nvSpPr>
        <xdr:cNvPr id="7" name="Rectángulo: esquinas redondeadas 6">
          <a:extLst>
            <a:ext uri="{FF2B5EF4-FFF2-40B4-BE49-F238E27FC236}">
              <a16:creationId xmlns:a16="http://schemas.microsoft.com/office/drawing/2014/main" id="{BC3A34E6-E9E1-4632-9A57-3DC326CDD572}"/>
            </a:ext>
          </a:extLst>
        </xdr:cNvPr>
        <xdr:cNvSpPr/>
      </xdr:nvSpPr>
      <xdr:spPr>
        <a:xfrm>
          <a:off x="4137660" y="6339840"/>
          <a:ext cx="1118701" cy="299955"/>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s-MX" sz="1600" b="1" i="0" u="none" strike="noStrike">
              <a:solidFill>
                <a:srgbClr val="000000"/>
              </a:solidFill>
              <a:latin typeface="Amasis MT Pro Black" panose="02040A04050005020304" pitchFamily="18" charset="0"/>
              <a:ea typeface="Calibri"/>
              <a:cs typeface="Segoe UI" panose="020B0502040204020203" pitchFamily="34" charset="0"/>
            </a:rPr>
            <a:t>Total</a:t>
          </a:r>
        </a:p>
        <a:p>
          <a:pPr marL="0" indent="0" algn="l"/>
          <a:endParaRPr lang="es-MX" sz="1600" b="1" i="0" u="none" strike="noStrike">
            <a:solidFill>
              <a:srgbClr val="000000"/>
            </a:solidFill>
            <a:latin typeface="Amasis MT Pro" panose="020F0502020204030204" pitchFamily="18" charset="0"/>
            <a:ea typeface="Calibri"/>
            <a:cs typeface="Segoe UI" panose="020B0502040204020203" pitchFamily="34" charset="0"/>
          </a:endParaRPr>
        </a:p>
      </xdr:txBody>
    </xdr:sp>
    <xdr:clientData/>
  </xdr:twoCellAnchor>
  <xdr:twoCellAnchor>
    <xdr:from>
      <xdr:col>2</xdr:col>
      <xdr:colOff>1028700</xdr:colOff>
      <xdr:row>36</xdr:row>
      <xdr:rowOff>144780</xdr:rowOff>
    </xdr:from>
    <xdr:to>
      <xdr:col>3</xdr:col>
      <xdr:colOff>219541</xdr:colOff>
      <xdr:row>38</xdr:row>
      <xdr:rowOff>78975</xdr:rowOff>
    </xdr:to>
    <xdr:sp macro="" textlink="">
      <xdr:nvSpPr>
        <xdr:cNvPr id="8" name="Rectángulo: esquinas redondeadas 7">
          <a:extLst>
            <a:ext uri="{FF2B5EF4-FFF2-40B4-BE49-F238E27FC236}">
              <a16:creationId xmlns:a16="http://schemas.microsoft.com/office/drawing/2014/main" id="{6CB49DD9-454C-413D-BF41-E80F9060F496}"/>
            </a:ext>
          </a:extLst>
        </xdr:cNvPr>
        <xdr:cNvSpPr/>
      </xdr:nvSpPr>
      <xdr:spPr>
        <a:xfrm>
          <a:off x="4122420" y="6545580"/>
          <a:ext cx="1118701" cy="299955"/>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s-MX" sz="1600" b="1" i="0" u="none" strike="noStrike">
              <a:solidFill>
                <a:srgbClr val="000000"/>
              </a:solidFill>
              <a:latin typeface="Amasis MT Pro Black" panose="02040A04050005020304" pitchFamily="18" charset="0"/>
              <a:ea typeface="Calibri"/>
              <a:cs typeface="Segoe UI" panose="020B0502040204020203" pitchFamily="34" charset="0"/>
            </a:rPr>
            <a:t>Captura</a:t>
          </a:r>
        </a:p>
        <a:p>
          <a:pPr marL="0" indent="0" algn="l"/>
          <a:endParaRPr lang="es-MX" sz="1600" b="1" i="0" u="none" strike="noStrike">
            <a:solidFill>
              <a:srgbClr val="000000"/>
            </a:solidFill>
            <a:latin typeface="Amasis MT Pro Black" panose="02040A04050005020304" pitchFamily="18" charset="0"/>
            <a:ea typeface="Calibri"/>
            <a:cs typeface="Segoe UI" panose="020B0502040204020203" pitchFamily="34" charset="0"/>
          </a:endParaRPr>
        </a:p>
      </xdr:txBody>
    </xdr:sp>
    <xdr:clientData/>
  </xdr:twoCellAnchor>
  <xdr:twoCellAnchor>
    <xdr:from>
      <xdr:col>2</xdr:col>
      <xdr:colOff>1043940</xdr:colOff>
      <xdr:row>38</xdr:row>
      <xdr:rowOff>22860</xdr:rowOff>
    </xdr:from>
    <xdr:to>
      <xdr:col>3</xdr:col>
      <xdr:colOff>234781</xdr:colOff>
      <xdr:row>39</xdr:row>
      <xdr:rowOff>139935</xdr:rowOff>
    </xdr:to>
    <xdr:sp macro="" textlink="">
      <xdr:nvSpPr>
        <xdr:cNvPr id="9" name="Rectángulo: esquinas redondeadas 8">
          <a:extLst>
            <a:ext uri="{FF2B5EF4-FFF2-40B4-BE49-F238E27FC236}">
              <a16:creationId xmlns:a16="http://schemas.microsoft.com/office/drawing/2014/main" id="{438A3654-9769-44A2-9701-DD45113A0DDE}"/>
            </a:ext>
          </a:extLst>
        </xdr:cNvPr>
        <xdr:cNvSpPr/>
      </xdr:nvSpPr>
      <xdr:spPr>
        <a:xfrm>
          <a:off x="4137660" y="6789420"/>
          <a:ext cx="1118701" cy="299955"/>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s-MX" sz="1600" b="1" i="0" u="none" strike="noStrike">
              <a:solidFill>
                <a:srgbClr val="000000"/>
              </a:solidFill>
              <a:latin typeface="Amasis MT Pro Black" panose="02040A04050005020304" pitchFamily="18" charset="0"/>
              <a:ea typeface="Calibri"/>
              <a:cs typeface="Segoe UI" panose="020B0502040204020203" pitchFamily="34" charset="0"/>
            </a:rPr>
            <a:t>Faltan</a:t>
          </a:r>
        </a:p>
        <a:p>
          <a:pPr marL="0" indent="0" algn="l"/>
          <a:endParaRPr lang="es-MX" sz="16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xdr:from>
      <xdr:col>2</xdr:col>
      <xdr:colOff>1638300</xdr:colOff>
      <xdr:row>34</xdr:row>
      <xdr:rowOff>152400</xdr:rowOff>
    </xdr:from>
    <xdr:to>
      <xdr:col>3</xdr:col>
      <xdr:colOff>762000</xdr:colOff>
      <xdr:row>38</xdr:row>
      <xdr:rowOff>10559</xdr:rowOff>
    </xdr:to>
    <xdr:sp macro="" textlink="$I$27">
      <xdr:nvSpPr>
        <xdr:cNvPr id="10" name="Rectángulo: esquinas redondeadas 9">
          <a:extLst>
            <a:ext uri="{FF2B5EF4-FFF2-40B4-BE49-F238E27FC236}">
              <a16:creationId xmlns:a16="http://schemas.microsoft.com/office/drawing/2014/main" id="{09179497-1AE0-457D-8BB2-C1CFED69D267}"/>
            </a:ext>
          </a:extLst>
        </xdr:cNvPr>
        <xdr:cNvSpPr/>
      </xdr:nvSpPr>
      <xdr:spPr>
        <a:xfrm>
          <a:off x="4732020" y="6187440"/>
          <a:ext cx="1051560" cy="589679"/>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48066EC-64D5-4778-92CE-19C25FC41606}" type="TxLink">
            <a:rPr lang="en-US" sz="1600" b="0" i="0" u="none" strike="noStrike">
              <a:solidFill>
                <a:srgbClr val="000000"/>
              </a:solidFill>
              <a:latin typeface="Amasis MT Pro Black" panose="02040A04050005020304" pitchFamily="18" charset="0"/>
              <a:ea typeface="Calibri"/>
              <a:cs typeface="Segoe UI" panose="020B0502040204020203" pitchFamily="34" charset="0"/>
            </a:rPr>
            <a:pPr marL="0" indent="0" algn="ctr"/>
            <a:t>479</a:t>
          </a:fld>
          <a:endParaRPr lang="en-US" sz="1600" b="0" i="0" u="none" strike="noStrike">
            <a:solidFill>
              <a:srgbClr val="000000"/>
            </a:solidFill>
            <a:latin typeface="Amasis MT Pro Black" panose="02040A04050005020304" pitchFamily="18" charset="0"/>
            <a:ea typeface="Calibri"/>
            <a:cs typeface="Segoe UI" panose="020B0502040204020203" pitchFamily="34" charset="0"/>
          </a:endParaRPr>
        </a:p>
      </xdr:txBody>
    </xdr:sp>
    <xdr:clientData/>
  </xdr:twoCellAnchor>
  <xdr:twoCellAnchor>
    <xdr:from>
      <xdr:col>2</xdr:col>
      <xdr:colOff>1645920</xdr:colOff>
      <xdr:row>35</xdr:row>
      <xdr:rowOff>144780</xdr:rowOff>
    </xdr:from>
    <xdr:to>
      <xdr:col>3</xdr:col>
      <xdr:colOff>769620</xdr:colOff>
      <xdr:row>39</xdr:row>
      <xdr:rowOff>2939</xdr:rowOff>
    </xdr:to>
    <xdr:sp macro="" textlink="$J$27">
      <xdr:nvSpPr>
        <xdr:cNvPr id="11" name="Rectángulo: esquinas redondeadas 10">
          <a:extLst>
            <a:ext uri="{FF2B5EF4-FFF2-40B4-BE49-F238E27FC236}">
              <a16:creationId xmlns:a16="http://schemas.microsoft.com/office/drawing/2014/main" id="{CBDAE6BD-3B4B-460C-83CD-F1C246A8A4B2}"/>
            </a:ext>
          </a:extLst>
        </xdr:cNvPr>
        <xdr:cNvSpPr/>
      </xdr:nvSpPr>
      <xdr:spPr>
        <a:xfrm>
          <a:off x="4739640" y="6362700"/>
          <a:ext cx="1051560" cy="589679"/>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DD7D1E2-9026-4731-8893-59083852B7AC}" type="TxLink">
            <a:rPr lang="en-US" sz="1600" b="0" i="0" u="none" strike="noStrike">
              <a:solidFill>
                <a:srgbClr val="000000"/>
              </a:solidFill>
              <a:latin typeface="Amasis MT Pro Black" panose="02040A04050005020304" pitchFamily="18" charset="0"/>
              <a:ea typeface="Calibri"/>
              <a:cs typeface="Segoe UI" panose="020B0502040204020203" pitchFamily="34" charset="0"/>
            </a:rPr>
            <a:pPr marL="0" indent="0" algn="ctr"/>
            <a:t>361</a:t>
          </a:fld>
          <a:endParaRPr lang="en-US" sz="1600" b="0" i="0" u="none" strike="noStrike">
            <a:solidFill>
              <a:srgbClr val="000000"/>
            </a:solidFill>
            <a:latin typeface="Amasis MT Pro Black" panose="02040A04050005020304" pitchFamily="18" charset="0"/>
            <a:ea typeface="Calibri"/>
            <a:cs typeface="Segoe UI" panose="020B0502040204020203" pitchFamily="34" charset="0"/>
          </a:endParaRPr>
        </a:p>
      </xdr:txBody>
    </xdr:sp>
    <xdr:clientData/>
  </xdr:twoCellAnchor>
  <xdr:twoCellAnchor>
    <xdr:from>
      <xdr:col>2</xdr:col>
      <xdr:colOff>1653540</xdr:colOff>
      <xdr:row>37</xdr:row>
      <xdr:rowOff>60960</xdr:rowOff>
    </xdr:from>
    <xdr:to>
      <xdr:col>3</xdr:col>
      <xdr:colOff>777240</xdr:colOff>
      <xdr:row>40</xdr:row>
      <xdr:rowOff>101999</xdr:rowOff>
    </xdr:to>
    <xdr:sp macro="" textlink="$K$27">
      <xdr:nvSpPr>
        <xdr:cNvPr id="12" name="Rectángulo: esquinas redondeadas 11">
          <a:extLst>
            <a:ext uri="{FF2B5EF4-FFF2-40B4-BE49-F238E27FC236}">
              <a16:creationId xmlns:a16="http://schemas.microsoft.com/office/drawing/2014/main" id="{8D4EA533-161C-4C15-9C38-EE662354AA47}"/>
            </a:ext>
          </a:extLst>
        </xdr:cNvPr>
        <xdr:cNvSpPr/>
      </xdr:nvSpPr>
      <xdr:spPr>
        <a:xfrm>
          <a:off x="4747260" y="6644640"/>
          <a:ext cx="1051560" cy="589679"/>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34F7200-3A06-4DB3-80CA-7491D71FF253}" type="TxLink">
            <a:rPr lang="en-US" sz="1600" b="0" i="0" u="none" strike="noStrike">
              <a:solidFill>
                <a:srgbClr val="000000"/>
              </a:solidFill>
              <a:latin typeface="Amasis MT Pro Black" panose="02040A04050005020304" pitchFamily="18" charset="0"/>
              <a:ea typeface="Calibri"/>
              <a:cs typeface="Segoe UI" panose="020B0502040204020203" pitchFamily="34" charset="0"/>
            </a:rPr>
            <a:pPr marL="0" indent="0" algn="ctr"/>
            <a:t>116</a:t>
          </a:fld>
          <a:endParaRPr lang="en-US" sz="1600" b="0" i="0" u="none" strike="noStrike">
            <a:solidFill>
              <a:srgbClr val="000000"/>
            </a:solidFill>
            <a:latin typeface="Amasis MT Pro Black" panose="02040A04050005020304" pitchFamily="18" charset="0"/>
            <a:ea typeface="Calibri"/>
            <a:cs typeface="Segoe UI" panose="020B0502040204020203"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473656e35f09c646/Desktop/OCTUBRE%20DASHLINO%202025.xlsx" TargetMode="External"/><Relationship Id="rId1" Type="http://schemas.openxmlformats.org/officeDocument/2006/relationships/externalLinkPath" Target="OCTUBRE%20DASHLINO%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NU DE CONSULTA DR"/>
      <sheetName val="TABLA PIVOT"/>
      <sheetName val="TARJETAS"/>
      <sheetName val="GRAFICO META"/>
      <sheetName val="GRAFICOS"/>
      <sheetName val="DASHBOARD-R"/>
      <sheetName val="Indicadores"/>
      <sheetName val="Indicadores PRIME"/>
      <sheetName val="Comparación_Métodos"/>
      <sheetName val="Duplicados_Detectados"/>
      <sheetName val="Capturados"/>
      <sheetName val="FALTAN"/>
      <sheetName val="⚠️ Vacíos_Estado"/>
      <sheetName val="⚠️ Vacíos_Padrón"/>
      <sheetName val="Registros_Eliminados"/>
      <sheetName val="Detalle_Duplicados"/>
    </sheetNames>
    <sheetDataSet>
      <sheetData sheetId="0"/>
      <sheetData sheetId="1"/>
      <sheetData sheetId="2"/>
      <sheetData sheetId="3">
        <row r="1">
          <cell r="B1" t="str">
            <v>LOGRADO</v>
          </cell>
          <cell r="C1" t="str">
            <v>META</v>
          </cell>
        </row>
        <row r="2">
          <cell r="A2" t="str">
            <v>🔵 TOTAL GENERAL</v>
          </cell>
          <cell r="B2">
            <v>0.79</v>
          </cell>
          <cell r="C2">
            <v>1</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HISTORIAL%20DASHLINO/NOVIEMBRE%202025%20-%20copia%20(2).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o Higuera" refreshedDate="46004.808057986113" createdVersion="8" refreshedVersion="8" minRefreshableVersion="3" recordCount="22" xr:uid="{D47D8F2F-18DC-45C2-8361-5982C458FC0A}">
  <cacheSource type="worksheet">
    <worksheetSource name="SEGMENTACION_UNIDAD[[Unidad]:[% Captura]]"/>
  </cacheSource>
  <cacheFields count="6">
    <cacheField name="Unidad" numFmtId="0">
      <sharedItems count="22">
        <s v="ANGANGUEO"/>
        <s v="CANANEA"/>
        <s v="CHARCAS"/>
        <s v="EL ARCO, B.C."/>
        <s v="ESTACION SANTIAGO"/>
        <s v="FUNDICION"/>
        <s v="LA CARIDAD"/>
        <s v="NUEVA ROSITA"/>
        <s v="OFICINAS MEXICO"/>
        <s v="PARQUE BICENTENARIO"/>
        <s v="PARQUE MONTERREY"/>
        <s v="PLANTA DE CAL"/>
        <s v="PLANTA DE COBRE"/>
        <s v="PLANTA DE ZINC"/>
        <s v="PTDARZ"/>
        <s v="SAN MARTIN"/>
        <s v="SANTA BARBARA"/>
        <s v="SANTA EULALIA"/>
        <s v="SN MARTIN (CHALCHIHUITES)"/>
        <s v="TALLER CENTRAL"/>
        <s v="TAXCO"/>
        <s v="TOTAL GENERAL"/>
      </sharedItems>
    </cacheField>
    <cacheField name="Total Contratos Padrón" numFmtId="0">
      <sharedItems containsSemiMixedTypes="0" containsString="0" containsNumber="1" containsInteger="1" minValue="0" maxValue="681"/>
    </cacheField>
    <cacheField name="Total Contratos Estado" numFmtId="0">
      <sharedItems containsSemiMixedTypes="0" containsString="0" containsNumber="1" containsInteger="1" minValue="1" maxValue="479"/>
    </cacheField>
    <cacheField name="Capturados" numFmtId="0">
      <sharedItems containsSemiMixedTypes="0" containsString="0" containsNumber="1" containsInteger="1" minValue="0" maxValue="361"/>
    </cacheField>
    <cacheField name="Faltan" numFmtId="0">
      <sharedItems containsSemiMixedTypes="0" containsString="0" containsNumber="1" containsInteger="1" minValue="0" maxValue="118"/>
    </cacheField>
    <cacheField name="% Captura" numFmtId="0">
      <sharedItems containsSemiMixedTypes="0" containsString="0" containsNumber="1" minValue="0" maxValue="1" count="9">
        <n v="0"/>
        <n v="1"/>
        <n v="0.80600000000000005"/>
        <n v="0.83499999999999996"/>
        <n v="0.61799999999999999"/>
        <n v="0.79200000000000004"/>
        <n v="0.83"/>
        <n v="0.57399999999999995"/>
        <n v="0.754"/>
      </sharedItems>
    </cacheField>
  </cacheFields>
  <extLst>
    <ext xmlns:x14="http://schemas.microsoft.com/office/spreadsheetml/2009/9/main" uri="{725AE2AE-9491-48be-B2B4-4EB974FC3084}">
      <x14:pivotCacheDefinition pivotCacheId="17180199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o Higuera" refreshedDate="46004.808058333336" createdVersion="8" refreshedVersion="8" minRefreshableVersion="3" recordCount="22" xr:uid="{592D905F-6AF3-4E45-8C37-B6566E3D8FCF}">
  <cacheSource type="worksheet">
    <worksheetSource name="Tabla4_1"/>
  </cacheSource>
  <cacheFields count="7">
    <cacheField name="Unidad" numFmtId="0">
      <sharedItems count="22">
        <s v="ANGANGUEO"/>
        <s v="CANANEA"/>
        <s v="CHARCAS"/>
        <s v="EL ARCO, B.C."/>
        <s v="ESTACION SANTIAGO"/>
        <s v="FUNDICION"/>
        <s v="LA CARIDAD"/>
        <s v="NUEVA ROSITA"/>
        <s v="OFICINAS MEXICO"/>
        <s v="PARQUE BICENTENARIO"/>
        <s v="PARQUE MONTERREY"/>
        <s v="PLANTA DE CAL"/>
        <s v="PLANTA DE COBRE"/>
        <s v="PLANTA DE ZINC"/>
        <s v="PTDARZ"/>
        <s v="SAN MARTIN"/>
        <s v="SANTA BARBARA"/>
        <s v="SANTA EULALIA"/>
        <s v="SN MARTIN (CHALCHIHUITES)"/>
        <s v="TALLER CENTRAL"/>
        <s v="TAXCO"/>
        <s v="TOTAL GENERAL"/>
      </sharedItems>
    </cacheField>
    <cacheField name="Total Contratos Padrón" numFmtId="0">
      <sharedItems containsSemiMixedTypes="0" containsString="0" containsNumber="1" containsInteger="1" minValue="0" maxValue="681"/>
    </cacheField>
    <cacheField name="Total Contratos Estado" numFmtId="0">
      <sharedItems containsSemiMixedTypes="0" containsString="0" containsNumber="1" containsInteger="1" minValue="1" maxValue="479"/>
    </cacheField>
    <cacheField name="Capturados" numFmtId="0">
      <sharedItems containsSemiMixedTypes="0" containsString="0" containsNumber="1" containsInteger="1" minValue="0" maxValue="361"/>
    </cacheField>
    <cacheField name="Faltan" numFmtId="0">
      <sharedItems containsSemiMixedTypes="0" containsString="0" containsNumber="1" containsInteger="1" minValue="0" maxValue="118"/>
    </cacheField>
    <cacheField name="% Captura" numFmtId="9">
      <sharedItems containsMixedTypes="1" containsNumber="1" containsInteger="1" minValue="1" maxValue="1"/>
    </cacheField>
    <cacheField name="TOTAL GENERAL"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o Higuera" refreshedDate="46004.808058796298" createdVersion="8" refreshedVersion="8" minRefreshableVersion="3" recordCount="22" xr:uid="{1E12668A-B733-4F57-AB10-E03C232C558A}">
  <cacheSource type="worksheet">
    <worksheetSource name="Tabla2" r:id="rId2"/>
  </cacheSource>
  <cacheFields count="6">
    <cacheField name="Unidad" numFmtId="0">
      <sharedItems count="22">
        <s v="ANGANGUEO"/>
        <s v="CANANEA"/>
        <s v="CHARCAS"/>
        <s v="EL ARCO, B.C."/>
        <s v="ESTACION SANTIAGO"/>
        <s v="FUNDICION"/>
        <s v="LA CARIDAD"/>
        <s v="NUEVA ROSITA"/>
        <s v="OFICINAS MEXICO"/>
        <s v="PARQUE BICENTENARIO"/>
        <s v="PLANTA DE CAL"/>
        <s v="PLANTA DE COBRE"/>
        <s v="PLANTA DE ZINC"/>
        <s v="PTDARZ"/>
        <s v="SAN MARTIN"/>
        <s v="SANTA BARBARA"/>
        <s v="SANTA EULALIA"/>
        <s v="TALLER CENTRAL"/>
        <s v="TAXCO"/>
        <s v="ZINC VIVERO DIDACTIVO"/>
        <s v="ZINC VIVERO FORESTAL"/>
        <s v="🔵 TOTAL GENERAL"/>
      </sharedItems>
    </cacheField>
    <cacheField name="Total Contratos Padrón" numFmtId="0">
      <sharedItems containsSemiMixedTypes="0" containsString="0" containsNumber="1" containsInteger="1" minValue="0" maxValue="794"/>
    </cacheField>
    <cacheField name="Total Contratos Estado" numFmtId="0">
      <sharedItems containsSemiMixedTypes="0" containsString="0" containsNumber="1" containsInteger="1" minValue="1" maxValue="481"/>
    </cacheField>
    <cacheField name="Capturados" numFmtId="0">
      <sharedItems containsSemiMixedTypes="0" containsString="0" containsNumber="1" containsInteger="1" minValue="0" maxValue="414"/>
    </cacheField>
    <cacheField name="Faltan" numFmtId="0">
      <sharedItems containsSemiMixedTypes="0" containsString="0" containsNumber="1" containsInteger="1" minValue="0" maxValue="67"/>
    </cacheField>
    <cacheField name="% Captura" numFmtId="9">
      <sharedItems containsMixedTypes="1" containsNumber="1" minValue="0" maxValue="1" count="9">
        <n v="1"/>
        <n v="0.873"/>
        <n v="0.73699999999999999"/>
        <n v="0"/>
        <n v="0.33300000000000002"/>
        <n v="0.111"/>
        <n v="0.45800000000000002"/>
        <n v="0.86070686070686075"/>
        <s v="Fórmula1" f="1"/>
      </sharedItems>
    </cacheField>
  </cacheFields>
  <calculatedItems count="1">
    <calculatedItem>
      <pivotArea cacheIndex="1" outline="0" fieldPosition="0">
        <references count="1">
          <reference field="5" count="1">
            <x v="8"/>
          </reference>
        </references>
      </pivotArea>
    </calculatedItem>
  </calculatedItems>
  <extLst>
    <ext xmlns:x14="http://schemas.microsoft.com/office/spreadsheetml/2009/9/main" uri="{725AE2AE-9491-48be-B2B4-4EB974FC3084}">
      <x14:pivotCacheDefinition pivotCacheId="90189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n v="0"/>
    <n v="1"/>
    <n v="0"/>
    <n v="1"/>
    <x v="0"/>
  </r>
  <r>
    <x v="1"/>
    <n v="238"/>
    <n v="116"/>
    <n v="116"/>
    <n v="0"/>
    <x v="1"/>
  </r>
  <r>
    <x v="2"/>
    <n v="32"/>
    <n v="36"/>
    <n v="29"/>
    <n v="7"/>
    <x v="2"/>
  </r>
  <r>
    <x v="3"/>
    <n v="0"/>
    <n v="2"/>
    <n v="0"/>
    <n v="2"/>
    <x v="0"/>
  </r>
  <r>
    <x v="4"/>
    <n v="0"/>
    <n v="1"/>
    <n v="0"/>
    <n v="1"/>
    <x v="0"/>
  </r>
  <r>
    <x v="5"/>
    <n v="197"/>
    <n v="109"/>
    <n v="91"/>
    <n v="18"/>
    <x v="3"/>
  </r>
  <r>
    <x v="6"/>
    <n v="91"/>
    <n v="68"/>
    <n v="42"/>
    <n v="26"/>
    <x v="4"/>
  </r>
  <r>
    <x v="7"/>
    <n v="0"/>
    <n v="2"/>
    <n v="0"/>
    <n v="2"/>
    <x v="0"/>
  </r>
  <r>
    <x v="8"/>
    <n v="0"/>
    <n v="1"/>
    <n v="0"/>
    <n v="1"/>
    <x v="0"/>
  </r>
  <r>
    <x v="9"/>
    <n v="0"/>
    <n v="1"/>
    <n v="0"/>
    <n v="1"/>
    <x v="0"/>
  </r>
  <r>
    <x v="10"/>
    <n v="0"/>
    <n v="1"/>
    <n v="0"/>
    <n v="1"/>
    <x v="0"/>
  </r>
  <r>
    <x v="11"/>
    <n v="0"/>
    <n v="5"/>
    <n v="0"/>
    <n v="5"/>
    <x v="0"/>
  </r>
  <r>
    <x v="12"/>
    <n v="0"/>
    <n v="9"/>
    <n v="0"/>
    <n v="9"/>
    <x v="0"/>
  </r>
  <r>
    <x v="13"/>
    <n v="32"/>
    <n v="24"/>
    <n v="19"/>
    <n v="5"/>
    <x v="5"/>
  </r>
  <r>
    <x v="14"/>
    <n v="0"/>
    <n v="1"/>
    <n v="0"/>
    <n v="1"/>
    <x v="0"/>
  </r>
  <r>
    <x v="15"/>
    <n v="46"/>
    <n v="47"/>
    <n v="39"/>
    <n v="8"/>
    <x v="6"/>
  </r>
  <r>
    <x v="16"/>
    <n v="45"/>
    <n v="47"/>
    <n v="27"/>
    <n v="20"/>
    <x v="7"/>
  </r>
  <r>
    <x v="17"/>
    <n v="0"/>
    <n v="3"/>
    <n v="0"/>
    <n v="3"/>
    <x v="0"/>
  </r>
  <r>
    <x v="18"/>
    <n v="0"/>
    <n v="1"/>
    <n v="0"/>
    <n v="1"/>
    <x v="0"/>
  </r>
  <r>
    <x v="19"/>
    <n v="0"/>
    <n v="3"/>
    <n v="0"/>
    <n v="3"/>
    <x v="0"/>
  </r>
  <r>
    <x v="20"/>
    <n v="0"/>
    <n v="1"/>
    <n v="0"/>
    <n v="1"/>
    <x v="0"/>
  </r>
  <r>
    <x v="21"/>
    <n v="681"/>
    <n v="479"/>
    <n v="361"/>
    <n v="118"/>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n v="0"/>
    <n v="1"/>
    <n v="0"/>
    <n v="1"/>
    <s v="0.0%"/>
    <m/>
  </r>
  <r>
    <x v="1"/>
    <n v="238"/>
    <n v="116"/>
    <n v="116"/>
    <n v="0"/>
    <n v="1"/>
    <m/>
  </r>
  <r>
    <x v="2"/>
    <n v="32"/>
    <n v="36"/>
    <n v="29"/>
    <n v="7"/>
    <s v="80.6%"/>
    <m/>
  </r>
  <r>
    <x v="3"/>
    <n v="0"/>
    <n v="2"/>
    <n v="0"/>
    <n v="2"/>
    <s v="0.0%"/>
    <m/>
  </r>
  <r>
    <x v="4"/>
    <n v="0"/>
    <n v="1"/>
    <n v="0"/>
    <n v="1"/>
    <s v="0.0%"/>
    <m/>
  </r>
  <r>
    <x v="5"/>
    <n v="197"/>
    <n v="109"/>
    <n v="91"/>
    <n v="18"/>
    <s v="83.5%"/>
    <m/>
  </r>
  <r>
    <x v="6"/>
    <n v="91"/>
    <n v="68"/>
    <n v="42"/>
    <n v="26"/>
    <s v="61.8%"/>
    <m/>
  </r>
  <r>
    <x v="7"/>
    <n v="0"/>
    <n v="2"/>
    <n v="0"/>
    <n v="2"/>
    <s v="0.0%"/>
    <m/>
  </r>
  <r>
    <x v="8"/>
    <n v="0"/>
    <n v="1"/>
    <n v="0"/>
    <n v="1"/>
    <s v="0.0%"/>
    <m/>
  </r>
  <r>
    <x v="9"/>
    <n v="0"/>
    <n v="1"/>
    <n v="0"/>
    <n v="1"/>
    <s v="0.0%"/>
    <m/>
  </r>
  <r>
    <x v="10"/>
    <n v="0"/>
    <n v="1"/>
    <n v="0"/>
    <n v="1"/>
    <s v="0.0%"/>
    <m/>
  </r>
  <r>
    <x v="11"/>
    <n v="0"/>
    <n v="5"/>
    <n v="0"/>
    <n v="5"/>
    <s v="0.0%"/>
    <m/>
  </r>
  <r>
    <x v="12"/>
    <n v="0"/>
    <n v="9"/>
    <n v="0"/>
    <n v="9"/>
    <s v="0.0%"/>
    <m/>
  </r>
  <r>
    <x v="13"/>
    <n v="32"/>
    <n v="24"/>
    <n v="19"/>
    <n v="5"/>
    <s v="79.2%"/>
    <m/>
  </r>
  <r>
    <x v="14"/>
    <n v="0"/>
    <n v="1"/>
    <n v="0"/>
    <n v="1"/>
    <s v="0.0%"/>
    <m/>
  </r>
  <r>
    <x v="15"/>
    <n v="46"/>
    <n v="47"/>
    <n v="39"/>
    <n v="8"/>
    <s v="83.0%"/>
    <m/>
  </r>
  <r>
    <x v="16"/>
    <n v="45"/>
    <n v="47"/>
    <n v="27"/>
    <n v="20"/>
    <s v="57.4%"/>
    <m/>
  </r>
  <r>
    <x v="17"/>
    <n v="0"/>
    <n v="3"/>
    <n v="0"/>
    <n v="3"/>
    <s v="0.0%"/>
    <m/>
  </r>
  <r>
    <x v="18"/>
    <n v="0"/>
    <n v="1"/>
    <n v="0"/>
    <n v="1"/>
    <s v="0.0%"/>
    <m/>
  </r>
  <r>
    <x v="19"/>
    <n v="0"/>
    <n v="3"/>
    <n v="0"/>
    <n v="3"/>
    <s v="0.0%"/>
    <m/>
  </r>
  <r>
    <x v="20"/>
    <n v="0"/>
    <n v="1"/>
    <n v="0"/>
    <n v="1"/>
    <s v="0.0%"/>
    <m/>
  </r>
  <r>
    <x v="21"/>
    <n v="681"/>
    <n v="479"/>
    <n v="361"/>
    <n v="118"/>
    <s v="75.4%"/>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n v="1"/>
    <n v="1"/>
    <n v="1"/>
    <n v="0"/>
    <x v="0"/>
  </r>
  <r>
    <x v="1"/>
    <n v="252"/>
    <n v="122"/>
    <n v="122"/>
    <n v="0"/>
    <x v="0"/>
  </r>
  <r>
    <x v="2"/>
    <n v="43"/>
    <n v="39"/>
    <n v="39"/>
    <n v="0"/>
    <x v="0"/>
  </r>
  <r>
    <x v="3"/>
    <n v="2"/>
    <n v="2"/>
    <n v="2"/>
    <n v="0"/>
    <x v="0"/>
  </r>
  <r>
    <x v="4"/>
    <n v="1"/>
    <n v="1"/>
    <n v="1"/>
    <n v="0"/>
    <x v="0"/>
  </r>
  <r>
    <x v="5"/>
    <n v="205"/>
    <n v="102"/>
    <n v="89"/>
    <n v="13"/>
    <x v="1"/>
  </r>
  <r>
    <x v="6"/>
    <n v="128"/>
    <n v="57"/>
    <n v="42"/>
    <n v="15"/>
    <x v="2"/>
  </r>
  <r>
    <x v="7"/>
    <n v="2"/>
    <n v="2"/>
    <n v="2"/>
    <n v="0"/>
    <x v="0"/>
  </r>
  <r>
    <x v="8"/>
    <n v="0"/>
    <n v="1"/>
    <n v="0"/>
    <n v="1"/>
    <x v="3"/>
  </r>
  <r>
    <x v="9"/>
    <n v="2"/>
    <n v="2"/>
    <n v="2"/>
    <n v="0"/>
    <x v="0"/>
  </r>
  <r>
    <x v="10"/>
    <n v="4"/>
    <n v="6"/>
    <n v="2"/>
    <n v="4"/>
    <x v="4"/>
  </r>
  <r>
    <x v="11"/>
    <n v="4"/>
    <n v="9"/>
    <n v="1"/>
    <n v="8"/>
    <x v="5"/>
  </r>
  <r>
    <x v="12"/>
    <n v="42"/>
    <n v="32"/>
    <n v="32"/>
    <n v="0"/>
    <x v="0"/>
  </r>
  <r>
    <x v="13"/>
    <n v="1"/>
    <n v="1"/>
    <n v="1"/>
    <n v="0"/>
    <x v="0"/>
  </r>
  <r>
    <x v="14"/>
    <n v="52"/>
    <n v="44"/>
    <n v="44"/>
    <n v="0"/>
    <x v="0"/>
  </r>
  <r>
    <x v="15"/>
    <n v="42"/>
    <n v="48"/>
    <n v="22"/>
    <n v="26"/>
    <x v="6"/>
  </r>
  <r>
    <x v="16"/>
    <n v="4"/>
    <n v="4"/>
    <n v="4"/>
    <n v="0"/>
    <x v="0"/>
  </r>
  <r>
    <x v="17"/>
    <n v="6"/>
    <n v="5"/>
    <n v="5"/>
    <n v="0"/>
    <x v="0"/>
  </r>
  <r>
    <x v="18"/>
    <n v="1"/>
    <n v="1"/>
    <n v="1"/>
    <n v="0"/>
    <x v="0"/>
  </r>
  <r>
    <x v="19"/>
    <n v="1"/>
    <n v="1"/>
    <n v="1"/>
    <n v="0"/>
    <x v="0"/>
  </r>
  <r>
    <x v="20"/>
    <n v="1"/>
    <n v="1"/>
    <n v="1"/>
    <n v="0"/>
    <x v="0"/>
  </r>
  <r>
    <x v="21"/>
    <n v="794"/>
    <n v="481"/>
    <n v="414"/>
    <n v="67"/>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244A18-DF3D-4727-8CFE-A9B739ED5436}" name="TablaDinámica12" cacheId="7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14:A181" firstHeaderRow="1" firstDataRow="1" firstDataCol="1"/>
  <pivotFields count="6">
    <pivotField axis="axisRow"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axis="axisRow" showAll="0" defaultSubtotal="0">
      <items count="9">
        <item f="1" x="8"/>
        <item x="7"/>
        <item x="0"/>
        <item x="1"/>
        <item x="2"/>
        <item x="3"/>
        <item x="4"/>
        <item x="5"/>
        <item x="6"/>
      </items>
    </pivotField>
  </pivotFields>
  <rowFields count="2">
    <field x="0"/>
    <field x="5"/>
  </rowFields>
  <rowItems count="67">
    <i>
      <x/>
    </i>
    <i r="1">
      <x/>
    </i>
    <i r="1">
      <x v="2"/>
    </i>
    <i>
      <x v="1"/>
    </i>
    <i r="1">
      <x/>
    </i>
    <i r="1">
      <x v="2"/>
    </i>
    <i>
      <x v="2"/>
    </i>
    <i r="1">
      <x/>
    </i>
    <i r="1">
      <x v="2"/>
    </i>
    <i>
      <x v="3"/>
    </i>
    <i r="1">
      <x/>
    </i>
    <i r="1">
      <x v="2"/>
    </i>
    <i>
      <x v="4"/>
    </i>
    <i r="1">
      <x/>
    </i>
    <i r="1">
      <x v="2"/>
    </i>
    <i>
      <x v="5"/>
    </i>
    <i r="1">
      <x/>
    </i>
    <i r="1">
      <x v="3"/>
    </i>
    <i>
      <x v="6"/>
    </i>
    <i r="1">
      <x/>
    </i>
    <i r="1">
      <x v="4"/>
    </i>
    <i>
      <x v="7"/>
    </i>
    <i r="1">
      <x/>
    </i>
    <i r="1">
      <x v="2"/>
    </i>
    <i>
      <x v="8"/>
    </i>
    <i r="1">
      <x/>
    </i>
    <i r="1">
      <x v="5"/>
    </i>
    <i>
      <x v="9"/>
    </i>
    <i r="1">
      <x/>
    </i>
    <i r="1">
      <x v="2"/>
    </i>
    <i>
      <x v="10"/>
    </i>
    <i r="1">
      <x/>
    </i>
    <i r="1">
      <x v="6"/>
    </i>
    <i>
      <x v="11"/>
    </i>
    <i r="1">
      <x/>
    </i>
    <i r="1">
      <x v="7"/>
    </i>
    <i>
      <x v="12"/>
    </i>
    <i r="1">
      <x/>
    </i>
    <i r="1">
      <x v="2"/>
    </i>
    <i>
      <x v="13"/>
    </i>
    <i r="1">
      <x/>
    </i>
    <i r="1">
      <x v="2"/>
    </i>
    <i>
      <x v="14"/>
    </i>
    <i r="1">
      <x/>
    </i>
    <i r="1">
      <x v="2"/>
    </i>
    <i>
      <x v="15"/>
    </i>
    <i r="1">
      <x/>
    </i>
    <i r="1">
      <x v="8"/>
    </i>
    <i>
      <x v="16"/>
    </i>
    <i r="1">
      <x/>
    </i>
    <i r="1">
      <x v="2"/>
    </i>
    <i>
      <x v="17"/>
    </i>
    <i r="1">
      <x/>
    </i>
    <i r="1">
      <x v="2"/>
    </i>
    <i>
      <x v="18"/>
    </i>
    <i r="1">
      <x/>
    </i>
    <i r="1">
      <x v="2"/>
    </i>
    <i>
      <x v="19"/>
    </i>
    <i r="1">
      <x/>
    </i>
    <i r="1">
      <x v="2"/>
    </i>
    <i>
      <x v="20"/>
    </i>
    <i r="1">
      <x/>
    </i>
    <i r="1">
      <x v="2"/>
    </i>
    <i>
      <x v="21"/>
    </i>
    <i r="1">
      <x/>
    </i>
    <i r="1">
      <x v="1"/>
    </i>
    <i t="grand">
      <x/>
    </i>
  </rowItems>
  <colItems count="1">
    <i/>
  </colItems>
  <formats count="1">
    <format dxfId="15">
      <pivotArea dataOnly="0" labelOnly="1" fieldPosition="0">
        <references count="2">
          <reference field="0" count="1" selected="0">
            <x v="21"/>
          </reference>
          <reference field="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67259D-0AEC-4A2D-80A4-7435969F764D}" name="TablaDinámica3" cacheId="7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A25:C46" firstHeaderRow="0" firstDataRow="1" firstDataCol="1"/>
  <pivotFields count="6">
    <pivotField axis="axisRow" showAll="0" sortType="descending">
      <items count="23">
        <item h="1" x="21"/>
        <item x="20"/>
        <item x="19"/>
        <item x="18"/>
        <item x="17"/>
        <item x="16"/>
        <item x="15"/>
        <item x="14"/>
        <item x="13"/>
        <item x="12"/>
        <item x="11"/>
        <item x="10"/>
        <item x="9"/>
        <item h="1" x="8"/>
        <item x="7"/>
        <item x="6"/>
        <item x="5"/>
        <item x="4"/>
        <item x="3"/>
        <item x="2"/>
        <item x="1"/>
        <item x="0"/>
        <item t="default"/>
      </items>
    </pivotField>
    <pivotField showAll="0"/>
    <pivotField dataField="1" showAll="0"/>
    <pivotField showAll="0"/>
    <pivotField dataField="1" showAll="0"/>
    <pivotField showAll="0">
      <items count="10">
        <item x="7"/>
        <item f="1" x="8"/>
        <item x="0"/>
        <item x="1"/>
        <item x="2"/>
        <item x="3"/>
        <item x="4"/>
        <item x="5"/>
        <item x="6"/>
        <item t="default"/>
      </items>
    </pivotField>
  </pivotFields>
  <rowFields count="1">
    <field x="0"/>
  </rowFields>
  <rowItems count="21">
    <i>
      <x v="1"/>
    </i>
    <i>
      <x v="2"/>
    </i>
    <i>
      <x v="3"/>
    </i>
    <i>
      <x v="4"/>
    </i>
    <i>
      <x v="5"/>
    </i>
    <i>
      <x v="6"/>
    </i>
    <i>
      <x v="7"/>
    </i>
    <i>
      <x v="8"/>
    </i>
    <i>
      <x v="9"/>
    </i>
    <i>
      <x v="10"/>
    </i>
    <i>
      <x v="11"/>
    </i>
    <i>
      <x v="12"/>
    </i>
    <i>
      <x v="14"/>
    </i>
    <i>
      <x v="15"/>
    </i>
    <i>
      <x v="16"/>
    </i>
    <i>
      <x v="17"/>
    </i>
    <i>
      <x v="18"/>
    </i>
    <i>
      <x v="19"/>
    </i>
    <i>
      <x v="20"/>
    </i>
    <i>
      <x v="21"/>
    </i>
    <i t="grand">
      <x/>
    </i>
  </rowItems>
  <colFields count="1">
    <field x="-2"/>
  </colFields>
  <colItems count="2">
    <i>
      <x/>
    </i>
    <i i="1">
      <x v="1"/>
    </i>
  </colItems>
  <dataFields count="2">
    <dataField name="Suma de Total Contratos Estado" fld="2" baseField="0" baseItem="0"/>
    <dataField name="Suma de Falta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F0B011-5B38-4F18-8F47-010A6C8540C4}" name="TablaDinámica4" cacheId="7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6">
  <location ref="A49:D55" firstHeaderRow="0" firstDataRow="1" firstDataCol="1"/>
  <pivotFields count="6">
    <pivotField axis="axisRow" showAll="0" sortType="ascending">
      <items count="23">
        <item h="1" x="0"/>
        <item h="1" x="1"/>
        <item h="1" x="2"/>
        <item h="1" x="3"/>
        <item h="1" x="4"/>
        <item x="5"/>
        <item x="6"/>
        <item h="1" x="7"/>
        <item h="1" x="8"/>
        <item h="1" x="9"/>
        <item x="10"/>
        <item x="11"/>
        <item h="1" x="12"/>
        <item h="1" x="13"/>
        <item h="1" x="14"/>
        <item x="15"/>
        <item h="1" x="16"/>
        <item h="1" x="17"/>
        <item h="1" x="18"/>
        <item h="1" x="19"/>
        <item h="1" x="20"/>
        <item h="1" x="21"/>
        <item t="default"/>
      </items>
    </pivotField>
    <pivotField showAll="0"/>
    <pivotField dataField="1" showAll="0"/>
    <pivotField dataField="1" showAll="0"/>
    <pivotField dataField="1" showAll="0"/>
    <pivotField showAll="0">
      <items count="10">
        <item x="7"/>
        <item f="1" x="8"/>
        <item x="0"/>
        <item x="1"/>
        <item x="2"/>
        <item x="3"/>
        <item x="4"/>
        <item x="5"/>
        <item x="6"/>
        <item t="default"/>
      </items>
    </pivotField>
  </pivotFields>
  <rowFields count="1">
    <field x="0"/>
  </rowFields>
  <rowItems count="6">
    <i>
      <x v="5"/>
    </i>
    <i>
      <x v="6"/>
    </i>
    <i>
      <x v="10"/>
    </i>
    <i>
      <x v="11"/>
    </i>
    <i>
      <x v="15"/>
    </i>
    <i t="grand">
      <x/>
    </i>
  </rowItems>
  <colFields count="1">
    <field x="-2"/>
  </colFields>
  <colItems count="3">
    <i>
      <x/>
    </i>
    <i i="1">
      <x v="1"/>
    </i>
    <i i="2">
      <x v="2"/>
    </i>
  </colItems>
  <dataFields count="3">
    <dataField name="Suma de Faltan" fld="4" baseField="0" baseItem="0"/>
    <dataField name="Suma de Capturados" fld="3" baseField="0" baseItem="0"/>
    <dataField name="Suma de Total Contratos Estado"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910A71-68DD-453B-9AE6-84DA2D2CF441}" name="TablaDinámica13" cacheId="75"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chartFormat="37">
  <location ref="A25:C46" firstHeaderRow="0" firstDataRow="1" firstDataCol="1"/>
  <pivotFields count="7">
    <pivotField axis="axisRow" showAll="0" sortType="descending">
      <items count="23">
        <item h="1" x="21"/>
        <item x="20"/>
        <item x="19"/>
        <item x="18"/>
        <item x="17"/>
        <item x="16"/>
        <item x="15"/>
        <item x="14"/>
        <item x="13"/>
        <item x="12"/>
        <item x="11"/>
        <item x="10"/>
        <item x="9"/>
        <item x="8"/>
        <item x="7"/>
        <item x="6"/>
        <item x="5"/>
        <item x="4"/>
        <item x="3"/>
        <item x="2"/>
        <item x="1"/>
        <item x="0"/>
        <item t="default"/>
      </items>
    </pivotField>
    <pivotField showAll="0"/>
    <pivotField showAll="0"/>
    <pivotField dataField="1" showAll="0"/>
    <pivotField dataField="1" showAll="0"/>
    <pivotField showAll="0"/>
    <pivotField showAll="0"/>
  </pivotFields>
  <rowFields count="1">
    <field x="0"/>
  </rowFields>
  <rowItems count="21">
    <i>
      <x v="1"/>
    </i>
    <i>
      <x v="2"/>
    </i>
    <i>
      <x v="3"/>
    </i>
    <i>
      <x v="4"/>
    </i>
    <i>
      <x v="5"/>
    </i>
    <i>
      <x v="6"/>
    </i>
    <i>
      <x v="7"/>
    </i>
    <i>
      <x v="8"/>
    </i>
    <i>
      <x v="9"/>
    </i>
    <i>
      <x v="10"/>
    </i>
    <i>
      <x v="11"/>
    </i>
    <i>
      <x v="12"/>
    </i>
    <i>
      <x v="13"/>
    </i>
    <i>
      <x v="14"/>
    </i>
    <i>
      <x v="15"/>
    </i>
    <i>
      <x v="16"/>
    </i>
    <i>
      <x v="17"/>
    </i>
    <i>
      <x v="18"/>
    </i>
    <i>
      <x v="19"/>
    </i>
    <i>
      <x v="20"/>
    </i>
    <i>
      <x v="21"/>
    </i>
  </rowItems>
  <colFields count="1">
    <field x="-2"/>
  </colFields>
  <colItems count="2">
    <i>
      <x/>
    </i>
    <i i="1">
      <x v="1"/>
    </i>
  </colItems>
  <dataFields count="2">
    <dataField name="Suma de Capturados" fld="3" baseField="0" baseItem="0"/>
    <dataField name="Suma de Faltan" fld="4" baseField="0" baseItem="0"/>
  </dataFields>
  <chartFormats count="11">
    <chartFormat chart="8" format="2" series="1">
      <pivotArea type="data" outline="0" fieldPosition="0">
        <references count="1">
          <reference field="4294967294" count="1" selected="0">
            <x v="1"/>
          </reference>
        </references>
      </pivotArea>
    </chartFormat>
    <chartFormat chart="12" format="7" series="1">
      <pivotArea type="data" outline="0" fieldPosition="0">
        <references count="1">
          <reference field="4294967294" count="1" selected="0">
            <x v="1"/>
          </reference>
        </references>
      </pivotArea>
    </chartFormat>
    <chartFormat chart="15" format="9" series="1">
      <pivotArea type="data" outline="0" fieldPosition="0">
        <references count="1">
          <reference field="4294967294" count="1" selected="0">
            <x v="1"/>
          </reference>
        </references>
      </pivotArea>
    </chartFormat>
    <chartFormat chart="16" format="11" series="1">
      <pivotArea type="data" outline="0" fieldPosition="0">
        <references count="1">
          <reference field="4294967294" count="1" selected="0">
            <x v="1"/>
          </reference>
        </references>
      </pivotArea>
    </chartFormat>
    <chartFormat chart="18" format="15" series="1">
      <pivotArea type="data" outline="0" fieldPosition="0">
        <references count="1">
          <reference field="4294967294" count="1" selected="0">
            <x v="1"/>
          </reference>
        </references>
      </pivotArea>
    </chartFormat>
    <chartFormat chart="23" format="5" series="1">
      <pivotArea type="data" outline="0" fieldPosition="0">
        <references count="1">
          <reference field="4294967294" count="1" selected="0">
            <x v="1"/>
          </reference>
        </references>
      </pivotArea>
    </chartFormat>
    <chartFormat chart="24" format="9" series="1">
      <pivotArea type="data" outline="0" fieldPosition="0">
        <references count="1">
          <reference field="4294967294" count="1" selected="0">
            <x v="1"/>
          </reference>
        </references>
      </pivotArea>
    </chartFormat>
    <chartFormat chart="25" format="13" series="1">
      <pivotArea type="data" outline="0" fieldPosition="0">
        <references count="1">
          <reference field="4294967294" count="1" selected="0">
            <x v="1"/>
          </reference>
        </references>
      </pivotArea>
    </chartFormat>
    <chartFormat chart="25" format="14"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AD2C57-E46A-468D-B00E-2CA2ACD2C146}" name="TablaDinámica15" cacheId="75"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chartFormat="16">
  <location ref="A49:D55" firstHeaderRow="0" firstDataRow="1" firstDataCol="1"/>
  <pivotFields count="7">
    <pivotField axis="axisRow" showAll="0">
      <items count="23">
        <item h="1" x="0"/>
        <item h="1" x="1"/>
        <item h="1" x="2"/>
        <item h="1" x="3"/>
        <item h="1" x="4"/>
        <item x="5"/>
        <item x="6"/>
        <item h="1" x="7"/>
        <item x="8"/>
        <item h="1" x="9"/>
        <item x="11"/>
        <item x="12"/>
        <item h="1" x="13"/>
        <item h="1" x="14"/>
        <item h="1" x="15"/>
        <item x="16"/>
        <item h="1" x="17"/>
        <item h="1" x="19"/>
        <item h="1" x="20"/>
        <item h="1" x="10"/>
        <item h="1" x="18"/>
        <item h="1" x="21"/>
        <item t="default"/>
      </items>
    </pivotField>
    <pivotField showAll="0"/>
    <pivotField dataField="1" showAll="0"/>
    <pivotField dataField="1" showAll="0"/>
    <pivotField dataField="1" showAll="0"/>
    <pivotField showAll="0"/>
    <pivotField showAll="0"/>
  </pivotFields>
  <rowFields count="1">
    <field x="0"/>
  </rowFields>
  <rowItems count="6">
    <i>
      <x v="5"/>
    </i>
    <i>
      <x v="6"/>
    </i>
    <i>
      <x v="8"/>
    </i>
    <i>
      <x v="10"/>
    </i>
    <i>
      <x v="11"/>
    </i>
    <i>
      <x v="15"/>
    </i>
  </rowItems>
  <colFields count="1">
    <field x="-2"/>
  </colFields>
  <colItems count="3">
    <i>
      <x/>
    </i>
    <i i="1">
      <x v="1"/>
    </i>
    <i i="2">
      <x v="2"/>
    </i>
  </colItems>
  <dataFields count="3">
    <dataField name="Suma de Faltan" fld="4" baseField="0" baseItem="0"/>
    <dataField name="Suma de Capturados" fld="3" baseField="0" baseItem="0"/>
    <dataField name="Suma de Total Contratos Estado" fld="2" baseField="0" baseItem="0"/>
  </dataFields>
  <chartFormats count="9">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 chart="15"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9E6171-3DD7-4052-87BC-2AEF9DF1E092}" name="TablaDinámica8" cacheId="7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6:F28" firstHeaderRow="0" firstDataRow="1" firstDataCol="1"/>
  <pivotFields count="6">
    <pivotField axis="axisRow" showAll="0">
      <items count="23">
        <item h="1" x="0"/>
        <item h="1" x="1"/>
        <item h="1" x="2"/>
        <item h="1" x="3"/>
        <item h="1" x="4"/>
        <item h="1" x="5"/>
        <item h="1" x="6"/>
        <item h="1" x="7"/>
        <item h="1" x="8"/>
        <item h="1" x="9"/>
        <item h="1" x="11"/>
        <item h="1" x="12"/>
        <item h="1" x="13"/>
        <item h="1" x="14"/>
        <item h="1" x="15"/>
        <item h="1" x="16"/>
        <item h="1" x="17"/>
        <item h="1" x="19"/>
        <item h="1" x="20"/>
        <item h="1" x="10"/>
        <item h="1" x="18"/>
        <item x="21"/>
        <item t="default"/>
      </items>
    </pivotField>
    <pivotField dataField="1" showAll="0"/>
    <pivotField dataField="1" showAll="0"/>
    <pivotField dataField="1" showAll="0"/>
    <pivotField dataField="1" showAll="0"/>
    <pivotField dataField="1" numFmtId="9" showAll="0">
      <items count="10">
        <item x="0"/>
        <item x="7"/>
        <item x="4"/>
        <item x="8"/>
        <item x="5"/>
        <item x="2"/>
        <item x="6"/>
        <item x="3"/>
        <item x="1"/>
        <item t="default"/>
      </items>
    </pivotField>
  </pivotFields>
  <rowFields count="1">
    <field x="0"/>
  </rowFields>
  <rowItems count="2">
    <i>
      <x v="21"/>
    </i>
    <i t="grand">
      <x/>
    </i>
  </rowItems>
  <colFields count="1">
    <field x="-2"/>
  </colFields>
  <colItems count="5">
    <i>
      <x/>
    </i>
    <i i="1">
      <x v="1"/>
    </i>
    <i i="2">
      <x v="2"/>
    </i>
    <i i="3">
      <x v="3"/>
    </i>
    <i i="4">
      <x v="4"/>
    </i>
  </colItems>
  <dataFields count="5">
    <dataField name="Suma de Total Contratos Padrón" fld="1" baseField="0" baseItem="0"/>
    <dataField name="Suma de Total Contratos Estado" fld="2" baseField="0" baseItem="0"/>
    <dataField name="Suma de Capturados" fld="3" baseField="0" baseItem="0"/>
    <dataField name="Suma de Faltan" fld="4" baseField="0" baseItem="0"/>
    <dataField name="Suma de % Captura" fld="5"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3" xr16:uid="{C5DCE473-C94C-4442-B616-D4BFA7A2A3CE}" autoFormatId="16" applyNumberFormats="0" applyBorderFormats="0" applyFontFormats="0" applyPatternFormats="0" applyAlignmentFormats="0" applyWidthHeightFormats="0">
  <queryTableRefresh nextId="9">
    <queryTableFields count="7">
      <queryTableField id="1" name="Unidad" tableColumnId="1"/>
      <queryTableField id="2" name="Total Contratos Padrón" tableColumnId="2"/>
      <queryTableField id="3" name="Total Contratos Estado" tableColumnId="3"/>
      <queryTableField id="4" name="Capturados" tableColumnId="4"/>
      <queryTableField id="5" name="Faltan" tableColumnId="5"/>
      <queryTableField id="6" name="% Captura" tableColumnId="6"/>
      <queryTableField id="8" name="TOTAL GENERAL"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1" xr16:uid="{C7171D7B-D2E7-4C77-B018-7995EA185DE5}" autoFormatId="16" applyNumberFormats="0" applyBorderFormats="0" applyFontFormats="0" applyPatternFormats="0" applyAlignmentFormats="0" applyWidthHeightFormats="0">
  <queryTableRefresh nextId="8">
    <queryTableFields count="7">
      <queryTableField id="1" name="Unidad" tableColumnId="1"/>
      <queryTableField id="2" name="Total Contratos Padrón" tableColumnId="2"/>
      <queryTableField id="3" name="Total Contratos Estado" tableColumnId="3"/>
      <queryTableField id="4" name="Capturados" tableColumnId="4"/>
      <queryTableField id="5" name="Faltan" tableColumnId="5"/>
      <queryTableField id="6" name="% Captura" tableColumnId="6"/>
      <queryTableField id="7" name="TOTAL GENERAL"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Unidad41" xr10:uid="{843AB37E-456F-4096-AF87-27C1501C701C}" sourceName="Unidad">
  <pivotTables>
    <pivotTable tabId="12" name="TablaDinámica8"/>
  </pivotTables>
  <data>
    <tabular pivotCacheId="1718019994">
      <items count="22">
        <i x="0"/>
        <i x="1"/>
        <i x="2"/>
        <i x="3"/>
        <i x="4"/>
        <i x="5"/>
        <i x="6"/>
        <i x="7"/>
        <i x="8"/>
        <i x="9"/>
        <i x="10"/>
        <i x="11"/>
        <i x="12"/>
        <i x="13"/>
        <i x="14"/>
        <i x="15"/>
        <i x="16"/>
        <i x="17"/>
        <i x="18"/>
        <i x="19"/>
        <i x="20"/>
        <i x="2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__Captura2" xr10:uid="{D632FF82-407D-4EBA-851A-96C9BC88CA2C}" sourceName="% Captura">
  <pivotTables>
    <pivotTable tabId="12" name="TablaDinámica8"/>
  </pivotTables>
  <data>
    <tabular pivotCacheId="1718019994">
      <items count="9">
        <i x="8" s="1"/>
        <i x="0" s="1" nd="1"/>
        <i x="7" s="1" nd="1"/>
        <i x="4" s="1" nd="1"/>
        <i x="5" s="1" nd="1"/>
        <i x="2" s="1" nd="1"/>
        <i x="6" s="1" nd="1"/>
        <i x="3"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Unidad" xr10:uid="{6E6FCBE2-0F5F-4ED2-8594-EA29C81A78BB}" sourceName="Unidad">
  <pivotTables>
    <pivotTable tabId="15" name="TablaDinámica12"/>
  </pivotTables>
  <data>
    <tabular pivotCacheId="90189680">
      <items count="22">
        <i x="0" s="1"/>
        <i x="1" s="1"/>
        <i x="2" s="1"/>
        <i x="3" s="1"/>
        <i x="4" s="1"/>
        <i x="5" s="1"/>
        <i x="6" s="1"/>
        <i x="7" s="1"/>
        <i x="8" s="1"/>
        <i x="9" s="1"/>
        <i x="10" s="1"/>
        <i x="11" s="1"/>
        <i x="12" s="1"/>
        <i x="13" s="1"/>
        <i x="14" s="1"/>
        <i x="15" s="1"/>
        <i x="16" s="1"/>
        <i x="17" s="1"/>
        <i x="18" s="1"/>
        <i x="19" s="1"/>
        <i x="20" s="1"/>
        <i x="2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__Captura" xr10:uid="{25095457-E5FD-4837-A890-C4C75817B44D}" sourceName="% Captura">
  <pivotTables>
    <pivotTable tabId="15" name="TablaDinámica12"/>
  </pivotTables>
  <data>
    <tabular pivotCacheId="90189680">
      <items count="9">
        <i x="3" s="1"/>
        <i x="5" s="1"/>
        <i x="4" s="1"/>
        <i x="6" s="1"/>
        <i x="2" s="1"/>
        <i x="7" s="1"/>
        <i x="1" s="1"/>
        <i x="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dad" xr10:uid="{F4A22377-DA50-4F04-B975-74EBC8657182}" cache="SegmentaciónDeDatos_Unidad" caption="Unidad" rowHeight="234950"/>
  <slicer name="% Captura" xr10:uid="{8DA19207-272F-4637-A1FD-87B2DC19D062}" cache="SegmentaciónDeDatos___Captura" caption="% Captura"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dad 2" xr10:uid="{3F6A18ED-B7E2-4B68-A3C7-9C5C73FF2C51}" cache="SegmentaciónDeDatos_Unidad41" caption="Unidad" rowHeight="234950"/>
  <slicer name="% Captura 2" xr10:uid="{2818AE77-F68F-46ED-A3E9-58BBC0893621}" cache="SegmentaciónDeDatos___Captura2" caption="% Captura" rowHeight="2349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07EB9B-FA60-4087-A123-58F92E17CF6D}" name="Tabla49" displayName="Tabla49" ref="A1:F23" totalsRowShown="0" headerRowDxfId="36" dataDxfId="34" headerRowBorderDxfId="35" tableBorderDxfId="33">
  <autoFilter ref="A1:F23" xr:uid="{9107EB9B-FA60-4087-A123-58F92E17CF6D}">
    <filterColumn colId="5">
      <filters>
        <filter val="0.0%"/>
        <filter val="57.4%"/>
        <filter val="61.8%"/>
        <filter val="79.2%"/>
        <filter val="80.6%"/>
        <filter val="83.0%"/>
        <filter val="83.5%"/>
      </filters>
    </filterColumn>
  </autoFilter>
  <tableColumns count="6">
    <tableColumn id="1" xr3:uid="{5A5BC16D-A183-470A-B9ED-6174E04DDB73}" name="Unidad" dataDxfId="32"/>
    <tableColumn id="2" xr3:uid="{44945894-F4AD-4C48-AC07-70666FB65AC1}" name="Total Contratos Padrón" dataDxfId="31"/>
    <tableColumn id="3" xr3:uid="{C376A772-3591-4E12-8B45-A9F7DFC3CB8B}" name="Total Contratos Estado" dataDxfId="30"/>
    <tableColumn id="4" xr3:uid="{F5FDB3BE-EB2A-4CBE-9067-AD0940826453}" name="Capturados" dataDxfId="29" dataCellStyle="Hipervínculo"/>
    <tableColumn id="5" xr3:uid="{E6FF14BF-E182-4EDF-A738-9FDF9A3BE5AD}" name="Faltan" dataDxfId="28"/>
    <tableColumn id="6" xr3:uid="{6E08B1FA-4709-4416-AACE-2D59DB05F117}" name="% Captura" dataDxfId="27"/>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F1039E-F19F-4423-8CE4-B8D4C0168CB1}" name="Tabla4" displayName="Tabla4" ref="A1:G23" totalsRowShown="0" headerRowDxfId="26" dataDxfId="24" headerRowBorderDxfId="25" tableBorderDxfId="23">
  <autoFilter ref="A1:G23" xr:uid="{A30C6016-0A09-4A08-A54C-9CC52ECD731E}"/>
  <tableColumns count="7">
    <tableColumn id="1" xr3:uid="{1A85D951-72A2-4A49-90D5-8C8FD8D27D17}" name="Unidad" dataDxfId="22"/>
    <tableColumn id="2" xr3:uid="{0B4C64AD-2E2F-4927-B233-8EE1AB86BC95}" name="Total Contratos Padrón" dataDxfId="21"/>
    <tableColumn id="3" xr3:uid="{76E0FE0A-C680-49DA-AE84-33546A94D1CB}" name="Total Contratos Estado" dataDxfId="20"/>
    <tableColumn id="4" xr3:uid="{99096BB4-FDDB-4D6B-9DD8-58B73B523B73}" name="Capturados" dataDxfId="19" dataCellStyle="Hipervínculo"/>
    <tableColumn id="5" xr3:uid="{4AEAB463-5DAB-4380-BF69-CEBC4499E520}" name="Faltan" dataDxfId="18"/>
    <tableColumn id="6" xr3:uid="{F09E3BB6-F3BD-4E6D-A39E-E157F59CC911}" name="% Captura" dataDxfId="17"/>
    <tableColumn id="7" xr3:uid="{160B9462-B951-4AF4-AFB5-310DE0CF02ED}" name="TOTAL GENERAL" dataDxfId="1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DA4742-E722-475C-8A45-FA34EDFC9E5D}" name="Tabla2" displayName="Tabla2" ref="A1:F23" totalsRowShown="0" headerRowDxfId="14" dataDxfId="12" headerRowBorderDxfId="13" tableBorderDxfId="11">
  <autoFilter ref="A1:F23" xr:uid="{5BB77C35-277A-424E-AC32-6DE24A99B665}"/>
  <tableColumns count="6">
    <tableColumn id="1" xr3:uid="{E6135070-76EC-43B0-8141-375D04954187}" name="Unidad" dataDxfId="10"/>
    <tableColumn id="2" xr3:uid="{06A24659-FFF3-46A9-877B-E643FB381EC6}" name="Total Contratos Padrón" dataDxfId="9"/>
    <tableColumn id="3" xr3:uid="{34D208E2-2053-49E9-96B1-0A8EEBC39630}" name="Total Contratos Estado" dataDxfId="8"/>
    <tableColumn id="4" xr3:uid="{165DEBD3-19C3-41AD-A3C9-30FA30475B71}" name="Capturados" dataDxfId="7" dataCellStyle="Hipervínculo"/>
    <tableColumn id="5" xr3:uid="{54BD47EE-8ED0-4B67-A84B-0FFEF5DD9456}" name="Faltan" dataDxfId="6"/>
    <tableColumn id="6" xr3:uid="{96A90EA0-DC01-4A97-8F9D-7290FC27D851}" name="% Captura" dataDxfId="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A52F93-4AF9-41C8-9BB0-71407A763C6A}" name="Tabla3" displayName="Tabla3" ref="A71:C72" totalsRowShown="0">
  <autoFilter ref="A71:C72" xr:uid="{8863C7FE-714B-43E3-BA4B-CC649486DE5B}"/>
  <tableColumns count="3">
    <tableColumn id="1" xr3:uid="{67F49051-F764-4D58-9025-A8B1FD72269C}" name="Columna1"/>
    <tableColumn id="2" xr3:uid="{0E92E820-0F81-4358-B149-AD4B044A9B2F}" name="LOGRADO" dataDxfId="4" dataCellStyle="Porcentaje"/>
    <tableColumn id="3" xr3:uid="{B80FC23D-415C-4812-A59E-2F6B46BAFC89}" name="META" dataDxfId="3" dataCellStyle="Normal 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9AC5F3-5B6C-42B8-8AA3-6364D3173BBB}" name="Tabla4_1" displayName="Tabla4_1" ref="A1:G23" tableType="queryTable" totalsRowShown="0">
  <autoFilter ref="A1:G23" xr:uid="{40E0D06D-9AA9-4FFA-A36C-C7194BC1335B}"/>
  <tableColumns count="7">
    <tableColumn id="1" xr3:uid="{D2F257D1-CD0C-4FD2-8452-AAC77A2A5DB8}" uniqueName="1" name="Unidad" queryTableFieldId="1" dataCellStyle="Normal 2"/>
    <tableColumn id="2" xr3:uid="{94F6B24D-0EE9-49C3-9947-912ECFC3DFFF}" uniqueName="2" name="Total Contratos Padrón" queryTableFieldId="2" dataCellStyle="Normal 2"/>
    <tableColumn id="3" xr3:uid="{77FAB348-556F-4654-AB2E-C88F0CF8B480}" uniqueName="3" name="Total Contratos Estado" queryTableFieldId="3" dataCellStyle="Normal 2"/>
    <tableColumn id="4" xr3:uid="{71AE3666-B76C-449D-B4CF-C29504868330}" uniqueName="4" name="Capturados" queryTableFieldId="4" dataCellStyle="Normal 2"/>
    <tableColumn id="5" xr3:uid="{F0B5E1C7-312E-45B8-9780-36AFC599B8BF}" uniqueName="5" name="Faltan" queryTableFieldId="5" dataCellStyle="Normal 2"/>
    <tableColumn id="6" xr3:uid="{0D2E3F70-7F12-4044-AC6B-69B5DF928DE2}" uniqueName="6" name="% Captura" queryTableFieldId="6" dataDxfId="2" dataCellStyle="Normal 2"/>
    <tableColumn id="8" xr3:uid="{CB026A4E-D92D-428D-9DAC-954A3FFCEB29}" uniqueName="8" name="TOTAL GENERAL" queryTableFieldId="8" dataCellStyle="Normal 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98653F-D064-4762-AAB8-E709B77173CD}" name="SEGMENTACION_UNIDAD" displayName="SEGMENTACION_UNIDAD" ref="A1:G23" tableType="queryTable" totalsRowShown="0">
  <autoFilter ref="A1:G23" xr:uid="{2050E815-755A-4E0C-825F-15BD6B87EFBA}"/>
  <tableColumns count="7">
    <tableColumn id="1" xr3:uid="{8F00DBA7-E5EF-4CEF-8AE3-57EFC77C39B5}" uniqueName="1" name="Unidad" queryTableFieldId="1" dataDxfId="1" dataCellStyle="Normal 2"/>
    <tableColumn id="2" xr3:uid="{64339E42-FC70-4759-B45E-7AFF32384910}" uniqueName="2" name="Total Contratos Padrón" queryTableFieldId="2" dataCellStyle="Normal 2"/>
    <tableColumn id="3" xr3:uid="{FCA9CCD4-81C7-4ED6-8FF9-2A4B424C7671}" uniqueName="3" name="Total Contratos Estado" queryTableFieldId="3" dataCellStyle="Normal 2"/>
    <tableColumn id="4" xr3:uid="{1A2F940A-E99B-4E63-8F5B-A992CFEABC2B}" uniqueName="4" name="Capturados" queryTableFieldId="4" dataCellStyle="Normal 2"/>
    <tableColumn id="5" xr3:uid="{21F74069-53A1-4F41-9C92-FBC1C6C08410}" uniqueName="5" name="Faltan" queryTableFieldId="5" dataCellStyle="Normal 2"/>
    <tableColumn id="6" xr3:uid="{902204EA-028B-4616-8DF2-9C9D5EAC8B23}" uniqueName="6" name="% Captura" queryTableFieldId="6" dataDxfId="0" dataCellStyle="Porcentaje 2"/>
    <tableColumn id="7" xr3:uid="{BAA451FC-1737-4EAC-96B0-80C990361A1D}" uniqueName="7" name="TOTAL GENERAL" queryTableFieldId="7" dataCellStyle="Normal 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4.xml"/><Relationship Id="rId1" Type="http://schemas.openxmlformats.org/officeDocument/2006/relationships/pivotTable" Target="../pivotTables/pivotTable6.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showGridLines="0" showRowColHeaders="0" workbookViewId="0"/>
  </sheetViews>
  <sheetFormatPr baseColWidth="10" defaultColWidth="8.88671875" defaultRowHeight="14.4" x14ac:dyDescent="0.3"/>
  <cols>
    <col min="1" max="1" width="43" customWidth="1"/>
    <col min="2" max="3" width="24" customWidth="1"/>
    <col min="4" max="4" width="12" customWidth="1"/>
    <col min="5" max="5" width="8" customWidth="1"/>
    <col min="6" max="6" width="11" customWidth="1"/>
  </cols>
  <sheetData>
    <row r="1" spans="1:6" ht="30" customHeight="1" x14ac:dyDescent="0.3">
      <c r="A1" s="1" t="s">
        <v>0</v>
      </c>
      <c r="B1" s="2"/>
      <c r="C1" s="2"/>
      <c r="D1" s="2"/>
      <c r="E1" s="2"/>
      <c r="F1" s="3" t="s">
        <v>1</v>
      </c>
    </row>
    <row r="2" spans="1:6" ht="25.05" customHeight="1" x14ac:dyDescent="0.3">
      <c r="A2" s="4" t="s">
        <v>2</v>
      </c>
      <c r="B2" s="5" t="s">
        <v>3</v>
      </c>
      <c r="C2" s="5" t="s">
        <v>4</v>
      </c>
      <c r="D2" s="5" t="s">
        <v>5</v>
      </c>
      <c r="E2" s="5" t="s">
        <v>6</v>
      </c>
      <c r="F2" s="5" t="s">
        <v>7</v>
      </c>
    </row>
    <row r="3" spans="1:6" x14ac:dyDescent="0.3">
      <c r="A3" s="6" t="s">
        <v>8</v>
      </c>
      <c r="B3" s="7">
        <v>0</v>
      </c>
      <c r="C3" s="7">
        <v>1</v>
      </c>
      <c r="D3" s="7">
        <v>0</v>
      </c>
      <c r="E3" s="8">
        <v>1</v>
      </c>
      <c r="F3" s="7" t="s">
        <v>9</v>
      </c>
    </row>
    <row r="4" spans="1:6" x14ac:dyDescent="0.3">
      <c r="A4" s="6" t="s">
        <v>10</v>
      </c>
      <c r="B4" s="7">
        <v>238</v>
      </c>
      <c r="C4" s="7">
        <v>116</v>
      </c>
      <c r="D4" s="9">
        <v>114</v>
      </c>
      <c r="E4" s="8">
        <v>2</v>
      </c>
      <c r="F4" s="7" t="s">
        <v>11</v>
      </c>
    </row>
    <row r="5" spans="1:6" x14ac:dyDescent="0.3">
      <c r="A5" s="6" t="s">
        <v>12</v>
      </c>
      <c r="B5" s="7">
        <v>32</v>
      </c>
      <c r="C5" s="7">
        <v>36</v>
      </c>
      <c r="D5" s="9">
        <v>29</v>
      </c>
      <c r="E5" s="8">
        <v>7</v>
      </c>
      <c r="F5" s="7" t="s">
        <v>13</v>
      </c>
    </row>
    <row r="6" spans="1:6" x14ac:dyDescent="0.3">
      <c r="A6" s="6" t="s">
        <v>14</v>
      </c>
      <c r="B6" s="7">
        <v>0</v>
      </c>
      <c r="C6" s="7">
        <v>2</v>
      </c>
      <c r="D6" s="7">
        <v>0</v>
      </c>
      <c r="E6" s="8">
        <v>2</v>
      </c>
      <c r="F6" s="7" t="s">
        <v>9</v>
      </c>
    </row>
    <row r="7" spans="1:6" x14ac:dyDescent="0.3">
      <c r="A7" s="6" t="s">
        <v>15</v>
      </c>
      <c r="B7" s="7">
        <v>0</v>
      </c>
      <c r="C7" s="7">
        <v>1</v>
      </c>
      <c r="D7" s="7">
        <v>0</v>
      </c>
      <c r="E7" s="8">
        <v>1</v>
      </c>
      <c r="F7" s="7" t="s">
        <v>9</v>
      </c>
    </row>
    <row r="8" spans="1:6" x14ac:dyDescent="0.3">
      <c r="A8" s="6" t="s">
        <v>16</v>
      </c>
      <c r="B8" s="7">
        <v>197</v>
      </c>
      <c r="C8" s="7">
        <v>109</v>
      </c>
      <c r="D8" s="9">
        <v>91</v>
      </c>
      <c r="E8" s="8">
        <v>18</v>
      </c>
      <c r="F8" s="7" t="s">
        <v>17</v>
      </c>
    </row>
    <row r="9" spans="1:6" x14ac:dyDescent="0.3">
      <c r="A9" s="6" t="s">
        <v>18</v>
      </c>
      <c r="B9" s="7">
        <v>91</v>
      </c>
      <c r="C9" s="7">
        <v>68</v>
      </c>
      <c r="D9" s="9">
        <v>42</v>
      </c>
      <c r="E9" s="8">
        <v>26</v>
      </c>
      <c r="F9" s="7" t="s">
        <v>19</v>
      </c>
    </row>
    <row r="10" spans="1:6" x14ac:dyDescent="0.3">
      <c r="A10" s="6" t="s">
        <v>20</v>
      </c>
      <c r="B10" s="7">
        <v>0</v>
      </c>
      <c r="C10" s="7">
        <v>2</v>
      </c>
      <c r="D10" s="7">
        <v>0</v>
      </c>
      <c r="E10" s="8">
        <v>2</v>
      </c>
      <c r="F10" s="7" t="s">
        <v>9</v>
      </c>
    </row>
    <row r="11" spans="1:6" x14ac:dyDescent="0.3">
      <c r="A11" s="6" t="s">
        <v>21</v>
      </c>
      <c r="B11" s="7">
        <v>0</v>
      </c>
      <c r="C11" s="7">
        <v>43</v>
      </c>
      <c r="D11" s="7">
        <v>0</v>
      </c>
      <c r="E11" s="8">
        <v>43</v>
      </c>
      <c r="F11" s="7" t="s">
        <v>9</v>
      </c>
    </row>
    <row r="12" spans="1:6" x14ac:dyDescent="0.3">
      <c r="A12" s="6" t="s">
        <v>22</v>
      </c>
      <c r="B12" s="7">
        <v>0</v>
      </c>
      <c r="C12" s="7">
        <v>1</v>
      </c>
      <c r="D12" s="7">
        <v>0</v>
      </c>
      <c r="E12" s="8">
        <v>1</v>
      </c>
      <c r="F12" s="7" t="s">
        <v>9</v>
      </c>
    </row>
    <row r="13" spans="1:6" x14ac:dyDescent="0.3">
      <c r="A13" s="6" t="s">
        <v>23</v>
      </c>
      <c r="B13" s="7">
        <v>0</v>
      </c>
      <c r="C13" s="7">
        <v>1</v>
      </c>
      <c r="D13" s="7">
        <v>0</v>
      </c>
      <c r="E13" s="8">
        <v>1</v>
      </c>
      <c r="F13" s="7" t="s">
        <v>9</v>
      </c>
    </row>
    <row r="14" spans="1:6" x14ac:dyDescent="0.3">
      <c r="A14" s="6" t="s">
        <v>24</v>
      </c>
      <c r="B14" s="7">
        <v>0</v>
      </c>
      <c r="C14" s="7">
        <v>1</v>
      </c>
      <c r="D14" s="7">
        <v>0</v>
      </c>
      <c r="E14" s="8">
        <v>1</v>
      </c>
      <c r="F14" s="7" t="s">
        <v>9</v>
      </c>
    </row>
    <row r="15" spans="1:6" x14ac:dyDescent="0.3">
      <c r="A15" s="6" t="s">
        <v>25</v>
      </c>
      <c r="B15" s="7">
        <v>0</v>
      </c>
      <c r="C15" s="7">
        <v>5</v>
      </c>
      <c r="D15" s="7">
        <v>0</v>
      </c>
      <c r="E15" s="8">
        <v>5</v>
      </c>
      <c r="F15" s="7" t="s">
        <v>9</v>
      </c>
    </row>
    <row r="16" spans="1:6" x14ac:dyDescent="0.3">
      <c r="A16" s="6" t="s">
        <v>26</v>
      </c>
      <c r="B16" s="7">
        <v>0</v>
      </c>
      <c r="C16" s="7">
        <v>9</v>
      </c>
      <c r="D16" s="7">
        <v>0</v>
      </c>
      <c r="E16" s="8">
        <v>9</v>
      </c>
      <c r="F16" s="7" t="s">
        <v>9</v>
      </c>
    </row>
    <row r="17" spans="1:6" x14ac:dyDescent="0.3">
      <c r="A17" s="6" t="s">
        <v>27</v>
      </c>
      <c r="B17" s="7">
        <v>32</v>
      </c>
      <c r="C17" s="7">
        <v>24</v>
      </c>
      <c r="D17" s="9">
        <v>19</v>
      </c>
      <c r="E17" s="8">
        <v>5</v>
      </c>
      <c r="F17" s="7" t="s">
        <v>28</v>
      </c>
    </row>
    <row r="18" spans="1:6" x14ac:dyDescent="0.3">
      <c r="A18" s="6" t="s">
        <v>29</v>
      </c>
      <c r="B18" s="7">
        <v>0</v>
      </c>
      <c r="C18" s="7">
        <v>1</v>
      </c>
      <c r="D18" s="7">
        <v>0</v>
      </c>
      <c r="E18" s="8">
        <v>1</v>
      </c>
      <c r="F18" s="7" t="s">
        <v>9</v>
      </c>
    </row>
    <row r="19" spans="1:6" x14ac:dyDescent="0.3">
      <c r="A19" s="6" t="s">
        <v>30</v>
      </c>
      <c r="B19" s="7">
        <v>46</v>
      </c>
      <c r="C19" s="7">
        <v>47</v>
      </c>
      <c r="D19" s="9">
        <v>39</v>
      </c>
      <c r="E19" s="8">
        <v>8</v>
      </c>
      <c r="F19" s="7" t="s">
        <v>31</v>
      </c>
    </row>
    <row r="20" spans="1:6" x14ac:dyDescent="0.3">
      <c r="A20" s="6" t="s">
        <v>32</v>
      </c>
      <c r="B20" s="7">
        <v>45</v>
      </c>
      <c r="C20" s="7">
        <v>47</v>
      </c>
      <c r="D20" s="9">
        <v>27</v>
      </c>
      <c r="E20" s="8">
        <v>20</v>
      </c>
      <c r="F20" s="7" t="s">
        <v>33</v>
      </c>
    </row>
    <row r="21" spans="1:6" x14ac:dyDescent="0.3">
      <c r="A21" s="6" t="s">
        <v>34</v>
      </c>
      <c r="B21" s="7">
        <v>0</v>
      </c>
      <c r="C21" s="7">
        <v>3</v>
      </c>
      <c r="D21" s="7">
        <v>0</v>
      </c>
      <c r="E21" s="8">
        <v>3</v>
      </c>
      <c r="F21" s="7" t="s">
        <v>9</v>
      </c>
    </row>
    <row r="22" spans="1:6" x14ac:dyDescent="0.3">
      <c r="A22" s="6" t="s">
        <v>35</v>
      </c>
      <c r="B22" s="7">
        <v>0</v>
      </c>
      <c r="C22" s="7">
        <v>10</v>
      </c>
      <c r="D22" s="7">
        <v>0</v>
      </c>
      <c r="E22" s="8">
        <v>10</v>
      </c>
      <c r="F22" s="7" t="s">
        <v>9</v>
      </c>
    </row>
    <row r="23" spans="1:6" x14ac:dyDescent="0.3">
      <c r="A23" s="6" t="s">
        <v>36</v>
      </c>
      <c r="B23" s="7">
        <v>0</v>
      </c>
      <c r="C23" s="7">
        <v>1</v>
      </c>
      <c r="D23" s="7">
        <v>0</v>
      </c>
      <c r="E23" s="8">
        <v>1</v>
      </c>
      <c r="F23" s="7" t="s">
        <v>9</v>
      </c>
    </row>
    <row r="24" spans="1:6" x14ac:dyDescent="0.3">
      <c r="A24" s="6" t="s">
        <v>37</v>
      </c>
      <c r="B24" s="7">
        <v>0</v>
      </c>
      <c r="C24" s="7">
        <v>3</v>
      </c>
      <c r="D24" s="7">
        <v>0</v>
      </c>
      <c r="E24" s="8">
        <v>3</v>
      </c>
      <c r="F24" s="7" t="s">
        <v>9</v>
      </c>
    </row>
    <row r="25" spans="1:6" x14ac:dyDescent="0.3">
      <c r="A25" s="6" t="s">
        <v>38</v>
      </c>
      <c r="B25" s="7">
        <v>0</v>
      </c>
      <c r="C25" s="7">
        <v>1</v>
      </c>
      <c r="D25" s="7">
        <v>0</v>
      </c>
      <c r="E25" s="8">
        <v>1</v>
      </c>
      <c r="F25" s="7" t="s">
        <v>9</v>
      </c>
    </row>
    <row r="26" spans="1:6" ht="15" x14ac:dyDescent="0.3">
      <c r="A26" s="10" t="s">
        <v>39</v>
      </c>
      <c r="B26" s="11">
        <v>681</v>
      </c>
      <c r="C26" s="11">
        <v>532</v>
      </c>
      <c r="D26" s="11">
        <v>361</v>
      </c>
      <c r="E26" s="11">
        <v>171</v>
      </c>
      <c r="F26" s="11" t="s">
        <v>40</v>
      </c>
    </row>
  </sheetData>
  <hyperlinks>
    <hyperlink ref="A1" location="'Dashboard-R'!A1" display="⬅️ Dashboard Principal" xr:uid="{00000000-0004-0000-0000-000000000000}"/>
    <hyperlink ref="E2" location="FALTAN!A2" display="Faltan" xr:uid="{00000000-0004-0000-0000-000001000000}"/>
    <hyperlink ref="D3" location="Capturados!A2" display="Capturados!A2" xr:uid="{00000000-0004-0000-0000-000002000000}"/>
    <hyperlink ref="E3" location="FALTAN!A3" display="FALTAN!A3" xr:uid="{00000000-0004-0000-0000-000003000000}"/>
    <hyperlink ref="D4" location="Capturados!A117" display="Capturados!A117" xr:uid="{00000000-0004-0000-0000-000004000000}"/>
    <hyperlink ref="E4" location="FALTAN!A5" display="FALTAN!A5" xr:uid="{00000000-0004-0000-0000-000005000000}"/>
    <hyperlink ref="E5" location="FALTAN!A12" display="FALTAN!A12" xr:uid="{00000000-0004-0000-0000-000006000000}"/>
    <hyperlink ref="E6" location="FALTAN!A14" display="FALTAN!A14" xr:uid="{00000000-0004-0000-0000-000007000000}"/>
    <hyperlink ref="D7" location="Capturados!A148" display="Capturados!A148" xr:uid="{00000000-0004-0000-0000-000008000000}"/>
    <hyperlink ref="E7" location="FALTAN!A15" display="FALTAN!A15" xr:uid="{00000000-0004-0000-0000-000009000000}"/>
    <hyperlink ref="D8" location="Capturados!A241" display="Capturados!A241" xr:uid="{00000000-0004-0000-0000-00000A000000}"/>
    <hyperlink ref="E8" location="FALTAN!A33" display="FALTAN!A33" xr:uid="{00000000-0004-0000-0000-00000B000000}"/>
    <hyperlink ref="E9" location="FALTAN!A61" display="FALTAN!A61" xr:uid="{00000000-0004-0000-0000-00000C000000}"/>
    <hyperlink ref="E10" location="FALTAN!A63" display="FALTAN!A63" xr:uid="{00000000-0004-0000-0000-00000D000000}"/>
    <hyperlink ref="E11" location="FALTAN!A107" display="FALTAN!A107" xr:uid="{00000000-0004-0000-0000-00000E000000}"/>
    <hyperlink ref="E12" location="FALTAN!A108" display="FALTAN!A108" xr:uid="{00000000-0004-0000-0000-00000F000000}"/>
    <hyperlink ref="E13" location="FALTAN!A109" display="FALTAN!A109" xr:uid="{00000000-0004-0000-0000-000010000000}"/>
    <hyperlink ref="E14" location="FALTAN!A110" display="FALTAN!A110" xr:uid="{00000000-0004-0000-0000-000011000000}"/>
    <hyperlink ref="E15" location="FALTAN!A115" display="FALTAN!A115" xr:uid="{00000000-0004-0000-0000-000012000000}"/>
    <hyperlink ref="D16" location="Capturados!A285" display="Capturados!A285" xr:uid="{00000000-0004-0000-0000-000013000000}"/>
    <hyperlink ref="E16" location="FALTAN!A124" display="FALTAN!A124" xr:uid="{00000000-0004-0000-0000-000014000000}"/>
    <hyperlink ref="E17" location="FALTAN!A130" display="FALTAN!A130" xr:uid="{00000000-0004-0000-0000-000015000000}"/>
    <hyperlink ref="D18" location="Capturados!A304" display="Capturados!A304" xr:uid="{00000000-0004-0000-0000-000016000000}"/>
    <hyperlink ref="E18" location="FALTAN!A131" display="FALTAN!A131" xr:uid="{00000000-0004-0000-0000-000017000000}"/>
    <hyperlink ref="D19" location="Capturados!A343" display="Capturados!A343" xr:uid="{00000000-0004-0000-0000-000018000000}"/>
    <hyperlink ref="E19" location="FALTAN!A140" display="FALTAN!A140" xr:uid="{00000000-0004-0000-0000-000019000000}"/>
    <hyperlink ref="E20" location="FALTAN!A160" display="FALTAN!A160" xr:uid="{00000000-0004-0000-0000-00001A000000}"/>
    <hyperlink ref="E21" location="FALTAN!A163" display="FALTAN!A163" xr:uid="{00000000-0004-0000-0000-00001B000000}"/>
    <hyperlink ref="E22" location="FALTAN!A173" display="FALTAN!A173" xr:uid="{00000000-0004-0000-0000-00001C000000}"/>
    <hyperlink ref="E23" location="FALTAN!A174" display="FALTAN!A174" xr:uid="{00000000-0004-0000-0000-00001D000000}"/>
    <hyperlink ref="E24" location="FALTAN!A177" display="FALTAN!A177" xr:uid="{00000000-0004-0000-0000-00001E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showGridLines="0" showRowColHeaders="0" tabSelected="1" workbookViewId="0">
      <selection activeCell="B30" sqref="B30"/>
    </sheetView>
  </sheetViews>
  <sheetFormatPr baseColWidth="10" defaultColWidth="8.88671875" defaultRowHeight="14.4" x14ac:dyDescent="0.3"/>
  <cols>
    <col min="1" max="1" width="43" customWidth="1"/>
    <col min="2" max="3" width="24" customWidth="1"/>
    <col min="4" max="4" width="12" customWidth="1"/>
    <col min="5" max="5" width="8" customWidth="1"/>
    <col min="6" max="6" width="11" customWidth="1"/>
  </cols>
  <sheetData>
    <row r="1" spans="1:6" ht="30" customHeight="1" x14ac:dyDescent="0.3">
      <c r="A1" s="1" t="s">
        <v>0</v>
      </c>
      <c r="B1" s="2"/>
      <c r="C1" s="2"/>
      <c r="D1" s="2"/>
      <c r="E1" s="2"/>
      <c r="F1" s="3" t="s">
        <v>1</v>
      </c>
    </row>
    <row r="2" spans="1:6" ht="25.05" customHeight="1" x14ac:dyDescent="0.3">
      <c r="A2" s="4" t="s">
        <v>2</v>
      </c>
      <c r="B2" s="5" t="s">
        <v>3</v>
      </c>
      <c r="C2" s="5" t="s">
        <v>4</v>
      </c>
      <c r="D2" s="5" t="s">
        <v>5</v>
      </c>
      <c r="E2" s="5" t="s">
        <v>6</v>
      </c>
      <c r="F2" s="5" t="s">
        <v>7</v>
      </c>
    </row>
    <row r="3" spans="1:6" x14ac:dyDescent="0.3">
      <c r="A3" s="6" t="s">
        <v>8</v>
      </c>
      <c r="B3" s="7">
        <v>0</v>
      </c>
      <c r="C3" s="7">
        <v>1</v>
      </c>
      <c r="D3" s="7">
        <v>0</v>
      </c>
      <c r="E3" s="8">
        <v>1</v>
      </c>
      <c r="F3" s="7" t="s">
        <v>9</v>
      </c>
    </row>
    <row r="4" spans="1:6" x14ac:dyDescent="0.3">
      <c r="A4" s="6" t="s">
        <v>10</v>
      </c>
      <c r="B4" s="7">
        <v>238</v>
      </c>
      <c r="C4" s="7">
        <v>116</v>
      </c>
      <c r="D4" s="9">
        <v>116</v>
      </c>
      <c r="E4" s="8">
        <v>0</v>
      </c>
      <c r="F4" s="13">
        <v>1</v>
      </c>
    </row>
    <row r="5" spans="1:6" x14ac:dyDescent="0.3">
      <c r="A5" s="6" t="s">
        <v>12</v>
      </c>
      <c r="B5" s="7">
        <v>32</v>
      </c>
      <c r="C5" s="7">
        <v>36</v>
      </c>
      <c r="D5" s="9">
        <v>29</v>
      </c>
      <c r="E5" s="8">
        <v>7</v>
      </c>
      <c r="F5" s="7" t="s">
        <v>13</v>
      </c>
    </row>
    <row r="6" spans="1:6" x14ac:dyDescent="0.3">
      <c r="A6" s="6" t="s">
        <v>14</v>
      </c>
      <c r="B6" s="7">
        <v>0</v>
      </c>
      <c r="C6" s="7">
        <v>2</v>
      </c>
      <c r="D6" s="7">
        <v>0</v>
      </c>
      <c r="E6" s="8">
        <v>2</v>
      </c>
      <c r="F6" s="7" t="s">
        <v>9</v>
      </c>
    </row>
    <row r="7" spans="1:6" x14ac:dyDescent="0.3">
      <c r="A7" s="6" t="s">
        <v>15</v>
      </c>
      <c r="B7" s="7">
        <v>0</v>
      </c>
      <c r="C7" s="7">
        <v>1</v>
      </c>
      <c r="D7" s="7">
        <v>0</v>
      </c>
      <c r="E7" s="8">
        <v>1</v>
      </c>
      <c r="F7" s="7" t="s">
        <v>9</v>
      </c>
    </row>
    <row r="8" spans="1:6" x14ac:dyDescent="0.3">
      <c r="A8" s="6" t="s">
        <v>16</v>
      </c>
      <c r="B8" s="7">
        <v>197</v>
      </c>
      <c r="C8" s="7">
        <v>109</v>
      </c>
      <c r="D8" s="9">
        <v>91</v>
      </c>
      <c r="E8" s="8">
        <v>18</v>
      </c>
      <c r="F8" s="7" t="s">
        <v>17</v>
      </c>
    </row>
    <row r="9" spans="1:6" x14ac:dyDescent="0.3">
      <c r="A9" s="6" t="s">
        <v>18</v>
      </c>
      <c r="B9" s="7">
        <v>91</v>
      </c>
      <c r="C9" s="7">
        <v>68</v>
      </c>
      <c r="D9" s="9">
        <v>42</v>
      </c>
      <c r="E9" s="8">
        <v>26</v>
      </c>
      <c r="F9" s="7" t="s">
        <v>19</v>
      </c>
    </row>
    <row r="10" spans="1:6" x14ac:dyDescent="0.3">
      <c r="A10" s="6" t="s">
        <v>20</v>
      </c>
      <c r="B10" s="7">
        <v>0</v>
      </c>
      <c r="C10" s="7">
        <v>2</v>
      </c>
      <c r="D10" s="7">
        <v>0</v>
      </c>
      <c r="E10" s="8">
        <v>2</v>
      </c>
      <c r="F10" s="7" t="s">
        <v>9</v>
      </c>
    </row>
    <row r="11" spans="1:6" x14ac:dyDescent="0.3">
      <c r="A11" s="6" t="s">
        <v>22</v>
      </c>
      <c r="B11" s="7">
        <v>0</v>
      </c>
      <c r="C11" s="7">
        <v>1</v>
      </c>
      <c r="D11" s="7">
        <v>0</v>
      </c>
      <c r="E11" s="8">
        <v>1</v>
      </c>
      <c r="F11" s="7" t="s">
        <v>9</v>
      </c>
    </row>
    <row r="12" spans="1:6" x14ac:dyDescent="0.3">
      <c r="A12" s="6" t="s">
        <v>23</v>
      </c>
      <c r="B12" s="7">
        <v>0</v>
      </c>
      <c r="C12" s="7">
        <v>1</v>
      </c>
      <c r="D12" s="7">
        <v>0</v>
      </c>
      <c r="E12" s="8">
        <v>1</v>
      </c>
      <c r="F12" s="7" t="s">
        <v>9</v>
      </c>
    </row>
    <row r="13" spans="1:6" x14ac:dyDescent="0.3">
      <c r="A13" s="6" t="s">
        <v>24</v>
      </c>
      <c r="B13" s="7">
        <v>0</v>
      </c>
      <c r="C13" s="7">
        <v>1</v>
      </c>
      <c r="D13" s="7">
        <v>0</v>
      </c>
      <c r="E13" s="8">
        <v>1</v>
      </c>
      <c r="F13" s="7" t="s">
        <v>9</v>
      </c>
    </row>
    <row r="14" spans="1:6" x14ac:dyDescent="0.3">
      <c r="A14" s="6" t="s">
        <v>25</v>
      </c>
      <c r="B14" s="7">
        <v>0</v>
      </c>
      <c r="C14" s="7">
        <v>5</v>
      </c>
      <c r="D14" s="7">
        <v>0</v>
      </c>
      <c r="E14" s="8">
        <v>5</v>
      </c>
      <c r="F14" s="7" t="s">
        <v>9</v>
      </c>
    </row>
    <row r="15" spans="1:6" x14ac:dyDescent="0.3">
      <c r="A15" s="6" t="s">
        <v>26</v>
      </c>
      <c r="B15" s="7">
        <v>0</v>
      </c>
      <c r="C15" s="7">
        <v>9</v>
      </c>
      <c r="D15" s="7">
        <v>0</v>
      </c>
      <c r="E15" s="8">
        <v>9</v>
      </c>
      <c r="F15" s="7" t="s">
        <v>9</v>
      </c>
    </row>
    <row r="16" spans="1:6" x14ac:dyDescent="0.3">
      <c r="A16" s="6" t="s">
        <v>27</v>
      </c>
      <c r="B16" s="7">
        <v>32</v>
      </c>
      <c r="C16" s="7">
        <v>24</v>
      </c>
      <c r="D16" s="9">
        <v>19</v>
      </c>
      <c r="E16" s="8">
        <v>5</v>
      </c>
      <c r="F16" s="7" t="s">
        <v>28</v>
      </c>
    </row>
    <row r="17" spans="1:6" x14ac:dyDescent="0.3">
      <c r="A17" s="6" t="s">
        <v>29</v>
      </c>
      <c r="B17" s="7">
        <v>0</v>
      </c>
      <c r="C17" s="7">
        <v>1</v>
      </c>
      <c r="D17" s="7">
        <v>0</v>
      </c>
      <c r="E17" s="8">
        <v>1</v>
      </c>
      <c r="F17" s="7" t="s">
        <v>9</v>
      </c>
    </row>
    <row r="18" spans="1:6" x14ac:dyDescent="0.3">
      <c r="A18" s="6" t="s">
        <v>30</v>
      </c>
      <c r="B18" s="7">
        <v>46</v>
      </c>
      <c r="C18" s="7">
        <v>47</v>
      </c>
      <c r="D18" s="9">
        <v>39</v>
      </c>
      <c r="E18" s="8">
        <v>8</v>
      </c>
      <c r="F18" s="7" t="s">
        <v>31</v>
      </c>
    </row>
    <row r="19" spans="1:6" x14ac:dyDescent="0.3">
      <c r="A19" s="6" t="s">
        <v>32</v>
      </c>
      <c r="B19" s="7">
        <v>45</v>
      </c>
      <c r="C19" s="7">
        <v>47</v>
      </c>
      <c r="D19" s="9">
        <v>27</v>
      </c>
      <c r="E19" s="8">
        <v>20</v>
      </c>
      <c r="F19" s="7" t="s">
        <v>33</v>
      </c>
    </row>
    <row r="20" spans="1:6" x14ac:dyDescent="0.3">
      <c r="A20" s="6" t="s">
        <v>34</v>
      </c>
      <c r="B20" s="7">
        <v>0</v>
      </c>
      <c r="C20" s="7">
        <v>3</v>
      </c>
      <c r="D20" s="7">
        <v>0</v>
      </c>
      <c r="E20" s="8">
        <v>3</v>
      </c>
      <c r="F20" s="7" t="s">
        <v>9</v>
      </c>
    </row>
    <row r="21" spans="1:6" x14ac:dyDescent="0.3">
      <c r="A21" s="6" t="s">
        <v>36</v>
      </c>
      <c r="B21" s="7">
        <v>0</v>
      </c>
      <c r="C21" s="7">
        <v>1</v>
      </c>
      <c r="D21" s="7">
        <v>0</v>
      </c>
      <c r="E21" s="8">
        <v>1</v>
      </c>
      <c r="F21" s="7" t="s">
        <v>9</v>
      </c>
    </row>
    <row r="22" spans="1:6" x14ac:dyDescent="0.3">
      <c r="A22" s="6" t="s">
        <v>37</v>
      </c>
      <c r="B22" s="7">
        <v>0</v>
      </c>
      <c r="C22" s="7">
        <v>3</v>
      </c>
      <c r="D22" s="7">
        <v>0</v>
      </c>
      <c r="E22" s="8">
        <v>3</v>
      </c>
      <c r="F22" s="7" t="s">
        <v>9</v>
      </c>
    </row>
    <row r="23" spans="1:6" x14ac:dyDescent="0.3">
      <c r="A23" s="6" t="s">
        <v>38</v>
      </c>
      <c r="B23" s="7">
        <v>0</v>
      </c>
      <c r="C23" s="7">
        <v>1</v>
      </c>
      <c r="D23" s="7">
        <v>0</v>
      </c>
      <c r="E23" s="8">
        <v>1</v>
      </c>
      <c r="F23" s="7" t="s">
        <v>9</v>
      </c>
    </row>
    <row r="24" spans="1:6" ht="15" x14ac:dyDescent="0.3">
      <c r="A24" s="10" t="s">
        <v>39</v>
      </c>
      <c r="B24" s="11">
        <v>681</v>
      </c>
      <c r="C24" s="11">
        <v>479</v>
      </c>
      <c r="D24" s="11">
        <v>361</v>
      </c>
      <c r="E24" s="11">
        <v>116</v>
      </c>
      <c r="F24" s="11" t="s">
        <v>41</v>
      </c>
    </row>
    <row r="27" spans="1:6" x14ac:dyDescent="0.3">
      <c r="D27" s="14"/>
    </row>
  </sheetData>
  <hyperlinks>
    <hyperlink ref="A1" location="'Dashboard-R'!A1" display="⬅️ Dashboard Principal" xr:uid="{00000000-0004-0000-0100-000000000000}"/>
    <hyperlink ref="E2" location="FALTAN!A2" display="Faltan" xr:uid="{00000000-0004-0000-0100-000001000000}"/>
    <hyperlink ref="D3" location="Capturados!A2" display="Capturados!A2" xr:uid="{00000000-0004-0000-0100-000002000000}"/>
    <hyperlink ref="E3" location="FALTAN!A3" display="FALTAN!A3" xr:uid="{00000000-0004-0000-0100-000003000000}"/>
    <hyperlink ref="D4" location="Capturados!A117" display="Capturados!A117" xr:uid="{00000000-0004-0000-0100-000004000000}"/>
    <hyperlink ref="E4" location="FALTAN!A5" display="FALTAN!A5" xr:uid="{00000000-0004-0000-0100-000005000000}"/>
    <hyperlink ref="E5" location="FALTAN!A12" display="FALTAN!A12" xr:uid="{00000000-0004-0000-0100-000006000000}"/>
    <hyperlink ref="E6" location="FALTAN!A14" display="FALTAN!A14" xr:uid="{00000000-0004-0000-0100-000007000000}"/>
    <hyperlink ref="D7" location="Capturados!A148" display="Capturados!A148" xr:uid="{00000000-0004-0000-0100-000008000000}"/>
    <hyperlink ref="E7" location="FALTAN!A15" display="FALTAN!A15" xr:uid="{00000000-0004-0000-0100-000009000000}"/>
    <hyperlink ref="D8" location="Capturados!A241" display="Capturados!A241" xr:uid="{00000000-0004-0000-0100-00000A000000}"/>
    <hyperlink ref="E8" location="FALTAN!A33" display="FALTAN!A33" xr:uid="{00000000-0004-0000-0100-00000B000000}"/>
    <hyperlink ref="E9" location="FALTAN!A61" display="FALTAN!A61" xr:uid="{00000000-0004-0000-0100-00000C000000}"/>
    <hyperlink ref="E10" location="FALTAN!A107" display="FALTAN!A107" xr:uid="{00000000-0004-0000-0100-00000D000000}"/>
    <hyperlink ref="E11" location="FALTAN!A108" display="FALTAN!A108" xr:uid="{00000000-0004-0000-0100-00000E000000}"/>
    <hyperlink ref="E12" location="FALTAN!A109" display="FALTAN!A109" xr:uid="{00000000-0004-0000-0100-00000F000000}"/>
    <hyperlink ref="E13" location="FALTAN!A110" display="FALTAN!A110" xr:uid="{00000000-0004-0000-0100-000010000000}"/>
    <hyperlink ref="E14" location="FALTAN!A115" display="FALTAN!A115" xr:uid="{00000000-0004-0000-0100-000011000000}"/>
    <hyperlink ref="D15" location="Capturados!A285" display="Capturados!A285" xr:uid="{00000000-0004-0000-0100-000012000000}"/>
    <hyperlink ref="E15" location="FALTAN!A124" display="FALTAN!A124" xr:uid="{00000000-0004-0000-0100-000013000000}"/>
    <hyperlink ref="E16" location="FALTAN!A130" display="FALTAN!A130" xr:uid="{00000000-0004-0000-0100-000014000000}"/>
    <hyperlink ref="D17" location="Capturados!A304" display="Capturados!A304" xr:uid="{00000000-0004-0000-0100-000015000000}"/>
    <hyperlink ref="E17" location="FALTAN!A131" display="FALTAN!A131" xr:uid="{00000000-0004-0000-0100-000016000000}"/>
    <hyperlink ref="D18" location="Capturados!A343" display="Capturados!A343" xr:uid="{00000000-0004-0000-0100-000017000000}"/>
    <hyperlink ref="E18" location="FALTAN!A140" display="FALTAN!A140" xr:uid="{00000000-0004-0000-0100-000018000000}"/>
    <hyperlink ref="E19" location="FALTAN!A160" display="FALTAN!A160" xr:uid="{00000000-0004-0000-0100-000019000000}"/>
    <hyperlink ref="E20" location="FALTAN!A173" display="FALTAN!A173" xr:uid="{00000000-0004-0000-0100-00001A000000}"/>
    <hyperlink ref="E21" location="FALTAN!A174" display="FALTAN!A174" xr:uid="{00000000-0004-0000-0100-00001B000000}"/>
    <hyperlink ref="E22" location="FALTAN!A177" display="FALTAN!A177" xr:uid="{00000000-0004-0000-0100-00001C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6"/>
  <sheetViews>
    <sheetView showGridLines="0" showRowColHeaders="0" workbookViewId="0"/>
  </sheetViews>
  <sheetFormatPr baseColWidth="10" defaultColWidth="8.88671875" defaultRowHeight="14.4" x14ac:dyDescent="0.3"/>
  <cols>
    <col min="1" max="1" width="43" customWidth="1"/>
    <col min="2" max="3" width="18" customWidth="1"/>
    <col min="4" max="4" width="23" customWidth="1"/>
    <col min="5" max="5" width="14" customWidth="1"/>
  </cols>
  <sheetData>
    <row r="1" spans="1:5" ht="30" customHeight="1" x14ac:dyDescent="0.3">
      <c r="A1" s="1" t="s">
        <v>0</v>
      </c>
      <c r="B1" s="2"/>
      <c r="C1" s="2"/>
      <c r="D1" s="2"/>
      <c r="E1" s="3" t="s">
        <v>1</v>
      </c>
    </row>
    <row r="2" spans="1:5" ht="25.05" customHeight="1" x14ac:dyDescent="0.3">
      <c r="A2" s="4" t="s">
        <v>2</v>
      </c>
      <c r="B2" s="5" t="s">
        <v>42</v>
      </c>
      <c r="C2" s="5" t="s">
        <v>43</v>
      </c>
      <c r="D2" s="5" t="s">
        <v>44</v>
      </c>
      <c r="E2" s="5" t="s">
        <v>45</v>
      </c>
    </row>
    <row r="3" spans="1:5" x14ac:dyDescent="0.3">
      <c r="A3" s="6" t="s">
        <v>8</v>
      </c>
      <c r="B3" s="7">
        <v>1</v>
      </c>
      <c r="C3" s="7">
        <v>1</v>
      </c>
      <c r="D3" s="7">
        <v>0</v>
      </c>
      <c r="E3" s="7" t="s">
        <v>9</v>
      </c>
    </row>
    <row r="4" spans="1:5" ht="15.6" x14ac:dyDescent="0.3">
      <c r="A4" s="6" t="s">
        <v>10</v>
      </c>
      <c r="B4" s="7">
        <v>123</v>
      </c>
      <c r="C4" s="7">
        <v>117</v>
      </c>
      <c r="D4" s="12">
        <v>6</v>
      </c>
      <c r="E4" s="7" t="s">
        <v>46</v>
      </c>
    </row>
    <row r="5" spans="1:5" x14ac:dyDescent="0.3">
      <c r="A5" s="6" t="s">
        <v>12</v>
      </c>
      <c r="B5" s="7">
        <v>36</v>
      </c>
      <c r="C5" s="7">
        <v>36</v>
      </c>
      <c r="D5" s="7">
        <v>0</v>
      </c>
      <c r="E5" s="7" t="s">
        <v>9</v>
      </c>
    </row>
    <row r="6" spans="1:5" x14ac:dyDescent="0.3">
      <c r="A6" s="6" t="s">
        <v>14</v>
      </c>
      <c r="B6" s="7">
        <v>2</v>
      </c>
      <c r="C6" s="7">
        <v>2</v>
      </c>
      <c r="D6" s="7">
        <v>0</v>
      </c>
      <c r="E6" s="7" t="s">
        <v>9</v>
      </c>
    </row>
    <row r="7" spans="1:5" x14ac:dyDescent="0.3">
      <c r="A7" s="6" t="s">
        <v>15</v>
      </c>
      <c r="B7" s="7">
        <v>1</v>
      </c>
      <c r="C7" s="7">
        <v>1</v>
      </c>
      <c r="D7" s="7">
        <v>0</v>
      </c>
      <c r="E7" s="7" t="s">
        <v>9</v>
      </c>
    </row>
    <row r="8" spans="1:5" x14ac:dyDescent="0.3">
      <c r="A8" s="6" t="s">
        <v>16</v>
      </c>
      <c r="B8" s="7">
        <v>111</v>
      </c>
      <c r="C8" s="7">
        <v>111</v>
      </c>
      <c r="D8" s="7">
        <v>0</v>
      </c>
      <c r="E8" s="7" t="s">
        <v>9</v>
      </c>
    </row>
    <row r="9" spans="1:5" ht="15.6" x14ac:dyDescent="0.3">
      <c r="A9" s="6" t="s">
        <v>18</v>
      </c>
      <c r="B9" s="7">
        <v>70</v>
      </c>
      <c r="C9" s="7">
        <v>69</v>
      </c>
      <c r="D9" s="12">
        <v>1</v>
      </c>
      <c r="E9" s="7" t="s">
        <v>47</v>
      </c>
    </row>
    <row r="10" spans="1:5" x14ac:dyDescent="0.3">
      <c r="A10" s="6" t="s">
        <v>20</v>
      </c>
      <c r="B10" s="7">
        <v>2</v>
      </c>
      <c r="C10" s="7">
        <v>2</v>
      </c>
      <c r="D10" s="7">
        <v>0</v>
      </c>
      <c r="E10" s="7" t="s">
        <v>9</v>
      </c>
    </row>
    <row r="11" spans="1:5" ht="15.6" x14ac:dyDescent="0.3">
      <c r="A11" s="6" t="s">
        <v>21</v>
      </c>
      <c r="B11" s="7">
        <v>63</v>
      </c>
      <c r="C11" s="7">
        <v>44</v>
      </c>
      <c r="D11" s="12">
        <v>19</v>
      </c>
      <c r="E11" s="7" t="s">
        <v>48</v>
      </c>
    </row>
    <row r="12" spans="1:5" x14ac:dyDescent="0.3">
      <c r="A12" s="6" t="s">
        <v>22</v>
      </c>
      <c r="B12" s="7">
        <v>1</v>
      </c>
      <c r="C12" s="7">
        <v>1</v>
      </c>
      <c r="D12" s="7">
        <v>0</v>
      </c>
      <c r="E12" s="7" t="s">
        <v>9</v>
      </c>
    </row>
    <row r="13" spans="1:5" x14ac:dyDescent="0.3">
      <c r="A13" s="6" t="s">
        <v>23</v>
      </c>
      <c r="B13" s="7">
        <v>1</v>
      </c>
      <c r="C13" s="7">
        <v>1</v>
      </c>
      <c r="D13" s="7">
        <v>0</v>
      </c>
      <c r="E13" s="7" t="s">
        <v>9</v>
      </c>
    </row>
    <row r="14" spans="1:5" x14ac:dyDescent="0.3">
      <c r="A14" s="6" t="s">
        <v>24</v>
      </c>
      <c r="B14" s="7">
        <v>1</v>
      </c>
      <c r="C14" s="7">
        <v>1</v>
      </c>
      <c r="D14" s="7">
        <v>0</v>
      </c>
      <c r="E14" s="7" t="s">
        <v>9</v>
      </c>
    </row>
    <row r="15" spans="1:5" x14ac:dyDescent="0.3">
      <c r="A15" s="6" t="s">
        <v>25</v>
      </c>
      <c r="B15" s="7">
        <v>5</v>
      </c>
      <c r="C15" s="7">
        <v>5</v>
      </c>
      <c r="D15" s="7">
        <v>0</v>
      </c>
      <c r="E15" s="7" t="s">
        <v>9</v>
      </c>
    </row>
    <row r="16" spans="1:5" x14ac:dyDescent="0.3">
      <c r="A16" s="6" t="s">
        <v>26</v>
      </c>
      <c r="B16" s="7">
        <v>9</v>
      </c>
      <c r="C16" s="7">
        <v>9</v>
      </c>
      <c r="D16" s="7">
        <v>0</v>
      </c>
      <c r="E16" s="7" t="s">
        <v>9</v>
      </c>
    </row>
    <row r="17" spans="1:5" x14ac:dyDescent="0.3">
      <c r="A17" s="6" t="s">
        <v>27</v>
      </c>
      <c r="B17" s="7">
        <v>24</v>
      </c>
      <c r="C17" s="7">
        <v>24</v>
      </c>
      <c r="D17" s="7">
        <v>0</v>
      </c>
      <c r="E17" s="7" t="s">
        <v>9</v>
      </c>
    </row>
    <row r="18" spans="1:5" x14ac:dyDescent="0.3">
      <c r="A18" s="6" t="s">
        <v>29</v>
      </c>
      <c r="B18" s="7">
        <v>1</v>
      </c>
      <c r="C18" s="7">
        <v>1</v>
      </c>
      <c r="D18" s="7">
        <v>0</v>
      </c>
      <c r="E18" s="7" t="s">
        <v>9</v>
      </c>
    </row>
    <row r="19" spans="1:5" x14ac:dyDescent="0.3">
      <c r="A19" s="6" t="s">
        <v>30</v>
      </c>
      <c r="B19" s="7">
        <v>47</v>
      </c>
      <c r="C19" s="7">
        <v>47</v>
      </c>
      <c r="D19" s="7">
        <v>0</v>
      </c>
      <c r="E19" s="7" t="s">
        <v>9</v>
      </c>
    </row>
    <row r="20" spans="1:5" x14ac:dyDescent="0.3">
      <c r="A20" s="6" t="s">
        <v>32</v>
      </c>
      <c r="B20" s="7">
        <v>47</v>
      </c>
      <c r="C20" s="7">
        <v>47</v>
      </c>
      <c r="D20" s="7">
        <v>0</v>
      </c>
      <c r="E20" s="7" t="s">
        <v>9</v>
      </c>
    </row>
    <row r="21" spans="1:5" x14ac:dyDescent="0.3">
      <c r="A21" s="6" t="s">
        <v>34</v>
      </c>
      <c r="B21" s="7">
        <v>3</v>
      </c>
      <c r="C21" s="7">
        <v>3</v>
      </c>
      <c r="D21" s="7">
        <v>0</v>
      </c>
      <c r="E21" s="7" t="s">
        <v>9</v>
      </c>
    </row>
    <row r="22" spans="1:5" x14ac:dyDescent="0.3">
      <c r="A22" s="6" t="s">
        <v>35</v>
      </c>
      <c r="B22" s="7">
        <v>10</v>
      </c>
      <c r="C22" s="7">
        <v>10</v>
      </c>
      <c r="D22" s="7">
        <v>0</v>
      </c>
      <c r="E22" s="7" t="s">
        <v>9</v>
      </c>
    </row>
    <row r="23" spans="1:5" x14ac:dyDescent="0.3">
      <c r="A23" s="6" t="s">
        <v>36</v>
      </c>
      <c r="B23" s="7">
        <v>1</v>
      </c>
      <c r="C23" s="7">
        <v>1</v>
      </c>
      <c r="D23" s="7">
        <v>0</v>
      </c>
      <c r="E23" s="7" t="s">
        <v>9</v>
      </c>
    </row>
    <row r="24" spans="1:5" x14ac:dyDescent="0.3">
      <c r="A24" s="6" t="s">
        <v>37</v>
      </c>
      <c r="B24" s="7">
        <v>3</v>
      </c>
      <c r="C24" s="7">
        <v>3</v>
      </c>
      <c r="D24" s="7">
        <v>0</v>
      </c>
      <c r="E24" s="7" t="s">
        <v>9</v>
      </c>
    </row>
    <row r="25" spans="1:5" x14ac:dyDescent="0.3">
      <c r="A25" s="6" t="s">
        <v>38</v>
      </c>
      <c r="B25" s="7">
        <v>1</v>
      </c>
      <c r="C25" s="7">
        <v>1</v>
      </c>
      <c r="D25" s="7">
        <v>0</v>
      </c>
      <c r="E25" s="7" t="s">
        <v>9</v>
      </c>
    </row>
    <row r="26" spans="1:5" ht="15" x14ac:dyDescent="0.3">
      <c r="A26" s="10" t="s">
        <v>39</v>
      </c>
      <c r="B26" s="11">
        <v>563</v>
      </c>
      <c r="C26" s="11">
        <v>537</v>
      </c>
      <c r="D26" s="11">
        <v>26</v>
      </c>
      <c r="E26" s="11" t="s">
        <v>49</v>
      </c>
    </row>
  </sheetData>
  <hyperlinks>
    <hyperlink ref="A1" location="'Dashboard-R'!A1" display="⬅️ Dashboard Principal" xr:uid="{00000000-0004-0000-0200-000000000000}"/>
    <hyperlink ref="D3" location="Registros_Eliminados!A3" display="Registros_Eliminados!A3" xr:uid="{00000000-0004-0000-0200-000001000000}"/>
    <hyperlink ref="D8" location="Registros_Eliminados!A276" display="Registros_Eliminados!A276" xr:uid="{00000000-0004-0000-0200-000002000000}"/>
    <hyperlink ref="D10" location="Registros_Eliminados!A348" display="Registros_Eliminados!A348" xr:uid="{00000000-0004-0000-0200-00000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
  <sheetViews>
    <sheetView showGridLines="0" showRowColHeaders="0" workbookViewId="0">
      <selection activeCell="D3" sqref="D3"/>
    </sheetView>
  </sheetViews>
  <sheetFormatPr baseColWidth="10" defaultColWidth="8.88671875" defaultRowHeight="14.4" x14ac:dyDescent="0.3"/>
  <cols>
    <col min="1" max="1" width="35" customWidth="1"/>
    <col min="2" max="3" width="50" customWidth="1"/>
    <col min="4" max="4" width="19" customWidth="1"/>
    <col min="5" max="5" width="25" customWidth="1"/>
    <col min="6" max="6" width="39" customWidth="1"/>
    <col min="7" max="7" width="21" customWidth="1"/>
  </cols>
  <sheetData>
    <row r="1" spans="1:7" ht="30" customHeight="1" x14ac:dyDescent="0.3">
      <c r="A1" s="1" t="s">
        <v>0</v>
      </c>
      <c r="B1" s="2"/>
      <c r="C1" s="2"/>
      <c r="D1" s="2"/>
      <c r="E1" s="2"/>
      <c r="F1" s="2"/>
      <c r="G1" s="3" t="s">
        <v>1</v>
      </c>
    </row>
    <row r="2" spans="1:7" ht="25.05" customHeight="1" x14ac:dyDescent="0.3">
      <c r="A2" s="4" t="s">
        <v>50</v>
      </c>
      <c r="B2" s="5" t="s">
        <v>51</v>
      </c>
      <c r="C2" s="5" t="s">
        <v>2</v>
      </c>
      <c r="D2" s="5" t="s">
        <v>52</v>
      </c>
      <c r="E2" s="5" t="s">
        <v>53</v>
      </c>
      <c r="F2" s="5" t="s">
        <v>54</v>
      </c>
      <c r="G2" s="5" t="s">
        <v>55</v>
      </c>
    </row>
    <row r="3" spans="1:7" ht="15.6" x14ac:dyDescent="0.3">
      <c r="A3" s="6" t="s">
        <v>56</v>
      </c>
      <c r="B3" s="7" t="s">
        <v>57</v>
      </c>
      <c r="C3" s="7" t="s">
        <v>21</v>
      </c>
      <c r="D3" s="12">
        <v>8</v>
      </c>
      <c r="E3" s="7" t="s">
        <v>58</v>
      </c>
      <c r="F3" s="7" t="s">
        <v>59</v>
      </c>
      <c r="G3" s="7" t="s">
        <v>60</v>
      </c>
    </row>
    <row r="4" spans="1:7" ht="15.6" x14ac:dyDescent="0.3">
      <c r="A4" s="6" t="s">
        <v>61</v>
      </c>
      <c r="B4" s="7" t="s">
        <v>62</v>
      </c>
      <c r="C4" s="7" t="s">
        <v>21</v>
      </c>
      <c r="D4" s="12">
        <v>7</v>
      </c>
      <c r="E4" s="7" t="s">
        <v>63</v>
      </c>
      <c r="F4" s="7" t="s">
        <v>64</v>
      </c>
      <c r="G4" s="7" t="s">
        <v>60</v>
      </c>
    </row>
    <row r="5" spans="1:7" ht="15.6" x14ac:dyDescent="0.3">
      <c r="A5" s="6" t="s">
        <v>65</v>
      </c>
      <c r="B5" s="7" t="s">
        <v>66</v>
      </c>
      <c r="C5" s="7" t="s">
        <v>21</v>
      </c>
      <c r="D5" s="12">
        <v>3</v>
      </c>
      <c r="E5" s="7" t="s">
        <v>67</v>
      </c>
      <c r="F5" s="7" t="s">
        <v>68</v>
      </c>
      <c r="G5" s="7" t="s">
        <v>60</v>
      </c>
    </row>
    <row r="6" spans="1:7" ht="15.6" x14ac:dyDescent="0.3">
      <c r="A6" s="6" t="s">
        <v>69</v>
      </c>
      <c r="B6" s="7" t="s">
        <v>70</v>
      </c>
      <c r="C6" s="7" t="s">
        <v>21</v>
      </c>
      <c r="D6" s="12">
        <v>3</v>
      </c>
      <c r="E6" s="7" t="s">
        <v>71</v>
      </c>
      <c r="F6" s="7" t="s">
        <v>72</v>
      </c>
      <c r="G6" s="7" t="s">
        <v>60</v>
      </c>
    </row>
    <row r="7" spans="1:7" ht="15.6" x14ac:dyDescent="0.3">
      <c r="A7" s="6" t="s">
        <v>73</v>
      </c>
      <c r="B7" s="7" t="s">
        <v>74</v>
      </c>
      <c r="C7" s="7" t="s">
        <v>10</v>
      </c>
      <c r="D7" s="12">
        <v>3</v>
      </c>
      <c r="E7" s="7" t="s">
        <v>75</v>
      </c>
      <c r="F7" s="7" t="s">
        <v>76</v>
      </c>
      <c r="G7" s="7" t="s">
        <v>60</v>
      </c>
    </row>
    <row r="8" spans="1:7" ht="15.6" x14ac:dyDescent="0.3">
      <c r="A8" s="6" t="s">
        <v>77</v>
      </c>
      <c r="B8" s="7" t="s">
        <v>78</v>
      </c>
      <c r="C8" s="7" t="s">
        <v>10</v>
      </c>
      <c r="D8" s="12">
        <v>3</v>
      </c>
      <c r="E8" s="7" t="s">
        <v>75</v>
      </c>
      <c r="F8" s="7" t="s">
        <v>79</v>
      </c>
      <c r="G8" s="7" t="s">
        <v>60</v>
      </c>
    </row>
    <row r="9" spans="1:7" ht="15.6" x14ac:dyDescent="0.3">
      <c r="A9" s="6" t="s">
        <v>80</v>
      </c>
      <c r="B9" s="7" t="s">
        <v>81</v>
      </c>
      <c r="C9" s="7" t="s">
        <v>82</v>
      </c>
      <c r="D9" s="12">
        <v>3</v>
      </c>
      <c r="E9" s="7" t="s">
        <v>83</v>
      </c>
      <c r="F9" s="7"/>
      <c r="G9" s="7" t="s">
        <v>84</v>
      </c>
    </row>
    <row r="10" spans="1:7" ht="15.6" x14ac:dyDescent="0.3">
      <c r="A10" s="6" t="s">
        <v>85</v>
      </c>
      <c r="B10" s="7" t="s">
        <v>86</v>
      </c>
      <c r="C10" s="7" t="s">
        <v>10</v>
      </c>
      <c r="D10" s="12">
        <v>3</v>
      </c>
      <c r="E10" s="7" t="s">
        <v>87</v>
      </c>
      <c r="F10" s="7" t="s">
        <v>88</v>
      </c>
      <c r="G10" s="7" t="s">
        <v>84</v>
      </c>
    </row>
    <row r="11" spans="1:7" ht="15.6" x14ac:dyDescent="0.3">
      <c r="A11" s="6" t="s">
        <v>89</v>
      </c>
      <c r="B11" s="7" t="s">
        <v>90</v>
      </c>
      <c r="C11" s="7" t="s">
        <v>21</v>
      </c>
      <c r="D11" s="12">
        <v>2</v>
      </c>
      <c r="E11" s="7" t="s">
        <v>91</v>
      </c>
      <c r="F11" s="7" t="s">
        <v>92</v>
      </c>
      <c r="G11" s="7" t="s">
        <v>60</v>
      </c>
    </row>
    <row r="12" spans="1:7" ht="15.6" x14ac:dyDescent="0.3">
      <c r="A12" s="6" t="s">
        <v>93</v>
      </c>
      <c r="B12" s="7" t="s">
        <v>90</v>
      </c>
      <c r="C12" s="7" t="s">
        <v>21</v>
      </c>
      <c r="D12" s="12">
        <v>2</v>
      </c>
      <c r="E12" s="7" t="s">
        <v>94</v>
      </c>
      <c r="F12" s="7" t="s">
        <v>95</v>
      </c>
      <c r="G12" s="7" t="s">
        <v>60</v>
      </c>
    </row>
    <row r="13" spans="1:7" ht="15.6" x14ac:dyDescent="0.3">
      <c r="A13" s="6" t="s">
        <v>96</v>
      </c>
      <c r="B13" s="7" t="s">
        <v>97</v>
      </c>
      <c r="C13" s="7" t="s">
        <v>18</v>
      </c>
      <c r="D13" s="12">
        <v>2</v>
      </c>
      <c r="E13" s="7" t="s">
        <v>98</v>
      </c>
      <c r="F13" s="7" t="s">
        <v>99</v>
      </c>
      <c r="G13" s="7" t="s">
        <v>60</v>
      </c>
    </row>
    <row r="14" spans="1:7" ht="15.6" x14ac:dyDescent="0.3">
      <c r="A14" s="6" t="s">
        <v>100</v>
      </c>
      <c r="B14" s="7" t="s">
        <v>101</v>
      </c>
      <c r="C14" s="7" t="s">
        <v>16</v>
      </c>
      <c r="D14" s="12">
        <v>2</v>
      </c>
      <c r="E14" s="7" t="s">
        <v>87</v>
      </c>
      <c r="F14" s="7" t="s">
        <v>102</v>
      </c>
      <c r="G14" s="7" t="s">
        <v>84</v>
      </c>
    </row>
    <row r="15" spans="1:7" ht="15.6" x14ac:dyDescent="0.3">
      <c r="A15" s="6" t="s">
        <v>103</v>
      </c>
      <c r="B15" s="7" t="s">
        <v>104</v>
      </c>
      <c r="C15" s="7" t="s">
        <v>18</v>
      </c>
      <c r="D15" s="12">
        <v>2</v>
      </c>
      <c r="E15" s="7" t="s">
        <v>105</v>
      </c>
      <c r="F15" s="7" t="s">
        <v>106</v>
      </c>
      <c r="G15" s="7" t="s">
        <v>84</v>
      </c>
    </row>
    <row r="16" spans="1:7" ht="15.6" x14ac:dyDescent="0.3">
      <c r="A16" s="6" t="s">
        <v>107</v>
      </c>
      <c r="B16" s="7" t="s">
        <v>108</v>
      </c>
      <c r="C16" s="7" t="s">
        <v>16</v>
      </c>
      <c r="D16" s="12">
        <v>2</v>
      </c>
      <c r="E16" s="7" t="s">
        <v>109</v>
      </c>
      <c r="F16" s="7" t="s">
        <v>110</v>
      </c>
      <c r="G16" s="7" t="s">
        <v>84</v>
      </c>
    </row>
    <row r="17" spans="1:7" ht="15.6" x14ac:dyDescent="0.3">
      <c r="A17" s="6" t="s">
        <v>111</v>
      </c>
      <c r="B17" s="7" t="s">
        <v>112</v>
      </c>
      <c r="C17" s="7" t="s">
        <v>113</v>
      </c>
      <c r="D17" s="12">
        <v>2</v>
      </c>
      <c r="E17" s="7" t="s">
        <v>114</v>
      </c>
      <c r="F17" s="7" t="s">
        <v>115</v>
      </c>
      <c r="G17" s="7" t="s">
        <v>84</v>
      </c>
    </row>
    <row r="18" spans="1:7" ht="15.6" x14ac:dyDescent="0.3">
      <c r="A18" s="6" t="s">
        <v>116</v>
      </c>
      <c r="B18" s="7" t="s">
        <v>117</v>
      </c>
      <c r="C18" s="7" t="s">
        <v>10</v>
      </c>
      <c r="D18" s="12">
        <v>2</v>
      </c>
      <c r="E18" s="7" t="s">
        <v>118</v>
      </c>
      <c r="F18" s="7" t="s">
        <v>119</v>
      </c>
      <c r="G18" s="7" t="s">
        <v>60</v>
      </c>
    </row>
    <row r="19" spans="1:7" ht="15.6" x14ac:dyDescent="0.3">
      <c r="A19" s="6" t="s">
        <v>120</v>
      </c>
      <c r="B19" s="7" t="s">
        <v>121</v>
      </c>
      <c r="C19" s="7" t="s">
        <v>122</v>
      </c>
      <c r="D19" s="12">
        <v>2</v>
      </c>
      <c r="E19" s="7" t="s">
        <v>123</v>
      </c>
      <c r="F19" s="7" t="s">
        <v>124</v>
      </c>
      <c r="G19" s="7" t="s">
        <v>84</v>
      </c>
    </row>
    <row r="20" spans="1:7" ht="15.6" x14ac:dyDescent="0.3">
      <c r="A20" s="6" t="s">
        <v>125</v>
      </c>
      <c r="B20" s="7" t="s">
        <v>126</v>
      </c>
      <c r="C20" s="7" t="s">
        <v>21</v>
      </c>
      <c r="D20" s="12">
        <v>2</v>
      </c>
      <c r="E20" s="7" t="s">
        <v>127</v>
      </c>
      <c r="F20" s="7" t="s">
        <v>128</v>
      </c>
      <c r="G20" s="7" t="s">
        <v>84</v>
      </c>
    </row>
  </sheetData>
  <hyperlinks>
    <hyperlink ref="A1" location="'Dashboard-R'!A1" display="⬅️ Dashboard Principal" xr:uid="{00000000-0004-0000-0300-000000000000}"/>
    <hyperlink ref="D2" location="Detalle_Duplicados!A53" display="Veces que aparece" xr:uid="{00000000-0004-0000-0300-000001000000}"/>
    <hyperlink ref="D3" location="Detalle_Duplicados!A6" display="Detalle_Duplicados!A6" xr:uid="{00000000-0004-0000-0300-000002000000}"/>
    <hyperlink ref="D4" location="Detalle_Duplicados!A65" display="Detalle_Duplicados!A65" xr:uid="{00000000-0004-0000-0300-000003000000}"/>
    <hyperlink ref="D5" location="Detalle_Duplicados!A72" display="Detalle_Duplicados!A72" xr:uid="{00000000-0004-0000-0300-000004000000}"/>
    <hyperlink ref="D6" location="Detalle_Duplicados!A293" display="Detalle_Duplicados!A293" xr:uid="{00000000-0004-0000-0300-000005000000}"/>
    <hyperlink ref="D7" location="Detalle_Duplicados!A288" display="Detalle_Duplicados!A288" xr:uid="{00000000-0004-0000-0300-000006000000}"/>
    <hyperlink ref="D8" location="Detalle_Duplicados!A504" display="Detalle_Duplicados!A504" xr:uid="{00000000-0004-0000-0300-000007000000}"/>
    <hyperlink ref="D9" location="Detalle_Duplicados!A306" display="Detalle_Duplicados!A306" xr:uid="{00000000-0004-0000-0300-000008000000}"/>
    <hyperlink ref="D10" location="Detalle_Duplicados!A63" display="Detalle_Duplicados!A63" xr:uid="{00000000-0004-0000-0300-000009000000}"/>
    <hyperlink ref="D11" location="Detalle_Duplicados!A76" display="Detalle_Duplicados!A76" xr:uid="{00000000-0004-0000-0300-00000A000000}"/>
    <hyperlink ref="D12" location="Detalle_Duplicados!A222" display="Detalle_Duplicados!A222" xr:uid="{00000000-0004-0000-0300-00000B000000}"/>
    <hyperlink ref="D13" location="Detalle_Duplicados!A143" display="Detalle_Duplicados!A143" xr:uid="{00000000-0004-0000-0300-00000C000000}"/>
    <hyperlink ref="D14" location="Detalle_Duplicados!A95" display="Detalle_Duplicados!A95" xr:uid="{00000000-0004-0000-0300-00000D000000}"/>
    <hyperlink ref="D15" location="Detalle_Duplicados!A83" display="Detalle_Duplicados!A83" xr:uid="{00000000-0004-0000-0300-00000E000000}"/>
    <hyperlink ref="D16" location="Detalle_Duplicados!A228" display="Detalle_Duplicados!A228" xr:uid="{00000000-0004-0000-0300-00000F000000}"/>
    <hyperlink ref="D17" location="Detalle_Duplicados!A367" display="Detalle_Duplicados!A367" xr:uid="{00000000-0004-0000-0300-000010000000}"/>
    <hyperlink ref="D18" location="Detalle_Duplicados!A410" display="Detalle_Duplicados!A410" xr:uid="{00000000-0004-0000-0300-000011000000}"/>
    <hyperlink ref="D19" location="Detalle_Duplicados!A561" display="Detalle_Duplicados!A561" xr:uid="{00000000-0004-0000-0300-000012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70"/>
  <sheetViews>
    <sheetView showGridLines="0" showRowColHeaders="0" workbookViewId="0"/>
  </sheetViews>
  <sheetFormatPr baseColWidth="10" defaultColWidth="8.88671875" defaultRowHeight="14.4" x14ac:dyDescent="0.3"/>
  <cols>
    <col min="1" max="1" width="13" customWidth="1"/>
    <col min="2" max="2" width="8" customWidth="1"/>
    <col min="3" max="3" width="12" customWidth="1"/>
    <col min="4" max="4" width="10" customWidth="1"/>
    <col min="5" max="5" width="19" customWidth="1"/>
    <col min="6" max="6" width="22" customWidth="1"/>
    <col min="7" max="7" width="50" customWidth="1"/>
    <col min="8" max="8" width="17" customWidth="1"/>
    <col min="9" max="9" width="40" customWidth="1"/>
    <col min="10" max="10" width="17" customWidth="1"/>
    <col min="11" max="11" width="14" customWidth="1"/>
    <col min="12" max="12" width="13" customWidth="1"/>
  </cols>
  <sheetData>
    <row r="1" spans="1:10" ht="30" customHeight="1" x14ac:dyDescent="0.3">
      <c r="A1" s="1" t="s">
        <v>0</v>
      </c>
      <c r="B1" s="2"/>
      <c r="C1" s="2"/>
      <c r="D1" s="2"/>
      <c r="E1" s="2"/>
      <c r="F1" s="2"/>
      <c r="G1" s="2"/>
      <c r="H1" s="2"/>
      <c r="I1" s="2"/>
      <c r="J1" s="3" t="s">
        <v>1</v>
      </c>
    </row>
    <row r="2" spans="1:10" ht="25.05" customHeight="1" x14ac:dyDescent="0.3">
      <c r="A2" s="4" t="s">
        <v>129</v>
      </c>
      <c r="B2" s="5" t="s">
        <v>130</v>
      </c>
      <c r="C2" s="5" t="s">
        <v>131</v>
      </c>
      <c r="D2" s="5" t="s">
        <v>132</v>
      </c>
      <c r="E2" s="5" t="s">
        <v>133</v>
      </c>
      <c r="F2" s="5" t="s">
        <v>134</v>
      </c>
      <c r="G2" s="5" t="s">
        <v>50</v>
      </c>
      <c r="H2" s="5" t="s">
        <v>135</v>
      </c>
      <c r="I2" s="5" t="s">
        <v>136</v>
      </c>
      <c r="J2" s="5" t="s">
        <v>137</v>
      </c>
    </row>
    <row r="3" spans="1:10" x14ac:dyDescent="0.3">
      <c r="A3" s="6" t="s">
        <v>138</v>
      </c>
      <c r="B3" s="7" t="s">
        <v>139</v>
      </c>
      <c r="C3" s="7" t="s">
        <v>140</v>
      </c>
      <c r="D3" s="7" t="s">
        <v>10</v>
      </c>
      <c r="E3" s="7" t="s">
        <v>141</v>
      </c>
      <c r="F3" s="7"/>
      <c r="G3" s="7" t="s">
        <v>142</v>
      </c>
      <c r="H3" s="7">
        <v>8</v>
      </c>
      <c r="I3" s="7" t="s">
        <v>143</v>
      </c>
      <c r="J3" s="7" t="s">
        <v>144</v>
      </c>
    </row>
    <row r="4" spans="1:10" x14ac:dyDescent="0.3">
      <c r="A4" s="6" t="s">
        <v>145</v>
      </c>
      <c r="B4" s="7" t="s">
        <v>139</v>
      </c>
      <c r="C4" s="7" t="s">
        <v>140</v>
      </c>
      <c r="D4" s="7" t="s">
        <v>10</v>
      </c>
      <c r="E4" s="7" t="s">
        <v>146</v>
      </c>
      <c r="F4" s="7"/>
      <c r="G4" s="7" t="s">
        <v>147</v>
      </c>
      <c r="H4" s="7">
        <v>14</v>
      </c>
      <c r="I4" s="7" t="s">
        <v>148</v>
      </c>
      <c r="J4" s="7" t="s">
        <v>149</v>
      </c>
    </row>
    <row r="5" spans="1:10" x14ac:dyDescent="0.3">
      <c r="A5" s="6" t="s">
        <v>150</v>
      </c>
      <c r="B5" s="7" t="s">
        <v>139</v>
      </c>
      <c r="C5" s="7" t="s">
        <v>140</v>
      </c>
      <c r="D5" s="7" t="s">
        <v>10</v>
      </c>
      <c r="E5" s="7" t="s">
        <v>151</v>
      </c>
      <c r="F5" s="7"/>
      <c r="G5" s="7" t="s">
        <v>152</v>
      </c>
      <c r="H5" s="7">
        <v>1</v>
      </c>
      <c r="I5" s="7" t="s">
        <v>153</v>
      </c>
      <c r="J5" s="7" t="s">
        <v>154</v>
      </c>
    </row>
    <row r="6" spans="1:10" x14ac:dyDescent="0.3">
      <c r="A6" s="6" t="s">
        <v>155</v>
      </c>
      <c r="B6" s="7" t="s">
        <v>139</v>
      </c>
      <c r="C6" s="7" t="s">
        <v>140</v>
      </c>
      <c r="D6" s="7" t="s">
        <v>10</v>
      </c>
      <c r="E6" s="7" t="s">
        <v>156</v>
      </c>
      <c r="F6" s="7" t="s">
        <v>157</v>
      </c>
      <c r="G6" s="7" t="s">
        <v>158</v>
      </c>
      <c r="H6" s="7">
        <v>1</v>
      </c>
      <c r="I6" s="7" t="s">
        <v>159</v>
      </c>
      <c r="J6" s="7" t="s">
        <v>160</v>
      </c>
    </row>
    <row r="7" spans="1:10" x14ac:dyDescent="0.3">
      <c r="A7" s="6" t="s">
        <v>161</v>
      </c>
      <c r="B7" s="7" t="s">
        <v>139</v>
      </c>
      <c r="C7" s="7" t="s">
        <v>140</v>
      </c>
      <c r="D7" s="7" t="s">
        <v>10</v>
      </c>
      <c r="E7" s="7" t="s">
        <v>156</v>
      </c>
      <c r="F7" s="7" t="s">
        <v>157</v>
      </c>
      <c r="G7" s="7" t="s">
        <v>162</v>
      </c>
      <c r="H7" s="7">
        <v>2</v>
      </c>
      <c r="I7" s="7" t="s">
        <v>163</v>
      </c>
      <c r="J7" s="7" t="s">
        <v>164</v>
      </c>
    </row>
    <row r="8" spans="1:10" x14ac:dyDescent="0.3">
      <c r="A8" s="6" t="s">
        <v>165</v>
      </c>
      <c r="B8" s="7" t="s">
        <v>139</v>
      </c>
      <c r="C8" s="7" t="s">
        <v>140</v>
      </c>
      <c r="D8" s="7" t="s">
        <v>10</v>
      </c>
      <c r="E8" s="7" t="s">
        <v>166</v>
      </c>
      <c r="F8" s="7"/>
      <c r="G8" s="7" t="s">
        <v>167</v>
      </c>
      <c r="H8" s="7">
        <v>1</v>
      </c>
      <c r="I8" s="7" t="s">
        <v>168</v>
      </c>
      <c r="J8" s="7" t="s">
        <v>169</v>
      </c>
    </row>
    <row r="9" spans="1:10" x14ac:dyDescent="0.3">
      <c r="A9" s="6" t="s">
        <v>170</v>
      </c>
      <c r="B9" s="7" t="s">
        <v>139</v>
      </c>
      <c r="C9" s="7" t="s">
        <v>140</v>
      </c>
      <c r="D9" s="7" t="s">
        <v>10</v>
      </c>
      <c r="E9" s="7" t="s">
        <v>171</v>
      </c>
      <c r="F9" s="7"/>
      <c r="G9" s="7" t="s">
        <v>172</v>
      </c>
      <c r="H9" s="7">
        <v>4</v>
      </c>
      <c r="I9" s="7" t="s">
        <v>173</v>
      </c>
      <c r="J9" s="7" t="s">
        <v>174</v>
      </c>
    </row>
    <row r="10" spans="1:10" x14ac:dyDescent="0.3">
      <c r="A10" s="6" t="s">
        <v>175</v>
      </c>
      <c r="B10" s="7" t="s">
        <v>139</v>
      </c>
      <c r="C10" s="7" t="s">
        <v>140</v>
      </c>
      <c r="D10" s="7" t="s">
        <v>10</v>
      </c>
      <c r="E10" s="7" t="s">
        <v>176</v>
      </c>
      <c r="F10" s="7" t="s">
        <v>177</v>
      </c>
      <c r="G10" s="7" t="s">
        <v>178</v>
      </c>
      <c r="H10" s="7">
        <v>4</v>
      </c>
      <c r="I10" s="7" t="s">
        <v>179</v>
      </c>
      <c r="J10" s="7" t="s">
        <v>180</v>
      </c>
    </row>
    <row r="11" spans="1:10" x14ac:dyDescent="0.3">
      <c r="A11" s="6" t="s">
        <v>181</v>
      </c>
      <c r="B11" s="7" t="s">
        <v>139</v>
      </c>
      <c r="C11" s="7" t="s">
        <v>140</v>
      </c>
      <c r="D11" s="7" t="s">
        <v>10</v>
      </c>
      <c r="E11" s="7" t="s">
        <v>182</v>
      </c>
      <c r="F11" s="7"/>
      <c r="G11" s="7" t="s">
        <v>183</v>
      </c>
      <c r="H11" s="7">
        <v>3</v>
      </c>
      <c r="I11" s="7" t="s">
        <v>184</v>
      </c>
      <c r="J11" s="7" t="s">
        <v>185</v>
      </c>
    </row>
    <row r="12" spans="1:10" x14ac:dyDescent="0.3">
      <c r="A12" s="6" t="s">
        <v>186</v>
      </c>
      <c r="B12" s="7" t="s">
        <v>139</v>
      </c>
      <c r="C12" s="7" t="s">
        <v>140</v>
      </c>
      <c r="D12" s="7" t="s">
        <v>10</v>
      </c>
      <c r="E12" s="7" t="s">
        <v>187</v>
      </c>
      <c r="F12" s="7" t="s">
        <v>188</v>
      </c>
      <c r="G12" s="7" t="s">
        <v>189</v>
      </c>
      <c r="H12" s="7">
        <v>6</v>
      </c>
      <c r="I12" s="7" t="s">
        <v>190</v>
      </c>
      <c r="J12" s="7" t="s">
        <v>191</v>
      </c>
    </row>
    <row r="13" spans="1:10" x14ac:dyDescent="0.3">
      <c r="A13" s="6" t="s">
        <v>192</v>
      </c>
      <c r="B13" s="7" t="s">
        <v>139</v>
      </c>
      <c r="C13" s="7" t="s">
        <v>140</v>
      </c>
      <c r="D13" s="7" t="s">
        <v>10</v>
      </c>
      <c r="E13" s="7" t="s">
        <v>193</v>
      </c>
      <c r="F13" s="7" t="s">
        <v>194</v>
      </c>
      <c r="G13" s="7" t="s">
        <v>195</v>
      </c>
      <c r="H13" s="7">
        <v>4</v>
      </c>
      <c r="I13" s="7" t="s">
        <v>196</v>
      </c>
      <c r="J13" s="7" t="s">
        <v>197</v>
      </c>
    </row>
    <row r="14" spans="1:10" x14ac:dyDescent="0.3">
      <c r="A14" s="6" t="s">
        <v>198</v>
      </c>
      <c r="B14" s="7" t="s">
        <v>139</v>
      </c>
      <c r="C14" s="7" t="s">
        <v>140</v>
      </c>
      <c r="D14" s="7" t="s">
        <v>10</v>
      </c>
      <c r="E14" s="7" t="s">
        <v>199</v>
      </c>
      <c r="F14" s="7" t="s">
        <v>200</v>
      </c>
      <c r="G14" s="7" t="s">
        <v>201</v>
      </c>
      <c r="H14" s="7">
        <v>18</v>
      </c>
      <c r="I14" s="7" t="s">
        <v>202</v>
      </c>
      <c r="J14" s="7" t="s">
        <v>203</v>
      </c>
    </row>
    <row r="15" spans="1:10" x14ac:dyDescent="0.3">
      <c r="A15" s="6" t="s">
        <v>204</v>
      </c>
      <c r="B15" s="7" t="s">
        <v>139</v>
      </c>
      <c r="C15" s="7" t="s">
        <v>140</v>
      </c>
      <c r="D15" s="7" t="s">
        <v>10</v>
      </c>
      <c r="E15" s="7" t="s">
        <v>205</v>
      </c>
      <c r="F15" s="7"/>
      <c r="G15" s="7" t="s">
        <v>206</v>
      </c>
      <c r="H15" s="7">
        <v>40</v>
      </c>
      <c r="I15" s="7" t="s">
        <v>207</v>
      </c>
      <c r="J15" s="7" t="s">
        <v>208</v>
      </c>
    </row>
    <row r="16" spans="1:10" x14ac:dyDescent="0.3">
      <c r="A16" s="6" t="s">
        <v>209</v>
      </c>
      <c r="B16" s="7" t="s">
        <v>139</v>
      </c>
      <c r="C16" s="7" t="s">
        <v>140</v>
      </c>
      <c r="D16" s="7" t="s">
        <v>10</v>
      </c>
      <c r="E16" s="7" t="s">
        <v>205</v>
      </c>
      <c r="F16" s="7"/>
      <c r="G16" s="7" t="s">
        <v>210</v>
      </c>
      <c r="H16" s="7">
        <v>49</v>
      </c>
      <c r="I16" s="7" t="s">
        <v>207</v>
      </c>
      <c r="J16" s="7" t="s">
        <v>211</v>
      </c>
    </row>
    <row r="17" spans="1:10" x14ac:dyDescent="0.3">
      <c r="A17" s="6" t="s">
        <v>212</v>
      </c>
      <c r="B17" s="7" t="s">
        <v>139</v>
      </c>
      <c r="C17" s="7" t="s">
        <v>140</v>
      </c>
      <c r="D17" s="7" t="s">
        <v>10</v>
      </c>
      <c r="E17" s="7" t="s">
        <v>213</v>
      </c>
      <c r="F17" s="7"/>
      <c r="G17" s="7" t="s">
        <v>214</v>
      </c>
      <c r="H17" s="7">
        <v>39</v>
      </c>
      <c r="I17" s="7" t="s">
        <v>143</v>
      </c>
      <c r="J17" s="7" t="s">
        <v>215</v>
      </c>
    </row>
    <row r="18" spans="1:10" x14ac:dyDescent="0.3">
      <c r="A18" s="6" t="s">
        <v>216</v>
      </c>
      <c r="B18" s="7" t="s">
        <v>139</v>
      </c>
      <c r="C18" s="7" t="s">
        <v>140</v>
      </c>
      <c r="D18" s="7" t="s">
        <v>10</v>
      </c>
      <c r="E18" s="7" t="s">
        <v>217</v>
      </c>
      <c r="F18" s="7" t="s">
        <v>218</v>
      </c>
      <c r="G18" s="7" t="s">
        <v>219</v>
      </c>
      <c r="H18" s="7">
        <v>11</v>
      </c>
      <c r="I18" s="7" t="s">
        <v>220</v>
      </c>
      <c r="J18" s="7" t="s">
        <v>221</v>
      </c>
    </row>
    <row r="19" spans="1:10" x14ac:dyDescent="0.3">
      <c r="A19" s="6" t="s">
        <v>222</v>
      </c>
      <c r="B19" s="7" t="s">
        <v>139</v>
      </c>
      <c r="C19" s="7" t="s">
        <v>140</v>
      </c>
      <c r="D19" s="7" t="s">
        <v>10</v>
      </c>
      <c r="E19" s="7" t="s">
        <v>217</v>
      </c>
      <c r="F19" s="7" t="s">
        <v>218</v>
      </c>
      <c r="G19" s="7" t="s">
        <v>223</v>
      </c>
      <c r="H19" s="7">
        <v>80</v>
      </c>
      <c r="I19" s="7" t="s">
        <v>224</v>
      </c>
      <c r="J19" s="7" t="s">
        <v>225</v>
      </c>
    </row>
    <row r="20" spans="1:10" x14ac:dyDescent="0.3">
      <c r="A20" s="6" t="s">
        <v>226</v>
      </c>
      <c r="B20" s="7" t="s">
        <v>139</v>
      </c>
      <c r="C20" s="7" t="s">
        <v>140</v>
      </c>
      <c r="D20" s="7" t="s">
        <v>10</v>
      </c>
      <c r="E20" s="7" t="s">
        <v>227</v>
      </c>
      <c r="F20" s="7" t="s">
        <v>228</v>
      </c>
      <c r="G20" s="7" t="s">
        <v>229</v>
      </c>
      <c r="H20" s="7">
        <v>10</v>
      </c>
      <c r="I20" s="7" t="s">
        <v>190</v>
      </c>
      <c r="J20" s="7" t="s">
        <v>230</v>
      </c>
    </row>
    <row r="21" spans="1:10" x14ac:dyDescent="0.3">
      <c r="A21" s="6" t="s">
        <v>231</v>
      </c>
      <c r="B21" s="7" t="s">
        <v>139</v>
      </c>
      <c r="C21" s="7" t="s">
        <v>140</v>
      </c>
      <c r="D21" s="7" t="s">
        <v>10</v>
      </c>
      <c r="E21" s="7" t="s">
        <v>227</v>
      </c>
      <c r="F21" s="7" t="s">
        <v>228</v>
      </c>
      <c r="G21" s="7" t="s">
        <v>232</v>
      </c>
      <c r="H21" s="7">
        <v>2</v>
      </c>
      <c r="I21" s="7" t="s">
        <v>233</v>
      </c>
      <c r="J21" s="7" t="s">
        <v>234</v>
      </c>
    </row>
    <row r="22" spans="1:10" x14ac:dyDescent="0.3">
      <c r="A22" s="6" t="s">
        <v>235</v>
      </c>
      <c r="B22" s="7" t="s">
        <v>139</v>
      </c>
      <c r="C22" s="7" t="s">
        <v>140</v>
      </c>
      <c r="D22" s="7" t="s">
        <v>10</v>
      </c>
      <c r="E22" s="7" t="s">
        <v>227</v>
      </c>
      <c r="F22" s="7" t="s">
        <v>228</v>
      </c>
      <c r="G22" s="7" t="s">
        <v>236</v>
      </c>
      <c r="H22" s="7">
        <v>24</v>
      </c>
      <c r="I22" s="7" t="s">
        <v>237</v>
      </c>
      <c r="J22" s="7" t="s">
        <v>203</v>
      </c>
    </row>
    <row r="23" spans="1:10" x14ac:dyDescent="0.3">
      <c r="A23" s="6" t="s">
        <v>238</v>
      </c>
      <c r="B23" s="7" t="s">
        <v>139</v>
      </c>
      <c r="C23" s="7" t="s">
        <v>140</v>
      </c>
      <c r="D23" s="7" t="s">
        <v>10</v>
      </c>
      <c r="E23" s="7" t="s">
        <v>227</v>
      </c>
      <c r="F23" s="7" t="s">
        <v>228</v>
      </c>
      <c r="G23" s="7" t="s">
        <v>239</v>
      </c>
      <c r="H23" s="7">
        <v>19</v>
      </c>
      <c r="I23" s="7" t="s">
        <v>153</v>
      </c>
      <c r="J23" s="7" t="s">
        <v>240</v>
      </c>
    </row>
    <row r="24" spans="1:10" x14ac:dyDescent="0.3">
      <c r="A24" s="6" t="s">
        <v>241</v>
      </c>
      <c r="B24" s="7" t="s">
        <v>139</v>
      </c>
      <c r="C24" s="7" t="s">
        <v>140</v>
      </c>
      <c r="D24" s="7" t="s">
        <v>10</v>
      </c>
      <c r="E24" s="7" t="s">
        <v>117</v>
      </c>
      <c r="F24" s="7" t="s">
        <v>242</v>
      </c>
      <c r="G24" s="7" t="s">
        <v>116</v>
      </c>
      <c r="H24" s="7">
        <v>47</v>
      </c>
      <c r="I24" s="7" t="s">
        <v>75</v>
      </c>
      <c r="J24" s="7" t="s">
        <v>243</v>
      </c>
    </row>
    <row r="25" spans="1:10" x14ac:dyDescent="0.3">
      <c r="A25" s="6" t="s">
        <v>244</v>
      </c>
      <c r="B25" s="7" t="s">
        <v>139</v>
      </c>
      <c r="C25" s="7" t="s">
        <v>140</v>
      </c>
      <c r="D25" s="7" t="s">
        <v>10</v>
      </c>
      <c r="E25" s="7" t="s">
        <v>117</v>
      </c>
      <c r="F25" s="7" t="s">
        <v>242</v>
      </c>
      <c r="G25" s="7" t="s">
        <v>245</v>
      </c>
      <c r="H25" s="7">
        <v>10</v>
      </c>
      <c r="I25" s="7" t="s">
        <v>246</v>
      </c>
      <c r="J25" s="7" t="s">
        <v>247</v>
      </c>
    </row>
    <row r="26" spans="1:10" x14ac:dyDescent="0.3">
      <c r="A26" s="6" t="s">
        <v>248</v>
      </c>
      <c r="B26" s="7" t="s">
        <v>139</v>
      </c>
      <c r="C26" s="7" t="s">
        <v>140</v>
      </c>
      <c r="D26" s="7" t="s">
        <v>10</v>
      </c>
      <c r="E26" s="7" t="s">
        <v>249</v>
      </c>
      <c r="F26" s="7" t="s">
        <v>250</v>
      </c>
      <c r="G26" s="7" t="s">
        <v>251</v>
      </c>
      <c r="H26" s="7">
        <v>14</v>
      </c>
      <c r="I26" s="7" t="s">
        <v>252</v>
      </c>
      <c r="J26" s="7" t="s">
        <v>253</v>
      </c>
    </row>
    <row r="27" spans="1:10" x14ac:dyDescent="0.3">
      <c r="A27" s="6" t="s">
        <v>254</v>
      </c>
      <c r="B27" s="7" t="s">
        <v>139</v>
      </c>
      <c r="C27" s="7" t="s">
        <v>140</v>
      </c>
      <c r="D27" s="7" t="s">
        <v>10</v>
      </c>
      <c r="E27" s="7" t="s">
        <v>255</v>
      </c>
      <c r="F27" s="7"/>
      <c r="G27" s="7" t="s">
        <v>256</v>
      </c>
      <c r="H27" s="7">
        <v>4</v>
      </c>
      <c r="I27" s="7" t="s">
        <v>257</v>
      </c>
      <c r="J27" s="7" t="s">
        <v>258</v>
      </c>
    </row>
    <row r="28" spans="1:10" x14ac:dyDescent="0.3">
      <c r="A28" s="6" t="s">
        <v>259</v>
      </c>
      <c r="B28" s="7" t="s">
        <v>139</v>
      </c>
      <c r="C28" s="7" t="s">
        <v>140</v>
      </c>
      <c r="D28" s="7" t="s">
        <v>10</v>
      </c>
      <c r="E28" s="7" t="s">
        <v>260</v>
      </c>
      <c r="F28" s="7"/>
      <c r="G28" s="7" t="s">
        <v>261</v>
      </c>
      <c r="H28" s="7">
        <v>10</v>
      </c>
      <c r="I28" s="7" t="s">
        <v>184</v>
      </c>
      <c r="J28" s="7" t="s">
        <v>262</v>
      </c>
    </row>
    <row r="29" spans="1:10" x14ac:dyDescent="0.3">
      <c r="A29" s="6" t="s">
        <v>263</v>
      </c>
      <c r="B29" s="7" t="s">
        <v>139</v>
      </c>
      <c r="C29" s="7" t="s">
        <v>140</v>
      </c>
      <c r="D29" s="7" t="s">
        <v>10</v>
      </c>
      <c r="E29" s="7" t="s">
        <v>260</v>
      </c>
      <c r="F29" s="7"/>
      <c r="G29" s="7" t="s">
        <v>264</v>
      </c>
      <c r="H29" s="7">
        <v>2</v>
      </c>
      <c r="I29" s="7" t="s">
        <v>265</v>
      </c>
      <c r="J29" s="7" t="s">
        <v>266</v>
      </c>
    </row>
    <row r="30" spans="1:10" x14ac:dyDescent="0.3">
      <c r="A30" s="6" t="s">
        <v>267</v>
      </c>
      <c r="B30" s="7" t="s">
        <v>139</v>
      </c>
      <c r="C30" s="7" t="s">
        <v>140</v>
      </c>
      <c r="D30" s="7" t="s">
        <v>10</v>
      </c>
      <c r="E30" s="7" t="s">
        <v>268</v>
      </c>
      <c r="F30" s="7" t="s">
        <v>269</v>
      </c>
      <c r="G30" s="7" t="s">
        <v>270</v>
      </c>
      <c r="H30" s="7">
        <v>10</v>
      </c>
      <c r="I30" s="7" t="s">
        <v>271</v>
      </c>
      <c r="J30" s="7" t="s">
        <v>272</v>
      </c>
    </row>
    <row r="31" spans="1:10" x14ac:dyDescent="0.3">
      <c r="A31" s="6" t="s">
        <v>273</v>
      </c>
      <c r="B31" s="7" t="s">
        <v>139</v>
      </c>
      <c r="C31" s="7" t="s">
        <v>140</v>
      </c>
      <c r="D31" s="7" t="s">
        <v>10</v>
      </c>
      <c r="E31" s="7" t="s">
        <v>274</v>
      </c>
      <c r="F31" s="7"/>
      <c r="G31" s="7" t="s">
        <v>275</v>
      </c>
      <c r="H31" s="7">
        <v>3</v>
      </c>
      <c r="I31" s="7" t="s">
        <v>276</v>
      </c>
      <c r="J31" s="7" t="s">
        <v>277</v>
      </c>
    </row>
    <row r="32" spans="1:10" x14ac:dyDescent="0.3">
      <c r="A32" s="6" t="s">
        <v>278</v>
      </c>
      <c r="B32" s="7" t="s">
        <v>139</v>
      </c>
      <c r="C32" s="7" t="s">
        <v>140</v>
      </c>
      <c r="D32" s="7" t="s">
        <v>10</v>
      </c>
      <c r="E32" s="7" t="s">
        <v>279</v>
      </c>
      <c r="F32" s="7" t="s">
        <v>280</v>
      </c>
      <c r="G32" s="7" t="s">
        <v>281</v>
      </c>
      <c r="H32" s="7">
        <v>24</v>
      </c>
      <c r="I32" s="7" t="s">
        <v>75</v>
      </c>
      <c r="J32" s="7" t="s">
        <v>243</v>
      </c>
    </row>
    <row r="33" spans="1:10" x14ac:dyDescent="0.3">
      <c r="A33" s="6" t="s">
        <v>282</v>
      </c>
      <c r="B33" s="7" t="s">
        <v>139</v>
      </c>
      <c r="C33" s="7" t="s">
        <v>140</v>
      </c>
      <c r="D33" s="7" t="s">
        <v>10</v>
      </c>
      <c r="E33" s="7" t="s">
        <v>283</v>
      </c>
      <c r="F33" s="7" t="s">
        <v>284</v>
      </c>
      <c r="G33" s="7" t="s">
        <v>285</v>
      </c>
      <c r="H33" s="7">
        <v>1</v>
      </c>
      <c r="I33" s="7" t="s">
        <v>286</v>
      </c>
      <c r="J33" s="7" t="s">
        <v>174</v>
      </c>
    </row>
    <row r="34" spans="1:10" x14ac:dyDescent="0.3">
      <c r="A34" s="6" t="s">
        <v>287</v>
      </c>
      <c r="B34" s="7" t="s">
        <v>139</v>
      </c>
      <c r="C34" s="7" t="s">
        <v>140</v>
      </c>
      <c r="D34" s="7" t="s">
        <v>10</v>
      </c>
      <c r="E34" s="7" t="s">
        <v>78</v>
      </c>
      <c r="F34" s="7" t="s">
        <v>288</v>
      </c>
      <c r="G34" s="7" t="s">
        <v>77</v>
      </c>
      <c r="H34" s="7">
        <v>4</v>
      </c>
      <c r="I34" s="7" t="s">
        <v>75</v>
      </c>
      <c r="J34" s="7" t="s">
        <v>243</v>
      </c>
    </row>
    <row r="35" spans="1:10" x14ac:dyDescent="0.3">
      <c r="A35" s="6" t="s">
        <v>289</v>
      </c>
      <c r="B35" s="7" t="s">
        <v>139</v>
      </c>
      <c r="C35" s="7" t="s">
        <v>140</v>
      </c>
      <c r="D35" s="7" t="s">
        <v>10</v>
      </c>
      <c r="E35" s="7" t="s">
        <v>78</v>
      </c>
      <c r="F35" s="7" t="s">
        <v>290</v>
      </c>
      <c r="G35" s="7" t="s">
        <v>291</v>
      </c>
      <c r="H35" s="7">
        <v>8</v>
      </c>
      <c r="I35" s="7" t="s">
        <v>75</v>
      </c>
      <c r="J35" s="7" t="s">
        <v>243</v>
      </c>
    </row>
    <row r="36" spans="1:10" x14ac:dyDescent="0.3">
      <c r="A36" s="6" t="s">
        <v>292</v>
      </c>
      <c r="B36" s="7" t="s">
        <v>139</v>
      </c>
      <c r="C36" s="7" t="s">
        <v>140</v>
      </c>
      <c r="D36" s="7" t="s">
        <v>10</v>
      </c>
      <c r="E36" s="7" t="s">
        <v>293</v>
      </c>
      <c r="F36" s="7" t="s">
        <v>294</v>
      </c>
      <c r="G36" s="7" t="s">
        <v>295</v>
      </c>
      <c r="H36" s="7">
        <v>7</v>
      </c>
      <c r="I36" s="7" t="s">
        <v>296</v>
      </c>
      <c r="J36" s="7" t="s">
        <v>297</v>
      </c>
    </row>
    <row r="37" spans="1:10" x14ac:dyDescent="0.3">
      <c r="A37" s="6" t="s">
        <v>298</v>
      </c>
      <c r="B37" s="7" t="s">
        <v>139</v>
      </c>
      <c r="C37" s="7" t="s">
        <v>140</v>
      </c>
      <c r="D37" s="7" t="s">
        <v>10</v>
      </c>
      <c r="E37" s="7" t="s">
        <v>299</v>
      </c>
      <c r="F37" s="7" t="s">
        <v>300</v>
      </c>
      <c r="G37" s="7" t="s">
        <v>301</v>
      </c>
      <c r="H37" s="7">
        <v>14</v>
      </c>
      <c r="I37" s="7" t="s">
        <v>302</v>
      </c>
      <c r="J37" s="7" t="s">
        <v>303</v>
      </c>
    </row>
    <row r="38" spans="1:10" x14ac:dyDescent="0.3">
      <c r="A38" s="6" t="s">
        <v>304</v>
      </c>
      <c r="B38" s="7" t="s">
        <v>139</v>
      </c>
      <c r="C38" s="7" t="s">
        <v>140</v>
      </c>
      <c r="D38" s="7" t="s">
        <v>10</v>
      </c>
      <c r="E38" s="7" t="s">
        <v>299</v>
      </c>
      <c r="F38" s="7" t="s">
        <v>300</v>
      </c>
      <c r="G38" s="7" t="s">
        <v>305</v>
      </c>
      <c r="H38" s="7">
        <v>14</v>
      </c>
      <c r="I38" s="7" t="s">
        <v>306</v>
      </c>
      <c r="J38" s="7" t="s">
        <v>262</v>
      </c>
    </row>
    <row r="39" spans="1:10" x14ac:dyDescent="0.3">
      <c r="A39" s="6" t="s">
        <v>307</v>
      </c>
      <c r="B39" s="7" t="s">
        <v>139</v>
      </c>
      <c r="C39" s="7" t="s">
        <v>140</v>
      </c>
      <c r="D39" s="7" t="s">
        <v>10</v>
      </c>
      <c r="E39" s="7" t="s">
        <v>308</v>
      </c>
      <c r="F39" s="7"/>
      <c r="G39" s="7" t="s">
        <v>309</v>
      </c>
      <c r="H39" s="7">
        <v>2</v>
      </c>
      <c r="I39" s="7" t="s">
        <v>207</v>
      </c>
      <c r="J39" s="7" t="s">
        <v>310</v>
      </c>
    </row>
    <row r="40" spans="1:10" x14ac:dyDescent="0.3">
      <c r="A40" s="6" t="s">
        <v>311</v>
      </c>
      <c r="B40" s="7" t="s">
        <v>139</v>
      </c>
      <c r="C40" s="7" t="s">
        <v>140</v>
      </c>
      <c r="D40" s="7" t="s">
        <v>10</v>
      </c>
      <c r="E40" s="7" t="s">
        <v>312</v>
      </c>
      <c r="F40" s="7" t="s">
        <v>313</v>
      </c>
      <c r="G40" s="7" t="s">
        <v>314</v>
      </c>
      <c r="H40" s="7">
        <v>3</v>
      </c>
      <c r="I40" s="7" t="s">
        <v>315</v>
      </c>
      <c r="J40" s="7" t="s">
        <v>174</v>
      </c>
    </row>
    <row r="41" spans="1:10" x14ac:dyDescent="0.3">
      <c r="A41" s="6" t="s">
        <v>316</v>
      </c>
      <c r="B41" s="7" t="s">
        <v>139</v>
      </c>
      <c r="C41" s="7" t="s">
        <v>140</v>
      </c>
      <c r="D41" s="7" t="s">
        <v>10</v>
      </c>
      <c r="E41" s="7" t="s">
        <v>317</v>
      </c>
      <c r="F41" s="7" t="s">
        <v>318</v>
      </c>
      <c r="G41" s="7" t="s">
        <v>319</v>
      </c>
      <c r="H41" s="7">
        <v>3</v>
      </c>
      <c r="I41" s="7" t="s">
        <v>320</v>
      </c>
      <c r="J41" s="7" t="s">
        <v>247</v>
      </c>
    </row>
    <row r="42" spans="1:10" x14ac:dyDescent="0.3">
      <c r="A42" s="6" t="s">
        <v>321</v>
      </c>
      <c r="B42" s="7" t="s">
        <v>139</v>
      </c>
      <c r="C42" s="7" t="s">
        <v>140</v>
      </c>
      <c r="D42" s="7" t="s">
        <v>10</v>
      </c>
      <c r="E42" s="7" t="s">
        <v>322</v>
      </c>
      <c r="F42" s="7" t="s">
        <v>323</v>
      </c>
      <c r="G42" s="7" t="s">
        <v>324</v>
      </c>
      <c r="H42" s="7">
        <v>4</v>
      </c>
      <c r="I42" s="7" t="s">
        <v>325</v>
      </c>
      <c r="J42" s="7" t="s">
        <v>326</v>
      </c>
    </row>
    <row r="43" spans="1:10" x14ac:dyDescent="0.3">
      <c r="A43" s="6" t="s">
        <v>327</v>
      </c>
      <c r="B43" s="7" t="s">
        <v>139</v>
      </c>
      <c r="C43" s="7" t="s">
        <v>140</v>
      </c>
      <c r="D43" s="7" t="s">
        <v>10</v>
      </c>
      <c r="E43" s="7" t="s">
        <v>328</v>
      </c>
      <c r="F43" s="7" t="s">
        <v>329</v>
      </c>
      <c r="G43" s="7" t="s">
        <v>330</v>
      </c>
      <c r="H43" s="7">
        <v>15</v>
      </c>
      <c r="I43" s="7" t="s">
        <v>331</v>
      </c>
      <c r="J43" s="7" t="s">
        <v>332</v>
      </c>
    </row>
    <row r="44" spans="1:10" x14ac:dyDescent="0.3">
      <c r="A44" s="6" t="s">
        <v>333</v>
      </c>
      <c r="B44" s="7" t="s">
        <v>139</v>
      </c>
      <c r="C44" s="7" t="s">
        <v>140</v>
      </c>
      <c r="D44" s="7" t="s">
        <v>10</v>
      </c>
      <c r="E44" s="7" t="s">
        <v>334</v>
      </c>
      <c r="F44" s="7"/>
      <c r="G44" s="7" t="s">
        <v>335</v>
      </c>
      <c r="H44" s="7">
        <v>25</v>
      </c>
      <c r="I44" s="7" t="s">
        <v>336</v>
      </c>
      <c r="J44" s="7" t="s">
        <v>337</v>
      </c>
    </row>
    <row r="45" spans="1:10" x14ac:dyDescent="0.3">
      <c r="A45" s="6" t="s">
        <v>338</v>
      </c>
      <c r="B45" s="7" t="s">
        <v>139</v>
      </c>
      <c r="C45" s="7" t="s">
        <v>140</v>
      </c>
      <c r="D45" s="7" t="s">
        <v>10</v>
      </c>
      <c r="E45" s="7" t="s">
        <v>334</v>
      </c>
      <c r="F45" s="7"/>
      <c r="G45" s="7" t="s">
        <v>339</v>
      </c>
      <c r="H45" s="7">
        <v>10</v>
      </c>
      <c r="I45" s="7" t="s">
        <v>340</v>
      </c>
      <c r="J45" s="7" t="s">
        <v>341</v>
      </c>
    </row>
    <row r="46" spans="1:10" x14ac:dyDescent="0.3">
      <c r="A46" s="6" t="s">
        <v>342</v>
      </c>
      <c r="B46" s="7" t="s">
        <v>139</v>
      </c>
      <c r="C46" s="7" t="s">
        <v>140</v>
      </c>
      <c r="D46" s="7" t="s">
        <v>10</v>
      </c>
      <c r="E46" s="7" t="s">
        <v>343</v>
      </c>
      <c r="F46" s="7"/>
      <c r="G46" s="7" t="s">
        <v>344</v>
      </c>
      <c r="H46" s="7">
        <v>41</v>
      </c>
      <c r="I46" s="7" t="s">
        <v>345</v>
      </c>
      <c r="J46" s="7" t="s">
        <v>266</v>
      </c>
    </row>
    <row r="47" spans="1:10" x14ac:dyDescent="0.3">
      <c r="A47" s="6" t="s">
        <v>346</v>
      </c>
      <c r="B47" s="7" t="s">
        <v>139</v>
      </c>
      <c r="C47" s="7" t="s">
        <v>140</v>
      </c>
      <c r="D47" s="7" t="s">
        <v>10</v>
      </c>
      <c r="E47" s="7" t="s">
        <v>347</v>
      </c>
      <c r="F47" s="7"/>
      <c r="G47" s="7" t="s">
        <v>348</v>
      </c>
      <c r="H47" s="7">
        <v>5</v>
      </c>
      <c r="I47" s="7" t="s">
        <v>349</v>
      </c>
      <c r="J47" s="7" t="s">
        <v>350</v>
      </c>
    </row>
    <row r="48" spans="1:10" x14ac:dyDescent="0.3">
      <c r="A48" s="6" t="s">
        <v>351</v>
      </c>
      <c r="B48" s="7" t="s">
        <v>139</v>
      </c>
      <c r="C48" s="7" t="s">
        <v>140</v>
      </c>
      <c r="D48" s="7" t="s">
        <v>10</v>
      </c>
      <c r="E48" s="7" t="s">
        <v>352</v>
      </c>
      <c r="F48" s="7" t="s">
        <v>353</v>
      </c>
      <c r="G48" s="7" t="s">
        <v>354</v>
      </c>
      <c r="H48" s="7">
        <v>5</v>
      </c>
      <c r="I48" s="7" t="s">
        <v>349</v>
      </c>
      <c r="J48" s="7" t="s">
        <v>355</v>
      </c>
    </row>
    <row r="49" spans="1:10" x14ac:dyDescent="0.3">
      <c r="A49" s="6" t="s">
        <v>356</v>
      </c>
      <c r="B49" s="7" t="s">
        <v>139</v>
      </c>
      <c r="C49" s="7" t="s">
        <v>140</v>
      </c>
      <c r="D49" s="7" t="s">
        <v>10</v>
      </c>
      <c r="E49" s="7" t="s">
        <v>357</v>
      </c>
      <c r="F49" s="7" t="s">
        <v>358</v>
      </c>
      <c r="G49" s="7" t="s">
        <v>359</v>
      </c>
      <c r="H49" s="7">
        <v>8</v>
      </c>
      <c r="I49" s="7" t="s">
        <v>87</v>
      </c>
      <c r="J49" s="7" t="s">
        <v>360</v>
      </c>
    </row>
    <row r="50" spans="1:10" x14ac:dyDescent="0.3">
      <c r="A50" s="6" t="s">
        <v>361</v>
      </c>
      <c r="B50" s="7" t="s">
        <v>139</v>
      </c>
      <c r="C50" s="7" t="s">
        <v>140</v>
      </c>
      <c r="D50" s="7" t="s">
        <v>10</v>
      </c>
      <c r="E50" s="7" t="s">
        <v>357</v>
      </c>
      <c r="F50" s="7" t="s">
        <v>358</v>
      </c>
      <c r="G50" s="7" t="s">
        <v>362</v>
      </c>
      <c r="H50" s="7">
        <v>12</v>
      </c>
      <c r="I50" s="7" t="s">
        <v>363</v>
      </c>
      <c r="J50" s="7" t="s">
        <v>174</v>
      </c>
    </row>
    <row r="51" spans="1:10" x14ac:dyDescent="0.3">
      <c r="A51" s="6" t="s">
        <v>364</v>
      </c>
      <c r="B51" s="7" t="s">
        <v>139</v>
      </c>
      <c r="C51" s="7" t="s">
        <v>140</v>
      </c>
      <c r="D51" s="7" t="s">
        <v>10</v>
      </c>
      <c r="E51" s="7" t="s">
        <v>365</v>
      </c>
      <c r="F51" s="7" t="s">
        <v>366</v>
      </c>
      <c r="G51" s="7" t="s">
        <v>367</v>
      </c>
      <c r="H51" s="7">
        <v>3</v>
      </c>
      <c r="I51" s="7" t="s">
        <v>368</v>
      </c>
      <c r="J51" s="7" t="s">
        <v>211</v>
      </c>
    </row>
    <row r="52" spans="1:10" x14ac:dyDescent="0.3">
      <c r="A52" s="6" t="s">
        <v>369</v>
      </c>
      <c r="B52" s="7" t="s">
        <v>139</v>
      </c>
      <c r="C52" s="7" t="s">
        <v>140</v>
      </c>
      <c r="D52" s="7" t="s">
        <v>10</v>
      </c>
      <c r="E52" s="7" t="s">
        <v>370</v>
      </c>
      <c r="F52" s="7"/>
      <c r="G52" s="7" t="s">
        <v>371</v>
      </c>
      <c r="H52" s="7">
        <v>3</v>
      </c>
      <c r="I52" s="7" t="s">
        <v>315</v>
      </c>
      <c r="J52" s="7" t="s">
        <v>174</v>
      </c>
    </row>
    <row r="53" spans="1:10" x14ac:dyDescent="0.3">
      <c r="A53" s="6" t="s">
        <v>372</v>
      </c>
      <c r="B53" s="7" t="s">
        <v>139</v>
      </c>
      <c r="C53" s="7" t="s">
        <v>140</v>
      </c>
      <c r="D53" s="7" t="s">
        <v>10</v>
      </c>
      <c r="E53" s="7" t="s">
        <v>373</v>
      </c>
      <c r="F53" s="7"/>
      <c r="G53" s="7" t="s">
        <v>374</v>
      </c>
      <c r="H53" s="7">
        <v>3</v>
      </c>
      <c r="I53" s="7" t="s">
        <v>375</v>
      </c>
      <c r="J53" s="7" t="s">
        <v>262</v>
      </c>
    </row>
    <row r="54" spans="1:10" x14ac:dyDescent="0.3">
      <c r="A54" s="6" t="s">
        <v>376</v>
      </c>
      <c r="B54" s="7" t="s">
        <v>139</v>
      </c>
      <c r="C54" s="7" t="s">
        <v>140</v>
      </c>
      <c r="D54" s="7" t="s">
        <v>10</v>
      </c>
      <c r="E54" s="7" t="s">
        <v>377</v>
      </c>
      <c r="F54" s="7" t="s">
        <v>378</v>
      </c>
      <c r="G54" s="7" t="s">
        <v>379</v>
      </c>
      <c r="H54" s="7">
        <v>8</v>
      </c>
      <c r="I54" s="7" t="s">
        <v>380</v>
      </c>
      <c r="J54" s="7" t="s">
        <v>381</v>
      </c>
    </row>
    <row r="55" spans="1:10" x14ac:dyDescent="0.3">
      <c r="A55" s="6" t="s">
        <v>382</v>
      </c>
      <c r="B55" s="7" t="s">
        <v>139</v>
      </c>
      <c r="C55" s="7" t="s">
        <v>140</v>
      </c>
      <c r="D55" s="7" t="s">
        <v>10</v>
      </c>
      <c r="E55" s="7" t="s">
        <v>377</v>
      </c>
      <c r="F55" s="7" t="s">
        <v>378</v>
      </c>
      <c r="G55" s="7" t="s">
        <v>383</v>
      </c>
      <c r="H55" s="7">
        <v>5</v>
      </c>
      <c r="I55" s="7" t="s">
        <v>384</v>
      </c>
      <c r="J55" s="7" t="s">
        <v>385</v>
      </c>
    </row>
    <row r="56" spans="1:10" x14ac:dyDescent="0.3">
      <c r="A56" s="6" t="s">
        <v>386</v>
      </c>
      <c r="B56" s="7" t="s">
        <v>139</v>
      </c>
      <c r="C56" s="7" t="s">
        <v>140</v>
      </c>
      <c r="D56" s="7" t="s">
        <v>10</v>
      </c>
      <c r="E56" s="7" t="s">
        <v>387</v>
      </c>
      <c r="F56" s="7" t="s">
        <v>388</v>
      </c>
      <c r="G56" s="7" t="s">
        <v>389</v>
      </c>
      <c r="H56" s="7">
        <v>2</v>
      </c>
      <c r="I56" s="7" t="s">
        <v>390</v>
      </c>
      <c r="J56" s="7" t="s">
        <v>391</v>
      </c>
    </row>
    <row r="57" spans="1:10" x14ac:dyDescent="0.3">
      <c r="A57" s="6" t="s">
        <v>392</v>
      </c>
      <c r="B57" s="7" t="s">
        <v>139</v>
      </c>
      <c r="C57" s="7" t="s">
        <v>140</v>
      </c>
      <c r="D57" s="7" t="s">
        <v>10</v>
      </c>
      <c r="E57" s="7" t="s">
        <v>393</v>
      </c>
      <c r="F57" s="7" t="s">
        <v>394</v>
      </c>
      <c r="G57" s="7" t="s">
        <v>395</v>
      </c>
      <c r="H57" s="7">
        <v>2</v>
      </c>
      <c r="I57" s="7" t="s">
        <v>396</v>
      </c>
      <c r="J57" s="7" t="s">
        <v>234</v>
      </c>
    </row>
    <row r="58" spans="1:10" x14ac:dyDescent="0.3">
      <c r="A58" s="6" t="s">
        <v>397</v>
      </c>
      <c r="B58" s="7" t="s">
        <v>139</v>
      </c>
      <c r="C58" s="7" t="s">
        <v>140</v>
      </c>
      <c r="D58" s="7" t="s">
        <v>10</v>
      </c>
      <c r="E58" s="7" t="s">
        <v>398</v>
      </c>
      <c r="F58" s="7"/>
      <c r="G58" s="7" t="s">
        <v>399</v>
      </c>
      <c r="H58" s="7">
        <v>4</v>
      </c>
      <c r="I58" s="7" t="s">
        <v>196</v>
      </c>
      <c r="J58" s="7" t="s">
        <v>174</v>
      </c>
    </row>
    <row r="59" spans="1:10" x14ac:dyDescent="0.3">
      <c r="A59" s="6" t="s">
        <v>400</v>
      </c>
      <c r="B59" s="7" t="s">
        <v>139</v>
      </c>
      <c r="C59" s="7" t="s">
        <v>140</v>
      </c>
      <c r="D59" s="7" t="s">
        <v>10</v>
      </c>
      <c r="E59" s="7" t="s">
        <v>401</v>
      </c>
      <c r="F59" s="7"/>
      <c r="G59" s="7" t="s">
        <v>402</v>
      </c>
      <c r="H59" s="7">
        <v>11</v>
      </c>
      <c r="I59" s="7" t="s">
        <v>396</v>
      </c>
      <c r="J59" s="7" t="s">
        <v>144</v>
      </c>
    </row>
    <row r="60" spans="1:10" x14ac:dyDescent="0.3">
      <c r="A60" s="6" t="s">
        <v>403</v>
      </c>
      <c r="B60" s="7" t="s">
        <v>139</v>
      </c>
      <c r="C60" s="7" t="s">
        <v>140</v>
      </c>
      <c r="D60" s="7" t="s">
        <v>10</v>
      </c>
      <c r="E60" s="7" t="s">
        <v>404</v>
      </c>
      <c r="F60" s="7"/>
      <c r="G60" s="7" t="s">
        <v>405</v>
      </c>
      <c r="H60" s="7">
        <v>4</v>
      </c>
      <c r="I60" s="7" t="s">
        <v>349</v>
      </c>
      <c r="J60" s="7" t="s">
        <v>406</v>
      </c>
    </row>
    <row r="61" spans="1:10" x14ac:dyDescent="0.3">
      <c r="A61" s="6" t="s">
        <v>407</v>
      </c>
      <c r="B61" s="7" t="s">
        <v>139</v>
      </c>
      <c r="C61" s="7" t="s">
        <v>140</v>
      </c>
      <c r="D61" s="7" t="s">
        <v>10</v>
      </c>
      <c r="E61" s="7" t="s">
        <v>408</v>
      </c>
      <c r="F61" s="7" t="s">
        <v>409</v>
      </c>
      <c r="G61" s="7" t="s">
        <v>410</v>
      </c>
      <c r="H61" s="7">
        <v>9</v>
      </c>
      <c r="I61" s="7" t="s">
        <v>411</v>
      </c>
      <c r="J61" s="7" t="s">
        <v>412</v>
      </c>
    </row>
    <row r="62" spans="1:10" x14ac:dyDescent="0.3">
      <c r="A62" s="6" t="s">
        <v>413</v>
      </c>
      <c r="B62" s="7" t="s">
        <v>139</v>
      </c>
      <c r="C62" s="7" t="s">
        <v>140</v>
      </c>
      <c r="D62" s="7" t="s">
        <v>10</v>
      </c>
      <c r="E62" s="7" t="s">
        <v>408</v>
      </c>
      <c r="F62" s="7" t="s">
        <v>409</v>
      </c>
      <c r="G62" s="7" t="s">
        <v>414</v>
      </c>
      <c r="H62" s="7">
        <v>10</v>
      </c>
      <c r="I62" s="7" t="s">
        <v>415</v>
      </c>
      <c r="J62" s="7" t="s">
        <v>258</v>
      </c>
    </row>
    <row r="63" spans="1:10" x14ac:dyDescent="0.3">
      <c r="A63" s="6" t="s">
        <v>416</v>
      </c>
      <c r="B63" s="7" t="s">
        <v>139</v>
      </c>
      <c r="C63" s="7" t="s">
        <v>140</v>
      </c>
      <c r="D63" s="7" t="s">
        <v>10</v>
      </c>
      <c r="E63" s="7" t="s">
        <v>408</v>
      </c>
      <c r="F63" s="7" t="s">
        <v>409</v>
      </c>
      <c r="G63" s="7" t="s">
        <v>417</v>
      </c>
      <c r="H63" s="7">
        <v>13</v>
      </c>
      <c r="I63" s="7" t="s">
        <v>418</v>
      </c>
      <c r="J63" s="7" t="s">
        <v>419</v>
      </c>
    </row>
    <row r="64" spans="1:10" x14ac:dyDescent="0.3">
      <c r="A64" s="6" t="s">
        <v>420</v>
      </c>
      <c r="B64" s="7" t="s">
        <v>139</v>
      </c>
      <c r="C64" s="7" t="s">
        <v>140</v>
      </c>
      <c r="D64" s="7" t="s">
        <v>10</v>
      </c>
      <c r="E64" s="7" t="s">
        <v>408</v>
      </c>
      <c r="F64" s="7" t="s">
        <v>409</v>
      </c>
      <c r="G64" s="7" t="s">
        <v>421</v>
      </c>
      <c r="H64" s="7">
        <v>9</v>
      </c>
      <c r="I64" s="7" t="s">
        <v>190</v>
      </c>
      <c r="J64" s="7" t="s">
        <v>422</v>
      </c>
    </row>
    <row r="65" spans="1:10" x14ac:dyDescent="0.3">
      <c r="A65" s="6" t="s">
        <v>423</v>
      </c>
      <c r="B65" s="7" t="s">
        <v>139</v>
      </c>
      <c r="C65" s="7" t="s">
        <v>140</v>
      </c>
      <c r="D65" s="7" t="s">
        <v>10</v>
      </c>
      <c r="E65" s="7" t="s">
        <v>408</v>
      </c>
      <c r="F65" s="7" t="s">
        <v>409</v>
      </c>
      <c r="G65" s="7" t="s">
        <v>424</v>
      </c>
      <c r="H65" s="7">
        <v>34</v>
      </c>
      <c r="I65" s="7" t="s">
        <v>349</v>
      </c>
      <c r="J65" s="7" t="s">
        <v>406</v>
      </c>
    </row>
    <row r="66" spans="1:10" x14ac:dyDescent="0.3">
      <c r="A66" s="6" t="s">
        <v>425</v>
      </c>
      <c r="B66" s="7" t="s">
        <v>139</v>
      </c>
      <c r="C66" s="7" t="s">
        <v>140</v>
      </c>
      <c r="D66" s="7" t="s">
        <v>10</v>
      </c>
      <c r="E66" s="7" t="s">
        <v>408</v>
      </c>
      <c r="F66" s="7" t="s">
        <v>409</v>
      </c>
      <c r="G66" s="7" t="s">
        <v>426</v>
      </c>
      <c r="H66" s="7">
        <v>6</v>
      </c>
      <c r="I66" s="7" t="s">
        <v>265</v>
      </c>
      <c r="J66" s="7" t="s">
        <v>427</v>
      </c>
    </row>
    <row r="67" spans="1:10" x14ac:dyDescent="0.3">
      <c r="A67" s="6" t="s">
        <v>428</v>
      </c>
      <c r="B67" s="7" t="s">
        <v>139</v>
      </c>
      <c r="C67" s="7" t="s">
        <v>140</v>
      </c>
      <c r="D67" s="7" t="s">
        <v>10</v>
      </c>
      <c r="E67" s="7" t="s">
        <v>408</v>
      </c>
      <c r="F67" s="7" t="s">
        <v>409</v>
      </c>
      <c r="G67" s="7" t="s">
        <v>429</v>
      </c>
      <c r="H67" s="7">
        <v>11</v>
      </c>
      <c r="I67" s="7" t="s">
        <v>430</v>
      </c>
      <c r="J67" s="7" t="s">
        <v>208</v>
      </c>
    </row>
    <row r="68" spans="1:10" x14ac:dyDescent="0.3">
      <c r="A68" s="6" t="s">
        <v>431</v>
      </c>
      <c r="B68" s="7" t="s">
        <v>139</v>
      </c>
      <c r="C68" s="7" t="s">
        <v>140</v>
      </c>
      <c r="D68" s="7" t="s">
        <v>10</v>
      </c>
      <c r="E68" s="7" t="s">
        <v>432</v>
      </c>
      <c r="F68" s="7"/>
      <c r="G68" s="7" t="s">
        <v>433</v>
      </c>
      <c r="H68" s="7">
        <v>10</v>
      </c>
      <c r="I68" s="7" t="s">
        <v>434</v>
      </c>
      <c r="J68" s="7" t="s">
        <v>427</v>
      </c>
    </row>
    <row r="69" spans="1:10" x14ac:dyDescent="0.3">
      <c r="A69" s="6" t="s">
        <v>435</v>
      </c>
      <c r="B69" s="7" t="s">
        <v>139</v>
      </c>
      <c r="C69" s="7" t="s">
        <v>140</v>
      </c>
      <c r="D69" s="7" t="s">
        <v>10</v>
      </c>
      <c r="E69" s="7" t="s">
        <v>436</v>
      </c>
      <c r="F69" s="7"/>
      <c r="G69" s="7" t="s">
        <v>437</v>
      </c>
      <c r="H69" s="7">
        <v>1</v>
      </c>
      <c r="I69" s="7" t="s">
        <v>438</v>
      </c>
      <c r="J69" s="7" t="s">
        <v>439</v>
      </c>
    </row>
    <row r="70" spans="1:10" x14ac:dyDescent="0.3">
      <c r="A70" s="6" t="s">
        <v>440</v>
      </c>
      <c r="B70" s="7" t="s">
        <v>139</v>
      </c>
      <c r="C70" s="7" t="s">
        <v>140</v>
      </c>
      <c r="D70" s="7" t="s">
        <v>10</v>
      </c>
      <c r="E70" s="7" t="s">
        <v>441</v>
      </c>
      <c r="F70" s="7" t="s">
        <v>442</v>
      </c>
      <c r="G70" s="7" t="s">
        <v>443</v>
      </c>
      <c r="H70" s="7">
        <v>36</v>
      </c>
      <c r="I70" s="7" t="s">
        <v>444</v>
      </c>
      <c r="J70" s="7" t="s">
        <v>445</v>
      </c>
    </row>
    <row r="71" spans="1:10" x14ac:dyDescent="0.3">
      <c r="A71" s="6" t="s">
        <v>446</v>
      </c>
      <c r="B71" s="7" t="s">
        <v>139</v>
      </c>
      <c r="C71" s="7" t="s">
        <v>140</v>
      </c>
      <c r="D71" s="7" t="s">
        <v>10</v>
      </c>
      <c r="E71" s="7" t="s">
        <v>74</v>
      </c>
      <c r="F71" s="7" t="s">
        <v>447</v>
      </c>
      <c r="G71" s="7" t="s">
        <v>73</v>
      </c>
      <c r="H71" s="7">
        <v>98</v>
      </c>
      <c r="I71" s="7" t="s">
        <v>75</v>
      </c>
      <c r="J71" s="7" t="s">
        <v>448</v>
      </c>
    </row>
    <row r="72" spans="1:10" x14ac:dyDescent="0.3">
      <c r="A72" s="6" t="s">
        <v>449</v>
      </c>
      <c r="B72" s="7" t="s">
        <v>139</v>
      </c>
      <c r="C72" s="7" t="s">
        <v>140</v>
      </c>
      <c r="D72" s="7" t="s">
        <v>10</v>
      </c>
      <c r="E72" s="7" t="s">
        <v>74</v>
      </c>
      <c r="F72" s="7" t="s">
        <v>447</v>
      </c>
      <c r="G72" s="7" t="s">
        <v>450</v>
      </c>
      <c r="H72" s="7">
        <v>14</v>
      </c>
      <c r="I72" s="7" t="s">
        <v>451</v>
      </c>
      <c r="J72" s="7" t="s">
        <v>452</v>
      </c>
    </row>
    <row r="73" spans="1:10" x14ac:dyDescent="0.3">
      <c r="A73" s="6" t="s">
        <v>453</v>
      </c>
      <c r="B73" s="7" t="s">
        <v>139</v>
      </c>
      <c r="C73" s="7" t="s">
        <v>140</v>
      </c>
      <c r="D73" s="7" t="s">
        <v>10</v>
      </c>
      <c r="E73" s="7" t="s">
        <v>454</v>
      </c>
      <c r="F73" s="7" t="s">
        <v>455</v>
      </c>
      <c r="G73" s="7" t="s">
        <v>456</v>
      </c>
      <c r="H73" s="7">
        <v>16</v>
      </c>
      <c r="I73" s="7" t="s">
        <v>457</v>
      </c>
      <c r="J73" s="7" t="s">
        <v>174</v>
      </c>
    </row>
    <row r="74" spans="1:10" x14ac:dyDescent="0.3">
      <c r="A74" s="6" t="s">
        <v>458</v>
      </c>
      <c r="B74" s="7" t="s">
        <v>139</v>
      </c>
      <c r="C74" s="7" t="s">
        <v>140</v>
      </c>
      <c r="D74" s="7" t="s">
        <v>10</v>
      </c>
      <c r="E74" s="7" t="s">
        <v>459</v>
      </c>
      <c r="F74" s="7" t="s">
        <v>460</v>
      </c>
      <c r="G74" s="7" t="s">
        <v>461</v>
      </c>
      <c r="H74" s="7">
        <v>5</v>
      </c>
      <c r="I74" s="7" t="s">
        <v>462</v>
      </c>
      <c r="J74" s="7" t="s">
        <v>310</v>
      </c>
    </row>
    <row r="75" spans="1:10" x14ac:dyDescent="0.3">
      <c r="A75" s="6" t="s">
        <v>463</v>
      </c>
      <c r="B75" s="7" t="s">
        <v>139</v>
      </c>
      <c r="C75" s="7" t="s">
        <v>140</v>
      </c>
      <c r="D75" s="7" t="s">
        <v>10</v>
      </c>
      <c r="E75" s="7" t="s">
        <v>464</v>
      </c>
      <c r="F75" s="7" t="s">
        <v>465</v>
      </c>
      <c r="G75" s="7" t="s">
        <v>466</v>
      </c>
      <c r="H75" s="7">
        <v>2</v>
      </c>
      <c r="I75" s="7" t="s">
        <v>457</v>
      </c>
      <c r="J75" s="7" t="s">
        <v>234</v>
      </c>
    </row>
    <row r="76" spans="1:10" x14ac:dyDescent="0.3">
      <c r="A76" s="6" t="s">
        <v>467</v>
      </c>
      <c r="B76" s="7" t="s">
        <v>139</v>
      </c>
      <c r="C76" s="7" t="s">
        <v>140</v>
      </c>
      <c r="D76" s="7" t="s">
        <v>10</v>
      </c>
      <c r="E76" s="7" t="s">
        <v>468</v>
      </c>
      <c r="F76" s="7"/>
      <c r="G76" s="7" t="s">
        <v>469</v>
      </c>
      <c r="H76" s="7">
        <v>52</v>
      </c>
      <c r="I76" s="7" t="s">
        <v>237</v>
      </c>
      <c r="J76" s="7" t="s">
        <v>203</v>
      </c>
    </row>
    <row r="77" spans="1:10" x14ac:dyDescent="0.3">
      <c r="A77" s="6" t="s">
        <v>470</v>
      </c>
      <c r="B77" s="7" t="s">
        <v>139</v>
      </c>
      <c r="C77" s="7" t="s">
        <v>140</v>
      </c>
      <c r="D77" s="7" t="s">
        <v>10</v>
      </c>
      <c r="E77" s="7" t="s">
        <v>468</v>
      </c>
      <c r="F77" s="7"/>
      <c r="G77" s="7" t="s">
        <v>471</v>
      </c>
      <c r="H77" s="7">
        <v>17</v>
      </c>
      <c r="I77" s="7" t="s">
        <v>173</v>
      </c>
      <c r="J77" s="7" t="s">
        <v>472</v>
      </c>
    </row>
    <row r="78" spans="1:10" x14ac:dyDescent="0.3">
      <c r="A78" s="6" t="s">
        <v>473</v>
      </c>
      <c r="B78" s="7" t="s">
        <v>139</v>
      </c>
      <c r="C78" s="7" t="s">
        <v>140</v>
      </c>
      <c r="D78" s="7" t="s">
        <v>10</v>
      </c>
      <c r="E78" s="7" t="s">
        <v>474</v>
      </c>
      <c r="F78" s="7" t="s">
        <v>475</v>
      </c>
      <c r="G78" s="7" t="s">
        <v>476</v>
      </c>
      <c r="H78" s="7">
        <v>50</v>
      </c>
      <c r="I78" s="7" t="s">
        <v>390</v>
      </c>
      <c r="J78" s="7" t="s">
        <v>422</v>
      </c>
    </row>
    <row r="79" spans="1:10" x14ac:dyDescent="0.3">
      <c r="A79" s="6" t="s">
        <v>477</v>
      </c>
      <c r="B79" s="7" t="s">
        <v>139</v>
      </c>
      <c r="C79" s="7" t="s">
        <v>140</v>
      </c>
      <c r="D79" s="7" t="s">
        <v>10</v>
      </c>
      <c r="E79" s="7" t="s">
        <v>474</v>
      </c>
      <c r="F79" s="7" t="s">
        <v>475</v>
      </c>
      <c r="G79" s="7" t="s">
        <v>478</v>
      </c>
      <c r="H79" s="7">
        <v>27</v>
      </c>
      <c r="I79" s="7" t="s">
        <v>479</v>
      </c>
      <c r="J79" s="7" t="s">
        <v>480</v>
      </c>
    </row>
    <row r="80" spans="1:10" x14ac:dyDescent="0.3">
      <c r="A80" s="6" t="s">
        <v>481</v>
      </c>
      <c r="B80" s="7" t="s">
        <v>139</v>
      </c>
      <c r="C80" s="7" t="s">
        <v>140</v>
      </c>
      <c r="D80" s="7" t="s">
        <v>10</v>
      </c>
      <c r="E80" s="7" t="s">
        <v>482</v>
      </c>
      <c r="F80" s="7"/>
      <c r="G80" s="7" t="s">
        <v>483</v>
      </c>
      <c r="H80" s="7">
        <v>4</v>
      </c>
      <c r="I80" s="7" t="s">
        <v>484</v>
      </c>
      <c r="J80" s="7" t="s">
        <v>485</v>
      </c>
    </row>
    <row r="81" spans="1:10" x14ac:dyDescent="0.3">
      <c r="A81" s="6" t="s">
        <v>486</v>
      </c>
      <c r="B81" s="7" t="s">
        <v>139</v>
      </c>
      <c r="C81" s="7" t="s">
        <v>140</v>
      </c>
      <c r="D81" s="7" t="s">
        <v>10</v>
      </c>
      <c r="E81" s="7" t="s">
        <v>487</v>
      </c>
      <c r="F81" s="7"/>
      <c r="G81" s="7" t="s">
        <v>488</v>
      </c>
      <c r="H81" s="7">
        <v>5</v>
      </c>
      <c r="I81" s="7" t="s">
        <v>390</v>
      </c>
      <c r="J81" s="7" t="s">
        <v>247</v>
      </c>
    </row>
    <row r="82" spans="1:10" x14ac:dyDescent="0.3">
      <c r="A82" s="6" t="s">
        <v>489</v>
      </c>
      <c r="B82" s="7" t="s">
        <v>139</v>
      </c>
      <c r="C82" s="7" t="s">
        <v>140</v>
      </c>
      <c r="D82" s="7" t="s">
        <v>10</v>
      </c>
      <c r="E82" s="7" t="s">
        <v>490</v>
      </c>
      <c r="F82" s="7" t="s">
        <v>491</v>
      </c>
      <c r="G82" s="7" t="s">
        <v>492</v>
      </c>
      <c r="H82" s="7">
        <v>9</v>
      </c>
      <c r="I82" s="7" t="s">
        <v>196</v>
      </c>
      <c r="J82" s="7" t="s">
        <v>493</v>
      </c>
    </row>
    <row r="83" spans="1:10" x14ac:dyDescent="0.3">
      <c r="A83" s="6" t="s">
        <v>494</v>
      </c>
      <c r="B83" s="7" t="s">
        <v>139</v>
      </c>
      <c r="C83" s="7" t="s">
        <v>140</v>
      </c>
      <c r="D83" s="7" t="s">
        <v>10</v>
      </c>
      <c r="E83" s="7" t="s">
        <v>495</v>
      </c>
      <c r="F83" s="7" t="s">
        <v>496</v>
      </c>
      <c r="G83" s="7" t="s">
        <v>497</v>
      </c>
      <c r="H83" s="7">
        <v>56</v>
      </c>
      <c r="I83" s="7" t="s">
        <v>498</v>
      </c>
      <c r="J83" s="7" t="s">
        <v>499</v>
      </c>
    </row>
    <row r="84" spans="1:10" x14ac:dyDescent="0.3">
      <c r="A84" s="6" t="s">
        <v>500</v>
      </c>
      <c r="B84" s="7" t="s">
        <v>139</v>
      </c>
      <c r="C84" s="7" t="s">
        <v>140</v>
      </c>
      <c r="D84" s="7" t="s">
        <v>10</v>
      </c>
      <c r="E84" s="7" t="s">
        <v>495</v>
      </c>
      <c r="F84" s="7" t="s">
        <v>496</v>
      </c>
      <c r="G84" s="7" t="s">
        <v>501</v>
      </c>
      <c r="H84" s="7">
        <v>8</v>
      </c>
      <c r="I84" s="7" t="s">
        <v>320</v>
      </c>
      <c r="J84" s="7" t="s">
        <v>355</v>
      </c>
    </row>
    <row r="85" spans="1:10" x14ac:dyDescent="0.3">
      <c r="A85" s="6" t="s">
        <v>502</v>
      </c>
      <c r="B85" s="7" t="s">
        <v>139</v>
      </c>
      <c r="C85" s="7" t="s">
        <v>140</v>
      </c>
      <c r="D85" s="7" t="s">
        <v>10</v>
      </c>
      <c r="E85" s="7" t="s">
        <v>503</v>
      </c>
      <c r="F85" s="7"/>
      <c r="G85" s="7" t="s">
        <v>504</v>
      </c>
      <c r="H85" s="7">
        <v>16</v>
      </c>
      <c r="I85" s="7" t="s">
        <v>179</v>
      </c>
      <c r="J85" s="7" t="s">
        <v>180</v>
      </c>
    </row>
    <row r="86" spans="1:10" x14ac:dyDescent="0.3">
      <c r="A86" s="6" t="s">
        <v>505</v>
      </c>
      <c r="B86" s="7" t="s">
        <v>139</v>
      </c>
      <c r="C86" s="7" t="s">
        <v>140</v>
      </c>
      <c r="D86" s="7" t="s">
        <v>10</v>
      </c>
      <c r="E86" s="7" t="s">
        <v>506</v>
      </c>
      <c r="F86" s="7" t="s">
        <v>507</v>
      </c>
      <c r="G86" s="7" t="s">
        <v>85</v>
      </c>
      <c r="H86" s="7">
        <v>344</v>
      </c>
      <c r="I86" s="7" t="s">
        <v>87</v>
      </c>
      <c r="J86" s="7" t="s">
        <v>419</v>
      </c>
    </row>
    <row r="87" spans="1:10" x14ac:dyDescent="0.3">
      <c r="A87" s="6" t="s">
        <v>508</v>
      </c>
      <c r="B87" s="7" t="s">
        <v>139</v>
      </c>
      <c r="C87" s="7" t="s">
        <v>140</v>
      </c>
      <c r="D87" s="7" t="s">
        <v>10</v>
      </c>
      <c r="E87" s="7" t="s">
        <v>509</v>
      </c>
      <c r="F87" s="7" t="s">
        <v>510</v>
      </c>
      <c r="G87" s="7" t="s">
        <v>85</v>
      </c>
      <c r="H87" s="7">
        <v>128</v>
      </c>
      <c r="I87" s="7" t="s">
        <v>87</v>
      </c>
      <c r="J87" s="7" t="s">
        <v>419</v>
      </c>
    </row>
    <row r="88" spans="1:10" x14ac:dyDescent="0.3">
      <c r="A88" s="6" t="s">
        <v>511</v>
      </c>
      <c r="B88" s="7" t="s">
        <v>139</v>
      </c>
      <c r="C88" s="7" t="s">
        <v>140</v>
      </c>
      <c r="D88" s="7" t="s">
        <v>10</v>
      </c>
      <c r="E88" s="7" t="s">
        <v>512</v>
      </c>
      <c r="F88" s="7"/>
      <c r="G88" s="7" t="s">
        <v>513</v>
      </c>
      <c r="H88" s="7">
        <v>7</v>
      </c>
      <c r="I88" s="7" t="s">
        <v>418</v>
      </c>
      <c r="J88" s="7" t="s">
        <v>514</v>
      </c>
    </row>
    <row r="89" spans="1:10" x14ac:dyDescent="0.3">
      <c r="A89" s="6" t="s">
        <v>515</v>
      </c>
      <c r="B89" s="7" t="s">
        <v>139</v>
      </c>
      <c r="C89" s="7" t="s">
        <v>140</v>
      </c>
      <c r="D89" s="7" t="s">
        <v>10</v>
      </c>
      <c r="E89" s="7" t="s">
        <v>516</v>
      </c>
      <c r="F89" s="7"/>
      <c r="G89" s="7" t="s">
        <v>517</v>
      </c>
      <c r="H89" s="7">
        <v>45</v>
      </c>
      <c r="I89" s="7" t="s">
        <v>518</v>
      </c>
      <c r="J89" s="7" t="s">
        <v>519</v>
      </c>
    </row>
    <row r="90" spans="1:10" x14ac:dyDescent="0.3">
      <c r="A90" s="6" t="s">
        <v>520</v>
      </c>
      <c r="B90" s="7" t="s">
        <v>139</v>
      </c>
      <c r="C90" s="7" t="s">
        <v>140</v>
      </c>
      <c r="D90" s="7" t="s">
        <v>10</v>
      </c>
      <c r="E90" s="7" t="s">
        <v>521</v>
      </c>
      <c r="F90" s="7"/>
      <c r="G90" s="7" t="s">
        <v>522</v>
      </c>
      <c r="H90" s="7">
        <v>3</v>
      </c>
      <c r="I90" s="7" t="s">
        <v>196</v>
      </c>
      <c r="J90" s="7" t="s">
        <v>493</v>
      </c>
    </row>
    <row r="91" spans="1:10" x14ac:dyDescent="0.3">
      <c r="A91" s="6" t="s">
        <v>523</v>
      </c>
      <c r="B91" s="7" t="s">
        <v>139</v>
      </c>
      <c r="C91" s="7" t="s">
        <v>140</v>
      </c>
      <c r="D91" s="7" t="s">
        <v>10</v>
      </c>
      <c r="E91" s="7" t="s">
        <v>524</v>
      </c>
      <c r="F91" s="7"/>
      <c r="G91" s="7" t="s">
        <v>525</v>
      </c>
      <c r="H91" s="7">
        <v>17</v>
      </c>
      <c r="I91" s="7" t="s">
        <v>233</v>
      </c>
      <c r="J91" s="7" t="s">
        <v>247</v>
      </c>
    </row>
    <row r="92" spans="1:10" x14ac:dyDescent="0.3">
      <c r="A92" s="6" t="s">
        <v>526</v>
      </c>
      <c r="B92" s="7" t="s">
        <v>139</v>
      </c>
      <c r="C92" s="7" t="s">
        <v>140</v>
      </c>
      <c r="D92" s="7" t="s">
        <v>10</v>
      </c>
      <c r="E92" s="7" t="s">
        <v>527</v>
      </c>
      <c r="F92" s="7" t="s">
        <v>528</v>
      </c>
      <c r="G92" s="7" t="s">
        <v>529</v>
      </c>
      <c r="H92" s="7">
        <v>18</v>
      </c>
      <c r="I92" s="7" t="s">
        <v>411</v>
      </c>
      <c r="J92" s="7" t="s">
        <v>360</v>
      </c>
    </row>
    <row r="93" spans="1:10" x14ac:dyDescent="0.3">
      <c r="A93" s="6" t="s">
        <v>530</v>
      </c>
      <c r="B93" s="7" t="s">
        <v>139</v>
      </c>
      <c r="C93" s="7" t="s">
        <v>140</v>
      </c>
      <c r="D93" s="7" t="s">
        <v>10</v>
      </c>
      <c r="E93" s="7" t="s">
        <v>531</v>
      </c>
      <c r="F93" s="7"/>
      <c r="G93" s="7" t="s">
        <v>532</v>
      </c>
      <c r="H93" s="7">
        <v>5</v>
      </c>
      <c r="I93" s="7" t="s">
        <v>207</v>
      </c>
      <c r="J93" s="7" t="s">
        <v>262</v>
      </c>
    </row>
    <row r="94" spans="1:10" x14ac:dyDescent="0.3">
      <c r="A94" s="6" t="s">
        <v>533</v>
      </c>
      <c r="B94" s="7" t="s">
        <v>139</v>
      </c>
      <c r="C94" s="7" t="s">
        <v>140</v>
      </c>
      <c r="D94" s="7" t="s">
        <v>10</v>
      </c>
      <c r="E94" s="7" t="s">
        <v>534</v>
      </c>
      <c r="F94" s="7"/>
      <c r="G94" s="7" t="s">
        <v>535</v>
      </c>
      <c r="H94" s="7">
        <v>3</v>
      </c>
      <c r="I94" s="7" t="s">
        <v>536</v>
      </c>
      <c r="J94" s="7" t="s">
        <v>537</v>
      </c>
    </row>
    <row r="95" spans="1:10" x14ac:dyDescent="0.3">
      <c r="A95" s="6" t="s">
        <v>538</v>
      </c>
      <c r="B95" s="7" t="s">
        <v>139</v>
      </c>
      <c r="C95" s="7" t="s">
        <v>140</v>
      </c>
      <c r="D95" s="7" t="s">
        <v>10</v>
      </c>
      <c r="E95" s="7" t="s">
        <v>539</v>
      </c>
      <c r="F95" s="7" t="s">
        <v>540</v>
      </c>
      <c r="G95" s="7" t="s">
        <v>541</v>
      </c>
      <c r="H95" s="7">
        <v>15</v>
      </c>
      <c r="I95" s="7" t="s">
        <v>315</v>
      </c>
      <c r="J95" s="7" t="s">
        <v>542</v>
      </c>
    </row>
    <row r="96" spans="1:10" x14ac:dyDescent="0.3">
      <c r="A96" s="6" t="s">
        <v>543</v>
      </c>
      <c r="B96" s="7" t="s">
        <v>139</v>
      </c>
      <c r="C96" s="7" t="s">
        <v>140</v>
      </c>
      <c r="D96" s="7" t="s">
        <v>10</v>
      </c>
      <c r="E96" s="7" t="s">
        <v>544</v>
      </c>
      <c r="F96" s="7"/>
      <c r="G96" s="7" t="s">
        <v>545</v>
      </c>
      <c r="H96" s="7">
        <v>2</v>
      </c>
      <c r="I96" s="7" t="s">
        <v>546</v>
      </c>
      <c r="J96" s="7" t="s">
        <v>337</v>
      </c>
    </row>
    <row r="97" spans="1:10" x14ac:dyDescent="0.3">
      <c r="A97" s="6" t="s">
        <v>547</v>
      </c>
      <c r="B97" s="7" t="s">
        <v>139</v>
      </c>
      <c r="C97" s="7" t="s">
        <v>140</v>
      </c>
      <c r="D97" s="7" t="s">
        <v>10</v>
      </c>
      <c r="E97" s="7" t="s">
        <v>548</v>
      </c>
      <c r="F97" s="7" t="s">
        <v>549</v>
      </c>
      <c r="G97" s="7" t="s">
        <v>550</v>
      </c>
      <c r="H97" s="7">
        <v>26</v>
      </c>
      <c r="I97" s="7" t="s">
        <v>551</v>
      </c>
      <c r="J97" s="7" t="s">
        <v>552</v>
      </c>
    </row>
    <row r="98" spans="1:10" x14ac:dyDescent="0.3">
      <c r="A98" s="6" t="s">
        <v>553</v>
      </c>
      <c r="B98" s="7" t="s">
        <v>139</v>
      </c>
      <c r="C98" s="7" t="s">
        <v>140</v>
      </c>
      <c r="D98" s="7" t="s">
        <v>10</v>
      </c>
      <c r="E98" s="7" t="s">
        <v>554</v>
      </c>
      <c r="F98" s="7"/>
      <c r="G98" s="7" t="s">
        <v>555</v>
      </c>
      <c r="H98" s="7">
        <v>9</v>
      </c>
      <c r="I98" s="7" t="s">
        <v>556</v>
      </c>
      <c r="J98" s="7" t="s">
        <v>557</v>
      </c>
    </row>
    <row r="99" spans="1:10" x14ac:dyDescent="0.3">
      <c r="A99" s="6" t="s">
        <v>558</v>
      </c>
      <c r="B99" s="7" t="s">
        <v>139</v>
      </c>
      <c r="C99" s="7" t="s">
        <v>140</v>
      </c>
      <c r="D99" s="7" t="s">
        <v>10</v>
      </c>
      <c r="E99" s="7" t="s">
        <v>559</v>
      </c>
      <c r="F99" s="7"/>
      <c r="G99" s="7" t="s">
        <v>560</v>
      </c>
      <c r="H99" s="7">
        <v>19</v>
      </c>
      <c r="I99" s="7" t="s">
        <v>434</v>
      </c>
      <c r="J99" s="7" t="s">
        <v>561</v>
      </c>
    </row>
    <row r="100" spans="1:10" x14ac:dyDescent="0.3">
      <c r="A100" s="6" t="s">
        <v>562</v>
      </c>
      <c r="B100" s="7" t="s">
        <v>139</v>
      </c>
      <c r="C100" s="7" t="s">
        <v>140</v>
      </c>
      <c r="D100" s="7" t="s">
        <v>10</v>
      </c>
      <c r="E100" s="7" t="s">
        <v>563</v>
      </c>
      <c r="F100" s="7" t="s">
        <v>564</v>
      </c>
      <c r="G100" s="7" t="s">
        <v>565</v>
      </c>
      <c r="H100" s="7">
        <v>6</v>
      </c>
      <c r="I100" s="7" t="s">
        <v>315</v>
      </c>
      <c r="J100" s="7" t="s">
        <v>448</v>
      </c>
    </row>
    <row r="101" spans="1:10" x14ac:dyDescent="0.3">
      <c r="A101" s="6" t="s">
        <v>566</v>
      </c>
      <c r="B101" s="7" t="s">
        <v>139</v>
      </c>
      <c r="C101" s="7" t="s">
        <v>140</v>
      </c>
      <c r="D101" s="7" t="s">
        <v>10</v>
      </c>
      <c r="E101" s="7" t="s">
        <v>567</v>
      </c>
      <c r="F101" s="7" t="s">
        <v>568</v>
      </c>
      <c r="G101" s="7" t="s">
        <v>569</v>
      </c>
      <c r="H101" s="7">
        <v>13</v>
      </c>
      <c r="I101" s="7" t="s">
        <v>570</v>
      </c>
      <c r="J101" s="7" t="s">
        <v>247</v>
      </c>
    </row>
    <row r="102" spans="1:10" x14ac:dyDescent="0.3">
      <c r="A102" s="6" t="s">
        <v>571</v>
      </c>
      <c r="B102" s="7" t="s">
        <v>139</v>
      </c>
      <c r="C102" s="7" t="s">
        <v>140</v>
      </c>
      <c r="D102" s="7" t="s">
        <v>10</v>
      </c>
      <c r="E102" s="7" t="s">
        <v>567</v>
      </c>
      <c r="F102" s="7" t="s">
        <v>568</v>
      </c>
      <c r="G102" s="7" t="s">
        <v>572</v>
      </c>
      <c r="H102" s="7">
        <v>12</v>
      </c>
      <c r="I102" s="7" t="s">
        <v>573</v>
      </c>
      <c r="J102" s="7" t="s">
        <v>574</v>
      </c>
    </row>
    <row r="103" spans="1:10" x14ac:dyDescent="0.3">
      <c r="A103" s="6" t="s">
        <v>575</v>
      </c>
      <c r="B103" s="7" t="s">
        <v>139</v>
      </c>
      <c r="C103" s="7" t="s">
        <v>140</v>
      </c>
      <c r="D103" s="7" t="s">
        <v>10</v>
      </c>
      <c r="E103" s="7" t="s">
        <v>576</v>
      </c>
      <c r="F103" s="7" t="s">
        <v>577</v>
      </c>
      <c r="G103" s="7" t="s">
        <v>578</v>
      </c>
      <c r="H103" s="7">
        <v>2</v>
      </c>
      <c r="I103" s="7" t="s">
        <v>579</v>
      </c>
      <c r="J103" s="7" t="s">
        <v>174</v>
      </c>
    </row>
    <row r="104" spans="1:10" x14ac:dyDescent="0.3">
      <c r="A104" s="6" t="s">
        <v>580</v>
      </c>
      <c r="B104" s="7" t="s">
        <v>139</v>
      </c>
      <c r="C104" s="7" t="s">
        <v>140</v>
      </c>
      <c r="D104" s="7" t="s">
        <v>10</v>
      </c>
      <c r="E104" s="7" t="s">
        <v>581</v>
      </c>
      <c r="F104" s="7"/>
      <c r="G104" s="7" t="s">
        <v>582</v>
      </c>
      <c r="H104" s="7">
        <v>3</v>
      </c>
      <c r="I104" s="7" t="s">
        <v>583</v>
      </c>
      <c r="J104" s="7" t="s">
        <v>584</v>
      </c>
    </row>
    <row r="105" spans="1:10" x14ac:dyDescent="0.3">
      <c r="A105" s="6" t="s">
        <v>585</v>
      </c>
      <c r="B105" s="7" t="s">
        <v>139</v>
      </c>
      <c r="C105" s="7" t="s">
        <v>140</v>
      </c>
      <c r="D105" s="7" t="s">
        <v>10</v>
      </c>
      <c r="E105" s="7" t="s">
        <v>586</v>
      </c>
      <c r="F105" s="7"/>
      <c r="G105" s="7" t="s">
        <v>587</v>
      </c>
      <c r="H105" s="7">
        <v>3</v>
      </c>
      <c r="I105" s="7" t="s">
        <v>588</v>
      </c>
      <c r="J105" s="7" t="s">
        <v>589</v>
      </c>
    </row>
    <row r="106" spans="1:10" x14ac:dyDescent="0.3">
      <c r="A106" s="6" t="s">
        <v>590</v>
      </c>
      <c r="B106" s="7" t="s">
        <v>139</v>
      </c>
      <c r="C106" s="7" t="s">
        <v>140</v>
      </c>
      <c r="D106" s="7" t="s">
        <v>10</v>
      </c>
      <c r="E106" s="7" t="s">
        <v>591</v>
      </c>
      <c r="F106" s="7" t="s">
        <v>592</v>
      </c>
      <c r="G106" s="7" t="s">
        <v>593</v>
      </c>
      <c r="H106" s="7">
        <v>3</v>
      </c>
      <c r="I106" s="7" t="s">
        <v>349</v>
      </c>
      <c r="J106" s="7" t="s">
        <v>234</v>
      </c>
    </row>
    <row r="107" spans="1:10" x14ac:dyDescent="0.3">
      <c r="A107" s="6" t="s">
        <v>594</v>
      </c>
      <c r="B107" s="7" t="s">
        <v>139</v>
      </c>
      <c r="C107" s="7" t="s">
        <v>140</v>
      </c>
      <c r="D107" s="7" t="s">
        <v>10</v>
      </c>
      <c r="E107" s="7" t="s">
        <v>595</v>
      </c>
      <c r="F107" s="7" t="s">
        <v>596</v>
      </c>
      <c r="G107" s="7" t="s">
        <v>597</v>
      </c>
      <c r="H107" s="7">
        <v>5</v>
      </c>
      <c r="I107" s="7" t="s">
        <v>598</v>
      </c>
      <c r="J107" s="7" t="s">
        <v>360</v>
      </c>
    </row>
    <row r="108" spans="1:10" x14ac:dyDescent="0.3">
      <c r="A108" s="6" t="s">
        <v>599</v>
      </c>
      <c r="B108" s="7" t="s">
        <v>139</v>
      </c>
      <c r="C108" s="7" t="s">
        <v>140</v>
      </c>
      <c r="D108" s="7" t="s">
        <v>10</v>
      </c>
      <c r="E108" s="7" t="s">
        <v>600</v>
      </c>
      <c r="F108" s="7"/>
      <c r="G108" s="7" t="s">
        <v>601</v>
      </c>
      <c r="H108" s="7">
        <v>5</v>
      </c>
      <c r="I108" s="7" t="s">
        <v>602</v>
      </c>
      <c r="J108" s="7" t="s">
        <v>603</v>
      </c>
    </row>
    <row r="109" spans="1:10" x14ac:dyDescent="0.3">
      <c r="A109" s="6" t="s">
        <v>604</v>
      </c>
      <c r="B109" s="7" t="s">
        <v>139</v>
      </c>
      <c r="C109" s="7" t="s">
        <v>140</v>
      </c>
      <c r="D109" s="7" t="s">
        <v>10</v>
      </c>
      <c r="E109" s="7" t="s">
        <v>605</v>
      </c>
      <c r="F109" s="7"/>
      <c r="G109" s="7" t="s">
        <v>606</v>
      </c>
      <c r="H109" s="7">
        <v>5</v>
      </c>
      <c r="I109" s="7" t="s">
        <v>607</v>
      </c>
      <c r="J109" s="7" t="s">
        <v>608</v>
      </c>
    </row>
    <row r="110" spans="1:10" x14ac:dyDescent="0.3">
      <c r="A110" s="6" t="s">
        <v>609</v>
      </c>
      <c r="B110" s="7" t="s">
        <v>139</v>
      </c>
      <c r="C110" s="7" t="s">
        <v>140</v>
      </c>
      <c r="D110" s="7" t="s">
        <v>10</v>
      </c>
      <c r="E110" s="7" t="s">
        <v>610</v>
      </c>
      <c r="F110" s="7"/>
      <c r="G110" s="7" t="s">
        <v>611</v>
      </c>
      <c r="H110" s="7">
        <v>1</v>
      </c>
      <c r="I110" s="7" t="s">
        <v>173</v>
      </c>
      <c r="J110" s="7" t="s">
        <v>514</v>
      </c>
    </row>
    <row r="111" spans="1:10" x14ac:dyDescent="0.3">
      <c r="A111" s="6" t="s">
        <v>612</v>
      </c>
      <c r="B111" s="7" t="s">
        <v>139</v>
      </c>
      <c r="C111" s="7" t="s">
        <v>140</v>
      </c>
      <c r="D111" s="7" t="s">
        <v>10</v>
      </c>
      <c r="E111" s="7" t="s">
        <v>613</v>
      </c>
      <c r="F111" s="7" t="s">
        <v>614</v>
      </c>
      <c r="G111" s="7" t="s">
        <v>615</v>
      </c>
      <c r="H111" s="7">
        <v>12</v>
      </c>
      <c r="I111" s="7" t="s">
        <v>616</v>
      </c>
      <c r="J111" s="7" t="s">
        <v>617</v>
      </c>
    </row>
    <row r="112" spans="1:10" x14ac:dyDescent="0.3">
      <c r="A112" s="6" t="s">
        <v>618</v>
      </c>
      <c r="B112" s="7" t="s">
        <v>139</v>
      </c>
      <c r="C112" s="7" t="s">
        <v>140</v>
      </c>
      <c r="D112" s="7" t="s">
        <v>10</v>
      </c>
      <c r="E112" s="7" t="s">
        <v>619</v>
      </c>
      <c r="F112" s="7"/>
      <c r="G112" s="7" t="s">
        <v>620</v>
      </c>
      <c r="H112" s="7">
        <v>28</v>
      </c>
      <c r="I112" s="7" t="s">
        <v>411</v>
      </c>
      <c r="J112" s="7" t="s">
        <v>621</v>
      </c>
    </row>
    <row r="113" spans="1:10" x14ac:dyDescent="0.3">
      <c r="A113" s="6" t="s">
        <v>622</v>
      </c>
      <c r="B113" s="7" t="s">
        <v>139</v>
      </c>
      <c r="C113" s="7" t="s">
        <v>140</v>
      </c>
      <c r="D113" s="7" t="s">
        <v>10</v>
      </c>
      <c r="E113" s="7" t="s">
        <v>623</v>
      </c>
      <c r="F113" s="7" t="s">
        <v>624</v>
      </c>
      <c r="G113" s="7" t="s">
        <v>625</v>
      </c>
      <c r="H113" s="7">
        <v>2</v>
      </c>
      <c r="I113" s="7" t="s">
        <v>626</v>
      </c>
      <c r="J113" s="7" t="s">
        <v>149</v>
      </c>
    </row>
    <row r="114" spans="1:10" x14ac:dyDescent="0.3">
      <c r="A114" s="6" t="s">
        <v>627</v>
      </c>
      <c r="B114" s="7" t="s">
        <v>139</v>
      </c>
      <c r="C114" s="7" t="s">
        <v>140</v>
      </c>
      <c r="D114" s="7" t="s">
        <v>10</v>
      </c>
      <c r="E114" s="7" t="s">
        <v>628</v>
      </c>
      <c r="F114" s="7"/>
      <c r="G114" s="7" t="s">
        <v>629</v>
      </c>
      <c r="H114" s="7">
        <v>21</v>
      </c>
      <c r="I114" s="7" t="s">
        <v>237</v>
      </c>
      <c r="J114" s="7" t="s">
        <v>630</v>
      </c>
    </row>
    <row r="115" spans="1:10" x14ac:dyDescent="0.3">
      <c r="A115" s="6" t="s">
        <v>631</v>
      </c>
      <c r="B115" s="7" t="s">
        <v>139</v>
      </c>
      <c r="C115" s="7" t="s">
        <v>140</v>
      </c>
      <c r="D115" s="7" t="s">
        <v>10</v>
      </c>
      <c r="E115" s="7" t="s">
        <v>632</v>
      </c>
      <c r="F115" s="7"/>
      <c r="G115" s="7" t="s">
        <v>633</v>
      </c>
      <c r="H115" s="7">
        <v>24</v>
      </c>
      <c r="I115" s="7" t="s">
        <v>315</v>
      </c>
      <c r="J115" s="7" t="s">
        <v>174</v>
      </c>
    </row>
    <row r="116" spans="1:10" x14ac:dyDescent="0.3">
      <c r="A116" s="6" t="s">
        <v>634</v>
      </c>
      <c r="B116" s="7" t="s">
        <v>139</v>
      </c>
      <c r="C116" s="7" t="s">
        <v>140</v>
      </c>
      <c r="D116" s="7" t="s">
        <v>10</v>
      </c>
      <c r="E116" s="7" t="s">
        <v>635</v>
      </c>
      <c r="F116" s="7"/>
      <c r="G116" s="7" t="s">
        <v>636</v>
      </c>
      <c r="H116" s="7">
        <v>5</v>
      </c>
      <c r="I116" s="7" t="s">
        <v>173</v>
      </c>
      <c r="J116" s="7" t="s">
        <v>184</v>
      </c>
    </row>
    <row r="117" spans="1:10" x14ac:dyDescent="0.3">
      <c r="A117" s="6" t="s">
        <v>637</v>
      </c>
      <c r="B117" s="7" t="s">
        <v>139</v>
      </c>
      <c r="C117" s="7" t="s">
        <v>140</v>
      </c>
      <c r="D117" s="7" t="s">
        <v>10</v>
      </c>
      <c r="E117" s="7" t="s">
        <v>638</v>
      </c>
      <c r="F117" s="7"/>
      <c r="G117" s="7" t="s">
        <v>639</v>
      </c>
      <c r="H117" s="7">
        <v>50</v>
      </c>
      <c r="I117" s="7" t="s">
        <v>640</v>
      </c>
      <c r="J117" s="7" t="s">
        <v>641</v>
      </c>
    </row>
    <row r="118" spans="1:10" x14ac:dyDescent="0.3">
      <c r="A118" s="6" t="s">
        <v>642</v>
      </c>
      <c r="B118" s="7" t="s">
        <v>139</v>
      </c>
      <c r="C118" s="7" t="s">
        <v>643</v>
      </c>
      <c r="D118" s="7" t="s">
        <v>12</v>
      </c>
      <c r="E118" s="7" t="s">
        <v>644</v>
      </c>
      <c r="F118" s="7" t="s">
        <v>645</v>
      </c>
      <c r="G118" s="7" t="s">
        <v>646</v>
      </c>
      <c r="H118" s="7">
        <v>5</v>
      </c>
      <c r="I118" s="7" t="s">
        <v>647</v>
      </c>
      <c r="J118" s="7" t="s">
        <v>617</v>
      </c>
    </row>
    <row r="119" spans="1:10" x14ac:dyDescent="0.3">
      <c r="A119" s="6" t="s">
        <v>648</v>
      </c>
      <c r="B119" s="7" t="s">
        <v>139</v>
      </c>
      <c r="C119" s="7" t="s">
        <v>643</v>
      </c>
      <c r="D119" s="7" t="s">
        <v>12</v>
      </c>
      <c r="E119" s="7" t="s">
        <v>649</v>
      </c>
      <c r="F119" s="7" t="s">
        <v>650</v>
      </c>
      <c r="G119" s="7" t="s">
        <v>651</v>
      </c>
      <c r="H119" s="7">
        <v>22</v>
      </c>
      <c r="I119" s="7" t="s">
        <v>652</v>
      </c>
      <c r="J119" s="7" t="s">
        <v>653</v>
      </c>
    </row>
    <row r="120" spans="1:10" x14ac:dyDescent="0.3">
      <c r="A120" s="6" t="s">
        <v>654</v>
      </c>
      <c r="B120" s="7" t="s">
        <v>139</v>
      </c>
      <c r="C120" s="7" t="s">
        <v>643</v>
      </c>
      <c r="D120" s="7" t="s">
        <v>12</v>
      </c>
      <c r="E120" s="7" t="s">
        <v>655</v>
      </c>
      <c r="F120" s="7" t="s">
        <v>656</v>
      </c>
      <c r="G120" s="7" t="s">
        <v>657</v>
      </c>
      <c r="H120" s="7">
        <v>2</v>
      </c>
      <c r="I120" s="7" t="s">
        <v>202</v>
      </c>
      <c r="J120" s="7" t="s">
        <v>658</v>
      </c>
    </row>
    <row r="121" spans="1:10" x14ac:dyDescent="0.3">
      <c r="A121" s="6" t="s">
        <v>659</v>
      </c>
      <c r="B121" s="7" t="s">
        <v>139</v>
      </c>
      <c r="C121" s="7" t="s">
        <v>643</v>
      </c>
      <c r="D121" s="7" t="s">
        <v>12</v>
      </c>
      <c r="E121" s="7" t="s">
        <v>205</v>
      </c>
      <c r="F121" s="7" t="s">
        <v>660</v>
      </c>
      <c r="G121" s="7" t="s">
        <v>661</v>
      </c>
      <c r="H121" s="7">
        <v>38</v>
      </c>
      <c r="I121" s="7" t="s">
        <v>457</v>
      </c>
      <c r="J121" s="7" t="s">
        <v>662</v>
      </c>
    </row>
    <row r="122" spans="1:10" x14ac:dyDescent="0.3">
      <c r="A122" s="6" t="s">
        <v>663</v>
      </c>
      <c r="B122" s="7" t="s">
        <v>139</v>
      </c>
      <c r="C122" s="7" t="s">
        <v>643</v>
      </c>
      <c r="D122" s="7" t="s">
        <v>12</v>
      </c>
      <c r="E122" s="7" t="s">
        <v>664</v>
      </c>
      <c r="F122" s="7" t="s">
        <v>665</v>
      </c>
      <c r="G122" s="7" t="s">
        <v>666</v>
      </c>
      <c r="H122" s="7">
        <v>19</v>
      </c>
      <c r="I122" s="7" t="s">
        <v>390</v>
      </c>
      <c r="J122" s="7" t="s">
        <v>391</v>
      </c>
    </row>
    <row r="123" spans="1:10" x14ac:dyDescent="0.3">
      <c r="A123" s="6" t="s">
        <v>667</v>
      </c>
      <c r="B123" s="7" t="s">
        <v>139</v>
      </c>
      <c r="C123" s="7" t="s">
        <v>643</v>
      </c>
      <c r="D123" s="7" t="s">
        <v>12</v>
      </c>
      <c r="E123" s="7" t="s">
        <v>668</v>
      </c>
      <c r="F123" s="7" t="s">
        <v>669</v>
      </c>
      <c r="G123" s="7" t="s">
        <v>670</v>
      </c>
      <c r="H123" s="7">
        <v>9</v>
      </c>
      <c r="I123" s="7" t="s">
        <v>607</v>
      </c>
      <c r="J123" s="7" t="s">
        <v>144</v>
      </c>
    </row>
    <row r="124" spans="1:10" x14ac:dyDescent="0.3">
      <c r="A124" s="6" t="s">
        <v>671</v>
      </c>
      <c r="B124" s="7" t="s">
        <v>139</v>
      </c>
      <c r="C124" s="7" t="s">
        <v>643</v>
      </c>
      <c r="D124" s="7" t="s">
        <v>12</v>
      </c>
      <c r="E124" s="7" t="s">
        <v>668</v>
      </c>
      <c r="F124" s="7" t="s">
        <v>669</v>
      </c>
      <c r="G124" s="7" t="s">
        <v>672</v>
      </c>
      <c r="H124" s="7">
        <v>12</v>
      </c>
      <c r="I124" s="7" t="s">
        <v>673</v>
      </c>
      <c r="J124" s="7" t="s">
        <v>184</v>
      </c>
    </row>
    <row r="125" spans="1:10" x14ac:dyDescent="0.3">
      <c r="A125" s="6" t="s">
        <v>674</v>
      </c>
      <c r="B125" s="7" t="s">
        <v>139</v>
      </c>
      <c r="C125" s="7" t="s">
        <v>643</v>
      </c>
      <c r="D125" s="7" t="s">
        <v>12</v>
      </c>
      <c r="E125" s="7" t="s">
        <v>675</v>
      </c>
      <c r="F125" s="7" t="s">
        <v>676</v>
      </c>
      <c r="G125" s="7" t="s">
        <v>677</v>
      </c>
      <c r="H125" s="7">
        <v>15</v>
      </c>
      <c r="I125" s="7" t="s">
        <v>678</v>
      </c>
      <c r="J125" s="7" t="s">
        <v>679</v>
      </c>
    </row>
    <row r="126" spans="1:10" x14ac:dyDescent="0.3">
      <c r="A126" s="6" t="s">
        <v>680</v>
      </c>
      <c r="B126" s="7" t="s">
        <v>139</v>
      </c>
      <c r="C126" s="7" t="s">
        <v>643</v>
      </c>
      <c r="D126" s="7" t="s">
        <v>12</v>
      </c>
      <c r="E126" s="7" t="s">
        <v>675</v>
      </c>
      <c r="F126" s="7" t="s">
        <v>676</v>
      </c>
      <c r="G126" s="7" t="s">
        <v>681</v>
      </c>
      <c r="H126" s="7">
        <v>49</v>
      </c>
      <c r="I126" s="7" t="s">
        <v>682</v>
      </c>
      <c r="J126" s="7" t="s">
        <v>679</v>
      </c>
    </row>
    <row r="127" spans="1:10" x14ac:dyDescent="0.3">
      <c r="A127" s="6" t="s">
        <v>683</v>
      </c>
      <c r="B127" s="7" t="s">
        <v>139</v>
      </c>
      <c r="C127" s="7" t="s">
        <v>643</v>
      </c>
      <c r="D127" s="7" t="s">
        <v>12</v>
      </c>
      <c r="E127" s="7" t="s">
        <v>684</v>
      </c>
      <c r="F127" s="7" t="s">
        <v>685</v>
      </c>
      <c r="G127" s="7" t="s">
        <v>686</v>
      </c>
      <c r="H127" s="7">
        <v>1</v>
      </c>
      <c r="I127" s="7" t="s">
        <v>315</v>
      </c>
      <c r="J127" s="7" t="s">
        <v>174</v>
      </c>
    </row>
    <row r="128" spans="1:10" x14ac:dyDescent="0.3">
      <c r="A128" s="6" t="s">
        <v>687</v>
      </c>
      <c r="B128" s="7" t="s">
        <v>139</v>
      </c>
      <c r="C128" s="7" t="s">
        <v>643</v>
      </c>
      <c r="D128" s="7" t="s">
        <v>12</v>
      </c>
      <c r="E128" s="7" t="s">
        <v>688</v>
      </c>
      <c r="F128" s="7" t="s">
        <v>689</v>
      </c>
      <c r="G128" s="7" t="s">
        <v>690</v>
      </c>
      <c r="H128" s="7">
        <v>7</v>
      </c>
      <c r="I128" s="7" t="s">
        <v>498</v>
      </c>
      <c r="J128" s="7" t="s">
        <v>277</v>
      </c>
    </row>
    <row r="129" spans="1:10" x14ac:dyDescent="0.3">
      <c r="A129" s="6" t="s">
        <v>691</v>
      </c>
      <c r="B129" s="7" t="s">
        <v>139</v>
      </c>
      <c r="C129" s="7" t="s">
        <v>643</v>
      </c>
      <c r="D129" s="7" t="s">
        <v>12</v>
      </c>
      <c r="E129" s="7" t="s">
        <v>688</v>
      </c>
      <c r="F129" s="7" t="s">
        <v>689</v>
      </c>
      <c r="G129" s="7" t="s">
        <v>692</v>
      </c>
      <c r="H129" s="7">
        <v>4</v>
      </c>
      <c r="I129" s="7" t="s">
        <v>652</v>
      </c>
      <c r="J129" s="7" t="s">
        <v>184</v>
      </c>
    </row>
    <row r="130" spans="1:10" x14ac:dyDescent="0.3">
      <c r="A130" s="6" t="s">
        <v>693</v>
      </c>
      <c r="B130" s="7" t="s">
        <v>139</v>
      </c>
      <c r="C130" s="7" t="s">
        <v>643</v>
      </c>
      <c r="D130" s="7" t="s">
        <v>12</v>
      </c>
      <c r="E130" s="7" t="s">
        <v>694</v>
      </c>
      <c r="F130" s="7" t="s">
        <v>695</v>
      </c>
      <c r="G130" s="7" t="s">
        <v>696</v>
      </c>
      <c r="H130" s="7">
        <v>10</v>
      </c>
      <c r="I130" s="7" t="s">
        <v>697</v>
      </c>
      <c r="J130" s="7" t="s">
        <v>698</v>
      </c>
    </row>
    <row r="131" spans="1:10" x14ac:dyDescent="0.3">
      <c r="A131" s="6" t="s">
        <v>699</v>
      </c>
      <c r="B131" s="7" t="s">
        <v>139</v>
      </c>
      <c r="C131" s="7" t="s">
        <v>643</v>
      </c>
      <c r="D131" s="7" t="s">
        <v>12</v>
      </c>
      <c r="E131" s="7" t="s">
        <v>700</v>
      </c>
      <c r="F131" s="7" t="s">
        <v>701</v>
      </c>
      <c r="G131" s="7" t="s">
        <v>702</v>
      </c>
      <c r="H131" s="7">
        <v>4</v>
      </c>
      <c r="I131" s="7" t="s">
        <v>703</v>
      </c>
      <c r="J131" s="7" t="s">
        <v>174</v>
      </c>
    </row>
    <row r="132" spans="1:10" x14ac:dyDescent="0.3">
      <c r="A132" s="6" t="s">
        <v>704</v>
      </c>
      <c r="B132" s="7" t="s">
        <v>139</v>
      </c>
      <c r="C132" s="7" t="s">
        <v>643</v>
      </c>
      <c r="D132" s="7" t="s">
        <v>12</v>
      </c>
      <c r="E132" s="7" t="s">
        <v>705</v>
      </c>
      <c r="F132" s="7" t="s">
        <v>706</v>
      </c>
      <c r="G132" s="7" t="s">
        <v>707</v>
      </c>
      <c r="H132" s="7">
        <v>24</v>
      </c>
      <c r="I132" s="7" t="s">
        <v>583</v>
      </c>
      <c r="J132" s="7" t="s">
        <v>708</v>
      </c>
    </row>
    <row r="133" spans="1:10" x14ac:dyDescent="0.3">
      <c r="A133" s="6" t="s">
        <v>709</v>
      </c>
      <c r="B133" s="7" t="s">
        <v>139</v>
      </c>
      <c r="C133" s="7" t="s">
        <v>643</v>
      </c>
      <c r="D133" s="7" t="s">
        <v>12</v>
      </c>
      <c r="E133" s="7" t="s">
        <v>710</v>
      </c>
      <c r="F133" s="7" t="s">
        <v>711</v>
      </c>
      <c r="G133" s="7" t="s">
        <v>120</v>
      </c>
      <c r="H133" s="7">
        <v>32</v>
      </c>
      <c r="I133" s="7" t="s">
        <v>123</v>
      </c>
      <c r="J133" s="7" t="s">
        <v>419</v>
      </c>
    </row>
    <row r="134" spans="1:10" x14ac:dyDescent="0.3">
      <c r="A134" s="6" t="s">
        <v>712</v>
      </c>
      <c r="B134" s="7" t="s">
        <v>139</v>
      </c>
      <c r="C134" s="7" t="s">
        <v>643</v>
      </c>
      <c r="D134" s="7" t="s">
        <v>12</v>
      </c>
      <c r="E134" s="7" t="s">
        <v>713</v>
      </c>
      <c r="F134" s="7" t="s">
        <v>714</v>
      </c>
      <c r="G134" s="7" t="s">
        <v>715</v>
      </c>
      <c r="H134" s="7">
        <v>0</v>
      </c>
      <c r="I134" s="7" t="s">
        <v>349</v>
      </c>
      <c r="J134" s="7" t="s">
        <v>234</v>
      </c>
    </row>
    <row r="135" spans="1:10" x14ac:dyDescent="0.3">
      <c r="A135" s="6" t="s">
        <v>716</v>
      </c>
      <c r="B135" s="7" t="s">
        <v>139</v>
      </c>
      <c r="C135" s="7" t="s">
        <v>643</v>
      </c>
      <c r="D135" s="7" t="s">
        <v>12</v>
      </c>
      <c r="E135" s="7" t="s">
        <v>713</v>
      </c>
      <c r="F135" s="7" t="s">
        <v>714</v>
      </c>
      <c r="G135" s="7" t="s">
        <v>717</v>
      </c>
      <c r="H135" s="7">
        <v>0</v>
      </c>
      <c r="I135" s="7" t="s">
        <v>168</v>
      </c>
      <c r="J135" s="7" t="s">
        <v>144</v>
      </c>
    </row>
    <row r="136" spans="1:10" x14ac:dyDescent="0.3">
      <c r="A136" s="6" t="s">
        <v>718</v>
      </c>
      <c r="B136" s="7" t="s">
        <v>139</v>
      </c>
      <c r="C136" s="7" t="s">
        <v>643</v>
      </c>
      <c r="D136" s="7" t="s">
        <v>12</v>
      </c>
      <c r="E136" s="7" t="s">
        <v>713</v>
      </c>
      <c r="F136" s="7" t="s">
        <v>714</v>
      </c>
      <c r="G136" s="7" t="s">
        <v>719</v>
      </c>
      <c r="H136" s="7">
        <v>0</v>
      </c>
      <c r="I136" s="7" t="s">
        <v>340</v>
      </c>
      <c r="J136" s="7" t="s">
        <v>662</v>
      </c>
    </row>
    <row r="137" spans="1:10" x14ac:dyDescent="0.3">
      <c r="A137" s="6" t="s">
        <v>720</v>
      </c>
      <c r="B137" s="7" t="s">
        <v>139</v>
      </c>
      <c r="C137" s="7" t="s">
        <v>643</v>
      </c>
      <c r="D137" s="7" t="s">
        <v>12</v>
      </c>
      <c r="E137" s="7" t="s">
        <v>721</v>
      </c>
      <c r="F137" s="7" t="s">
        <v>394</v>
      </c>
      <c r="G137" s="7" t="s">
        <v>722</v>
      </c>
      <c r="H137" s="7">
        <v>1</v>
      </c>
      <c r="I137" s="7" t="s">
        <v>723</v>
      </c>
      <c r="J137" s="7" t="s">
        <v>174</v>
      </c>
    </row>
    <row r="138" spans="1:10" x14ac:dyDescent="0.3">
      <c r="A138" s="6" t="s">
        <v>724</v>
      </c>
      <c r="B138" s="7" t="s">
        <v>139</v>
      </c>
      <c r="C138" s="7" t="s">
        <v>643</v>
      </c>
      <c r="D138" s="7" t="s">
        <v>12</v>
      </c>
      <c r="E138" s="7" t="s">
        <v>482</v>
      </c>
      <c r="F138" s="7" t="s">
        <v>725</v>
      </c>
      <c r="G138" s="7" t="s">
        <v>726</v>
      </c>
      <c r="H138" s="7">
        <v>0</v>
      </c>
      <c r="I138" s="7" t="s">
        <v>647</v>
      </c>
      <c r="J138" s="7" t="s">
        <v>727</v>
      </c>
    </row>
    <row r="139" spans="1:10" x14ac:dyDescent="0.3">
      <c r="A139" s="6" t="s">
        <v>728</v>
      </c>
      <c r="B139" s="7" t="s">
        <v>139</v>
      </c>
      <c r="C139" s="7" t="s">
        <v>643</v>
      </c>
      <c r="D139" s="7" t="s">
        <v>12</v>
      </c>
      <c r="E139" s="7" t="s">
        <v>729</v>
      </c>
      <c r="F139" s="7" t="s">
        <v>730</v>
      </c>
      <c r="G139" s="7" t="s">
        <v>731</v>
      </c>
      <c r="H139" s="7">
        <v>39</v>
      </c>
      <c r="I139" s="7" t="s">
        <v>732</v>
      </c>
      <c r="J139" s="7" t="s">
        <v>733</v>
      </c>
    </row>
    <row r="140" spans="1:10" x14ac:dyDescent="0.3">
      <c r="A140" s="6" t="s">
        <v>734</v>
      </c>
      <c r="B140" s="7" t="s">
        <v>139</v>
      </c>
      <c r="C140" s="7" t="s">
        <v>643</v>
      </c>
      <c r="D140" s="7" t="s">
        <v>12</v>
      </c>
      <c r="E140" s="7" t="s">
        <v>735</v>
      </c>
      <c r="F140" s="7" t="s">
        <v>577</v>
      </c>
      <c r="G140" s="7" t="s">
        <v>736</v>
      </c>
      <c r="H140" s="7">
        <v>5</v>
      </c>
      <c r="I140" s="7" t="s">
        <v>396</v>
      </c>
      <c r="J140" s="7" t="s">
        <v>737</v>
      </c>
    </row>
    <row r="141" spans="1:10" x14ac:dyDescent="0.3">
      <c r="A141" s="6" t="s">
        <v>738</v>
      </c>
      <c r="B141" s="7" t="s">
        <v>139</v>
      </c>
      <c r="C141" s="7" t="s">
        <v>643</v>
      </c>
      <c r="D141" s="7" t="s">
        <v>12</v>
      </c>
      <c r="E141" s="7" t="s">
        <v>739</v>
      </c>
      <c r="F141" s="7" t="s">
        <v>740</v>
      </c>
      <c r="G141" s="7" t="s">
        <v>741</v>
      </c>
      <c r="H141" s="7">
        <v>83</v>
      </c>
      <c r="I141" s="7" t="s">
        <v>682</v>
      </c>
      <c r="J141" s="7" t="s">
        <v>742</v>
      </c>
    </row>
    <row r="142" spans="1:10" x14ac:dyDescent="0.3">
      <c r="A142" s="6" t="s">
        <v>743</v>
      </c>
      <c r="B142" s="7" t="s">
        <v>139</v>
      </c>
      <c r="C142" s="7" t="s">
        <v>643</v>
      </c>
      <c r="D142" s="7" t="s">
        <v>12</v>
      </c>
      <c r="E142" s="7" t="s">
        <v>744</v>
      </c>
      <c r="F142" s="7" t="s">
        <v>745</v>
      </c>
      <c r="G142" s="7" t="s">
        <v>746</v>
      </c>
      <c r="H142" s="7">
        <v>6</v>
      </c>
      <c r="I142" s="7" t="s">
        <v>747</v>
      </c>
      <c r="J142" s="7" t="s">
        <v>144</v>
      </c>
    </row>
    <row r="143" spans="1:10" x14ac:dyDescent="0.3">
      <c r="A143" s="6" t="s">
        <v>748</v>
      </c>
      <c r="B143" s="7" t="s">
        <v>139</v>
      </c>
      <c r="C143" s="7" t="s">
        <v>643</v>
      </c>
      <c r="D143" s="7" t="s">
        <v>12</v>
      </c>
      <c r="E143" s="7" t="s">
        <v>591</v>
      </c>
      <c r="F143" s="7" t="s">
        <v>592</v>
      </c>
      <c r="G143" s="7" t="s">
        <v>749</v>
      </c>
      <c r="H143" s="7">
        <v>4</v>
      </c>
      <c r="I143" s="7" t="s">
        <v>306</v>
      </c>
      <c r="J143" s="7" t="s">
        <v>149</v>
      </c>
    </row>
    <row r="144" spans="1:10" x14ac:dyDescent="0.3">
      <c r="A144" s="6" t="s">
        <v>750</v>
      </c>
      <c r="B144" s="7" t="s">
        <v>139</v>
      </c>
      <c r="C144" s="7" t="s">
        <v>643</v>
      </c>
      <c r="D144" s="7" t="s">
        <v>12</v>
      </c>
      <c r="E144" s="7" t="s">
        <v>751</v>
      </c>
      <c r="F144" s="7" t="s">
        <v>752</v>
      </c>
      <c r="G144" s="7" t="s">
        <v>753</v>
      </c>
      <c r="H144" s="7">
        <v>10</v>
      </c>
      <c r="I144" s="7" t="s">
        <v>396</v>
      </c>
      <c r="J144" s="7" t="s">
        <v>737</v>
      </c>
    </row>
    <row r="145" spans="1:10" x14ac:dyDescent="0.3">
      <c r="A145" s="6" t="s">
        <v>754</v>
      </c>
      <c r="B145" s="7" t="s">
        <v>139</v>
      </c>
      <c r="C145" s="7" t="s">
        <v>643</v>
      </c>
      <c r="D145" s="7" t="s">
        <v>12</v>
      </c>
      <c r="E145" s="7" t="s">
        <v>755</v>
      </c>
      <c r="F145" s="7" t="s">
        <v>756</v>
      </c>
      <c r="G145" s="7" t="s">
        <v>757</v>
      </c>
      <c r="H145" s="7">
        <v>7</v>
      </c>
      <c r="I145" s="7" t="s">
        <v>202</v>
      </c>
      <c r="J145" s="7" t="s">
        <v>169</v>
      </c>
    </row>
    <row r="146" spans="1:10" x14ac:dyDescent="0.3">
      <c r="A146" s="6" t="s">
        <v>758</v>
      </c>
      <c r="B146" s="7" t="s">
        <v>139</v>
      </c>
      <c r="C146" s="7" t="s">
        <v>643</v>
      </c>
      <c r="D146" s="7" t="s">
        <v>12</v>
      </c>
      <c r="E146" s="7" t="s">
        <v>759</v>
      </c>
      <c r="F146" s="7" t="s">
        <v>760</v>
      </c>
      <c r="G146" s="7" t="s">
        <v>761</v>
      </c>
      <c r="H146" s="7">
        <v>0</v>
      </c>
      <c r="I146" s="7" t="s">
        <v>498</v>
      </c>
      <c r="J146" s="7" t="s">
        <v>662</v>
      </c>
    </row>
    <row r="147" spans="1:10" x14ac:dyDescent="0.3">
      <c r="A147" s="6" t="s">
        <v>762</v>
      </c>
      <c r="B147" s="7" t="s">
        <v>139</v>
      </c>
      <c r="C147" s="7" t="s">
        <v>643</v>
      </c>
      <c r="D147" s="7" t="s">
        <v>12</v>
      </c>
      <c r="E147" s="7" t="s">
        <v>763</v>
      </c>
      <c r="F147" s="7" t="s">
        <v>764</v>
      </c>
      <c r="G147" s="7" t="s">
        <v>765</v>
      </c>
      <c r="H147" s="7">
        <v>13</v>
      </c>
      <c r="I147" s="7" t="s">
        <v>766</v>
      </c>
      <c r="J147" s="7" t="s">
        <v>174</v>
      </c>
    </row>
    <row r="148" spans="1:10" x14ac:dyDescent="0.3">
      <c r="A148" s="6" t="s">
        <v>767</v>
      </c>
      <c r="B148" s="7" t="s">
        <v>139</v>
      </c>
      <c r="C148" s="7" t="s">
        <v>643</v>
      </c>
      <c r="D148" s="7" t="s">
        <v>15</v>
      </c>
      <c r="E148" s="7" t="s">
        <v>768</v>
      </c>
      <c r="F148" s="7" t="s">
        <v>769</v>
      </c>
      <c r="G148" s="7" t="s">
        <v>770</v>
      </c>
      <c r="H148" s="7"/>
      <c r="I148" s="7" t="s">
        <v>220</v>
      </c>
      <c r="J148" s="7" t="s">
        <v>771</v>
      </c>
    </row>
    <row r="149" spans="1:10" x14ac:dyDescent="0.3">
      <c r="A149" s="6" t="s">
        <v>772</v>
      </c>
      <c r="B149" s="7" t="s">
        <v>139</v>
      </c>
      <c r="C149" s="7" t="s">
        <v>773</v>
      </c>
      <c r="D149" s="7" t="s">
        <v>16</v>
      </c>
      <c r="E149" s="7" t="s">
        <v>774</v>
      </c>
      <c r="F149" s="7" t="s">
        <v>775</v>
      </c>
      <c r="G149" s="7" t="s">
        <v>776</v>
      </c>
      <c r="H149" s="7">
        <v>11</v>
      </c>
      <c r="I149" s="7" t="s">
        <v>777</v>
      </c>
      <c r="J149" s="7" t="s">
        <v>778</v>
      </c>
    </row>
    <row r="150" spans="1:10" x14ac:dyDescent="0.3">
      <c r="A150" s="6" t="s">
        <v>779</v>
      </c>
      <c r="B150" s="7" t="s">
        <v>139</v>
      </c>
      <c r="C150" s="7" t="s">
        <v>773</v>
      </c>
      <c r="D150" s="7" t="s">
        <v>16</v>
      </c>
      <c r="E150" s="7" t="s">
        <v>780</v>
      </c>
      <c r="F150" s="7" t="s">
        <v>781</v>
      </c>
      <c r="G150" s="7" t="s">
        <v>782</v>
      </c>
      <c r="H150" s="7"/>
      <c r="I150" s="7" t="s">
        <v>783</v>
      </c>
      <c r="J150" s="7" t="s">
        <v>514</v>
      </c>
    </row>
    <row r="151" spans="1:10" x14ac:dyDescent="0.3">
      <c r="A151" s="6" t="s">
        <v>784</v>
      </c>
      <c r="B151" s="7" t="s">
        <v>139</v>
      </c>
      <c r="C151" s="7" t="s">
        <v>773</v>
      </c>
      <c r="D151" s="7" t="s">
        <v>16</v>
      </c>
      <c r="E151" s="7" t="s">
        <v>785</v>
      </c>
      <c r="F151" s="7" t="s">
        <v>786</v>
      </c>
      <c r="G151" s="7" t="s">
        <v>787</v>
      </c>
      <c r="H151" s="7">
        <v>3</v>
      </c>
      <c r="I151" s="7" t="s">
        <v>788</v>
      </c>
      <c r="J151" s="7" t="s">
        <v>789</v>
      </c>
    </row>
    <row r="152" spans="1:10" x14ac:dyDescent="0.3">
      <c r="A152" s="6" t="s">
        <v>790</v>
      </c>
      <c r="B152" s="7" t="s">
        <v>139</v>
      </c>
      <c r="C152" s="7" t="s">
        <v>773</v>
      </c>
      <c r="D152" s="7" t="s">
        <v>16</v>
      </c>
      <c r="E152" s="7" t="s">
        <v>791</v>
      </c>
      <c r="F152" s="7" t="s">
        <v>218</v>
      </c>
      <c r="G152" s="7" t="s">
        <v>792</v>
      </c>
      <c r="H152" s="7">
        <v>8</v>
      </c>
      <c r="I152" s="7" t="s">
        <v>682</v>
      </c>
      <c r="J152" s="7" t="s">
        <v>793</v>
      </c>
    </row>
    <row r="153" spans="1:10" x14ac:dyDescent="0.3">
      <c r="A153" s="6" t="s">
        <v>794</v>
      </c>
      <c r="B153" s="7" t="s">
        <v>139</v>
      </c>
      <c r="C153" s="7" t="s">
        <v>773</v>
      </c>
      <c r="D153" s="7" t="s">
        <v>16</v>
      </c>
      <c r="E153" s="7" t="s">
        <v>795</v>
      </c>
      <c r="F153" s="7" t="s">
        <v>796</v>
      </c>
      <c r="G153" s="7" t="s">
        <v>797</v>
      </c>
      <c r="H153" s="7">
        <v>19</v>
      </c>
      <c r="I153" s="7" t="s">
        <v>798</v>
      </c>
      <c r="J153" s="7" t="s">
        <v>391</v>
      </c>
    </row>
    <row r="154" spans="1:10" x14ac:dyDescent="0.3">
      <c r="A154" s="6" t="s">
        <v>799</v>
      </c>
      <c r="B154" s="7" t="s">
        <v>139</v>
      </c>
      <c r="C154" s="7" t="s">
        <v>773</v>
      </c>
      <c r="D154" s="7" t="s">
        <v>16</v>
      </c>
      <c r="E154" s="7" t="s">
        <v>795</v>
      </c>
      <c r="F154" s="7" t="s">
        <v>796</v>
      </c>
      <c r="G154" s="7" t="s">
        <v>800</v>
      </c>
      <c r="H154" s="7">
        <v>9</v>
      </c>
      <c r="I154" s="7" t="s">
        <v>801</v>
      </c>
      <c r="J154" s="7" t="s">
        <v>802</v>
      </c>
    </row>
    <row r="155" spans="1:10" x14ac:dyDescent="0.3">
      <c r="A155" s="6" t="s">
        <v>803</v>
      </c>
      <c r="B155" s="7" t="s">
        <v>139</v>
      </c>
      <c r="C155" s="7" t="s">
        <v>773</v>
      </c>
      <c r="D155" s="7" t="s">
        <v>16</v>
      </c>
      <c r="E155" s="7" t="s">
        <v>795</v>
      </c>
      <c r="F155" s="7" t="s">
        <v>796</v>
      </c>
      <c r="G155" s="7" t="s">
        <v>804</v>
      </c>
      <c r="H155" s="7"/>
      <c r="I155" s="7" t="s">
        <v>805</v>
      </c>
      <c r="J155" s="7" t="s">
        <v>806</v>
      </c>
    </row>
    <row r="156" spans="1:10" x14ac:dyDescent="0.3">
      <c r="A156" s="6" t="s">
        <v>807</v>
      </c>
      <c r="B156" s="7" t="s">
        <v>139</v>
      </c>
      <c r="C156" s="7" t="s">
        <v>773</v>
      </c>
      <c r="D156" s="7" t="s">
        <v>16</v>
      </c>
      <c r="E156" s="7" t="s">
        <v>808</v>
      </c>
      <c r="F156" s="7" t="s">
        <v>809</v>
      </c>
      <c r="G156" s="7" t="s">
        <v>810</v>
      </c>
      <c r="H156" s="7">
        <v>4</v>
      </c>
      <c r="I156" s="7" t="s">
        <v>811</v>
      </c>
      <c r="J156" s="7" t="s">
        <v>144</v>
      </c>
    </row>
    <row r="157" spans="1:10" x14ac:dyDescent="0.3">
      <c r="A157" s="6" t="s">
        <v>812</v>
      </c>
      <c r="B157" s="7" t="s">
        <v>139</v>
      </c>
      <c r="C157" s="7" t="s">
        <v>773</v>
      </c>
      <c r="D157" s="7" t="s">
        <v>16</v>
      </c>
      <c r="E157" s="7" t="s">
        <v>808</v>
      </c>
      <c r="F157" s="7" t="s">
        <v>809</v>
      </c>
      <c r="G157" s="7" t="s">
        <v>813</v>
      </c>
      <c r="H157" s="7">
        <v>4</v>
      </c>
      <c r="I157" s="7" t="s">
        <v>814</v>
      </c>
      <c r="J157" s="7" t="s">
        <v>815</v>
      </c>
    </row>
    <row r="158" spans="1:10" x14ac:dyDescent="0.3">
      <c r="A158" s="6" t="s">
        <v>816</v>
      </c>
      <c r="B158" s="7" t="s">
        <v>139</v>
      </c>
      <c r="C158" s="7" t="s">
        <v>773</v>
      </c>
      <c r="D158" s="7" t="s">
        <v>16</v>
      </c>
      <c r="E158" s="7" t="s">
        <v>808</v>
      </c>
      <c r="F158" s="7" t="s">
        <v>809</v>
      </c>
      <c r="G158" s="7" t="s">
        <v>817</v>
      </c>
      <c r="H158" s="7">
        <v>7</v>
      </c>
      <c r="I158" s="7" t="s">
        <v>583</v>
      </c>
      <c r="J158" s="7" t="s">
        <v>818</v>
      </c>
    </row>
    <row r="159" spans="1:10" x14ac:dyDescent="0.3">
      <c r="A159" s="6" t="s">
        <v>819</v>
      </c>
      <c r="B159" s="7" t="s">
        <v>139</v>
      </c>
      <c r="C159" s="7" t="s">
        <v>773</v>
      </c>
      <c r="D159" s="7" t="s">
        <v>16</v>
      </c>
      <c r="E159" s="7" t="s">
        <v>808</v>
      </c>
      <c r="F159" s="7" t="s">
        <v>809</v>
      </c>
      <c r="G159" s="7" t="s">
        <v>820</v>
      </c>
      <c r="H159" s="7">
        <v>3</v>
      </c>
      <c r="I159" s="7" t="s">
        <v>821</v>
      </c>
      <c r="J159" s="7" t="s">
        <v>822</v>
      </c>
    </row>
    <row r="160" spans="1:10" x14ac:dyDescent="0.3">
      <c r="A160" s="6" t="s">
        <v>823</v>
      </c>
      <c r="B160" s="7" t="s">
        <v>139</v>
      </c>
      <c r="C160" s="7" t="s">
        <v>773</v>
      </c>
      <c r="D160" s="7" t="s">
        <v>16</v>
      </c>
      <c r="E160" s="7" t="s">
        <v>808</v>
      </c>
      <c r="F160" s="7" t="s">
        <v>809</v>
      </c>
      <c r="G160" s="7" t="s">
        <v>824</v>
      </c>
      <c r="H160" s="7">
        <v>8</v>
      </c>
      <c r="I160" s="7" t="s">
        <v>276</v>
      </c>
      <c r="J160" s="7" t="s">
        <v>184</v>
      </c>
    </row>
    <row r="161" spans="1:10" x14ac:dyDescent="0.3">
      <c r="A161" s="6" t="s">
        <v>825</v>
      </c>
      <c r="B161" s="7" t="s">
        <v>139</v>
      </c>
      <c r="C161" s="7" t="s">
        <v>773</v>
      </c>
      <c r="D161" s="7" t="s">
        <v>16</v>
      </c>
      <c r="E161" s="7" t="s">
        <v>808</v>
      </c>
      <c r="F161" s="7" t="s">
        <v>809</v>
      </c>
      <c r="G161" s="7" t="s">
        <v>826</v>
      </c>
      <c r="H161" s="7">
        <v>16</v>
      </c>
      <c r="I161" s="7" t="s">
        <v>805</v>
      </c>
      <c r="J161" s="7" t="s">
        <v>827</v>
      </c>
    </row>
    <row r="162" spans="1:10" x14ac:dyDescent="0.3">
      <c r="A162" s="6" t="s">
        <v>828</v>
      </c>
      <c r="B162" s="7" t="s">
        <v>139</v>
      </c>
      <c r="C162" s="7" t="s">
        <v>773</v>
      </c>
      <c r="D162" s="7" t="s">
        <v>16</v>
      </c>
      <c r="E162" s="7" t="s">
        <v>808</v>
      </c>
      <c r="F162" s="7" t="s">
        <v>809</v>
      </c>
      <c r="G162" s="7" t="s">
        <v>829</v>
      </c>
      <c r="H162" s="7">
        <v>19</v>
      </c>
      <c r="I162" s="7" t="s">
        <v>821</v>
      </c>
      <c r="J162" s="7" t="s">
        <v>822</v>
      </c>
    </row>
    <row r="163" spans="1:10" x14ac:dyDescent="0.3">
      <c r="A163" s="6" t="s">
        <v>830</v>
      </c>
      <c r="B163" s="7" t="s">
        <v>139</v>
      </c>
      <c r="C163" s="7" t="s">
        <v>773</v>
      </c>
      <c r="D163" s="7" t="s">
        <v>16</v>
      </c>
      <c r="E163" s="7" t="s">
        <v>808</v>
      </c>
      <c r="F163" s="7" t="s">
        <v>809</v>
      </c>
      <c r="G163" s="7" t="s">
        <v>831</v>
      </c>
      <c r="H163" s="7">
        <v>42</v>
      </c>
      <c r="I163" s="7" t="s">
        <v>805</v>
      </c>
      <c r="J163" s="7" t="s">
        <v>197</v>
      </c>
    </row>
    <row r="164" spans="1:10" x14ac:dyDescent="0.3">
      <c r="A164" s="6" t="s">
        <v>832</v>
      </c>
      <c r="B164" s="7" t="s">
        <v>139</v>
      </c>
      <c r="C164" s="7" t="s">
        <v>773</v>
      </c>
      <c r="D164" s="7" t="s">
        <v>16</v>
      </c>
      <c r="E164" s="7" t="s">
        <v>833</v>
      </c>
      <c r="F164" s="7" t="s">
        <v>834</v>
      </c>
      <c r="G164" s="7" t="s">
        <v>835</v>
      </c>
      <c r="H164" s="7"/>
      <c r="I164" s="7" t="s">
        <v>805</v>
      </c>
      <c r="J164" s="7" t="s">
        <v>836</v>
      </c>
    </row>
    <row r="165" spans="1:10" x14ac:dyDescent="0.3">
      <c r="A165" s="6" t="s">
        <v>837</v>
      </c>
      <c r="B165" s="7" t="s">
        <v>139</v>
      </c>
      <c r="C165" s="7" t="s">
        <v>773</v>
      </c>
      <c r="D165" s="7" t="s">
        <v>16</v>
      </c>
      <c r="E165" s="7" t="s">
        <v>838</v>
      </c>
      <c r="F165" s="7" t="s">
        <v>839</v>
      </c>
      <c r="G165" s="7" t="s">
        <v>840</v>
      </c>
      <c r="H165" s="7"/>
      <c r="I165" s="7" t="s">
        <v>805</v>
      </c>
      <c r="J165" s="7" t="s">
        <v>197</v>
      </c>
    </row>
    <row r="166" spans="1:10" x14ac:dyDescent="0.3">
      <c r="A166" s="6" t="s">
        <v>841</v>
      </c>
      <c r="B166" s="7" t="s">
        <v>139</v>
      </c>
      <c r="C166" s="7" t="s">
        <v>773</v>
      </c>
      <c r="D166" s="7" t="s">
        <v>16</v>
      </c>
      <c r="E166" s="7" t="s">
        <v>838</v>
      </c>
      <c r="F166" s="7" t="s">
        <v>839</v>
      </c>
      <c r="G166" s="7" t="s">
        <v>842</v>
      </c>
      <c r="H166" s="7"/>
      <c r="I166" s="7" t="s">
        <v>805</v>
      </c>
      <c r="J166" s="7" t="s">
        <v>197</v>
      </c>
    </row>
    <row r="167" spans="1:10" x14ac:dyDescent="0.3">
      <c r="A167" s="6" t="s">
        <v>843</v>
      </c>
      <c r="B167" s="7" t="s">
        <v>139</v>
      </c>
      <c r="C167" s="7" t="s">
        <v>773</v>
      </c>
      <c r="D167" s="7" t="s">
        <v>16</v>
      </c>
      <c r="E167" s="7" t="s">
        <v>844</v>
      </c>
      <c r="F167" s="7" t="s">
        <v>845</v>
      </c>
      <c r="G167" s="7" t="s">
        <v>846</v>
      </c>
      <c r="H167" s="7">
        <v>27</v>
      </c>
      <c r="I167" s="7" t="s">
        <v>345</v>
      </c>
      <c r="J167" s="7" t="s">
        <v>847</v>
      </c>
    </row>
    <row r="168" spans="1:10" x14ac:dyDescent="0.3">
      <c r="A168" s="6" t="s">
        <v>848</v>
      </c>
      <c r="B168" s="7" t="s">
        <v>139</v>
      </c>
      <c r="C168" s="7" t="s">
        <v>773</v>
      </c>
      <c r="D168" s="7" t="s">
        <v>16</v>
      </c>
      <c r="E168" s="7" t="s">
        <v>849</v>
      </c>
      <c r="F168" s="7" t="s">
        <v>850</v>
      </c>
      <c r="G168" s="7" t="s">
        <v>851</v>
      </c>
      <c r="H168" s="7">
        <v>8</v>
      </c>
      <c r="I168" s="7" t="s">
        <v>852</v>
      </c>
      <c r="J168" s="7" t="s">
        <v>853</v>
      </c>
    </row>
    <row r="169" spans="1:10" x14ac:dyDescent="0.3">
      <c r="A169" s="6" t="s">
        <v>854</v>
      </c>
      <c r="B169" s="7" t="s">
        <v>139</v>
      </c>
      <c r="C169" s="7" t="s">
        <v>773</v>
      </c>
      <c r="D169" s="7" t="s">
        <v>16</v>
      </c>
      <c r="E169" s="7" t="s">
        <v>855</v>
      </c>
      <c r="F169" s="7" t="s">
        <v>856</v>
      </c>
      <c r="G169" s="7" t="s">
        <v>857</v>
      </c>
      <c r="H169" s="7">
        <v>3</v>
      </c>
      <c r="I169" s="7" t="s">
        <v>858</v>
      </c>
      <c r="J169" s="7" t="s">
        <v>847</v>
      </c>
    </row>
    <row r="170" spans="1:10" x14ac:dyDescent="0.3">
      <c r="A170" s="6" t="s">
        <v>859</v>
      </c>
      <c r="B170" s="7" t="s">
        <v>139</v>
      </c>
      <c r="C170" s="7" t="s">
        <v>773</v>
      </c>
      <c r="D170" s="7" t="s">
        <v>16</v>
      </c>
      <c r="E170" s="7" t="s">
        <v>860</v>
      </c>
      <c r="F170" s="7" t="s">
        <v>861</v>
      </c>
      <c r="G170" s="7" t="s">
        <v>862</v>
      </c>
      <c r="H170" s="7"/>
      <c r="I170" s="7" t="s">
        <v>196</v>
      </c>
      <c r="J170" s="7" t="s">
        <v>208</v>
      </c>
    </row>
    <row r="171" spans="1:10" x14ac:dyDescent="0.3">
      <c r="A171" s="6" t="s">
        <v>863</v>
      </c>
      <c r="B171" s="7" t="s">
        <v>139</v>
      </c>
      <c r="C171" s="7" t="s">
        <v>773</v>
      </c>
      <c r="D171" s="7" t="s">
        <v>16</v>
      </c>
      <c r="E171" s="7" t="s">
        <v>864</v>
      </c>
      <c r="F171" s="7" t="s">
        <v>865</v>
      </c>
      <c r="G171" s="7" t="s">
        <v>866</v>
      </c>
      <c r="H171" s="7">
        <v>14</v>
      </c>
      <c r="I171" s="7" t="s">
        <v>411</v>
      </c>
      <c r="J171" s="7" t="s">
        <v>191</v>
      </c>
    </row>
    <row r="172" spans="1:10" x14ac:dyDescent="0.3">
      <c r="A172" s="6" t="s">
        <v>867</v>
      </c>
      <c r="B172" s="7" t="s">
        <v>139</v>
      </c>
      <c r="C172" s="7" t="s">
        <v>773</v>
      </c>
      <c r="D172" s="7" t="s">
        <v>16</v>
      </c>
      <c r="E172" s="7" t="s">
        <v>868</v>
      </c>
      <c r="F172" s="7" t="s">
        <v>290</v>
      </c>
      <c r="G172" s="7" t="s">
        <v>869</v>
      </c>
      <c r="H172" s="7">
        <v>2</v>
      </c>
      <c r="I172" s="7" t="s">
        <v>870</v>
      </c>
      <c r="J172" s="7" t="s">
        <v>871</v>
      </c>
    </row>
    <row r="173" spans="1:10" x14ac:dyDescent="0.3">
      <c r="A173" s="6" t="s">
        <v>872</v>
      </c>
      <c r="B173" s="7" t="s">
        <v>139</v>
      </c>
      <c r="C173" s="7" t="s">
        <v>773</v>
      </c>
      <c r="D173" s="7" t="s">
        <v>16</v>
      </c>
      <c r="E173" s="7" t="s">
        <v>873</v>
      </c>
      <c r="F173" s="7" t="s">
        <v>874</v>
      </c>
      <c r="G173" s="7" t="s">
        <v>875</v>
      </c>
      <c r="H173" s="7">
        <v>13</v>
      </c>
      <c r="I173" s="7" t="s">
        <v>876</v>
      </c>
      <c r="J173" s="7" t="s">
        <v>480</v>
      </c>
    </row>
    <row r="174" spans="1:10" x14ac:dyDescent="0.3">
      <c r="A174" s="6" t="s">
        <v>877</v>
      </c>
      <c r="B174" s="7" t="s">
        <v>139</v>
      </c>
      <c r="C174" s="7" t="s">
        <v>773</v>
      </c>
      <c r="D174" s="7" t="s">
        <v>16</v>
      </c>
      <c r="E174" s="7" t="s">
        <v>878</v>
      </c>
      <c r="F174" s="7" t="s">
        <v>879</v>
      </c>
      <c r="G174" s="7" t="s">
        <v>880</v>
      </c>
      <c r="H174" s="7">
        <v>6</v>
      </c>
      <c r="I174" s="7" t="s">
        <v>881</v>
      </c>
      <c r="J174" s="7" t="s">
        <v>234</v>
      </c>
    </row>
    <row r="175" spans="1:10" x14ac:dyDescent="0.3">
      <c r="A175" s="6" t="s">
        <v>882</v>
      </c>
      <c r="B175" s="7" t="s">
        <v>139</v>
      </c>
      <c r="C175" s="7" t="s">
        <v>773</v>
      </c>
      <c r="D175" s="7" t="s">
        <v>16</v>
      </c>
      <c r="E175" s="7" t="s">
        <v>883</v>
      </c>
      <c r="F175" s="7" t="s">
        <v>884</v>
      </c>
      <c r="G175" s="7" t="s">
        <v>885</v>
      </c>
      <c r="H175" s="7">
        <v>1</v>
      </c>
      <c r="I175" s="7" t="s">
        <v>886</v>
      </c>
      <c r="J175" s="7" t="s">
        <v>243</v>
      </c>
    </row>
    <row r="176" spans="1:10" x14ac:dyDescent="0.3">
      <c r="A176" s="6" t="s">
        <v>887</v>
      </c>
      <c r="B176" s="7" t="s">
        <v>139</v>
      </c>
      <c r="C176" s="7" t="s">
        <v>773</v>
      </c>
      <c r="D176" s="7" t="s">
        <v>16</v>
      </c>
      <c r="E176" s="7" t="s">
        <v>888</v>
      </c>
      <c r="F176" s="7" t="s">
        <v>889</v>
      </c>
      <c r="G176" s="7" t="s">
        <v>890</v>
      </c>
      <c r="H176" s="7"/>
      <c r="I176" s="7" t="s">
        <v>583</v>
      </c>
      <c r="J176" s="7" t="s">
        <v>891</v>
      </c>
    </row>
    <row r="177" spans="1:10" x14ac:dyDescent="0.3">
      <c r="A177" s="6" t="s">
        <v>892</v>
      </c>
      <c r="B177" s="7" t="s">
        <v>139</v>
      </c>
      <c r="C177" s="7" t="s">
        <v>773</v>
      </c>
      <c r="D177" s="7" t="s">
        <v>16</v>
      </c>
      <c r="E177" s="7" t="s">
        <v>357</v>
      </c>
      <c r="F177" s="7" t="s">
        <v>358</v>
      </c>
      <c r="G177" s="7" t="s">
        <v>893</v>
      </c>
      <c r="H177" s="7">
        <v>2</v>
      </c>
      <c r="I177" s="7" t="s">
        <v>390</v>
      </c>
      <c r="J177" s="7" t="s">
        <v>174</v>
      </c>
    </row>
    <row r="178" spans="1:10" x14ac:dyDescent="0.3">
      <c r="A178" s="6" t="s">
        <v>894</v>
      </c>
      <c r="B178" s="7" t="s">
        <v>139</v>
      </c>
      <c r="C178" s="7" t="s">
        <v>773</v>
      </c>
      <c r="D178" s="7" t="s">
        <v>16</v>
      </c>
      <c r="E178" s="7" t="s">
        <v>895</v>
      </c>
      <c r="F178" s="7" t="s">
        <v>896</v>
      </c>
      <c r="G178" s="7" t="s">
        <v>897</v>
      </c>
      <c r="H178" s="7">
        <v>0</v>
      </c>
      <c r="I178" s="7" t="s">
        <v>349</v>
      </c>
      <c r="J178" s="7" t="s">
        <v>174</v>
      </c>
    </row>
    <row r="179" spans="1:10" x14ac:dyDescent="0.3">
      <c r="A179" s="6" t="s">
        <v>898</v>
      </c>
      <c r="B179" s="7" t="s">
        <v>139</v>
      </c>
      <c r="C179" s="7" t="s">
        <v>773</v>
      </c>
      <c r="D179" s="7" t="s">
        <v>16</v>
      </c>
      <c r="E179" s="7" t="s">
        <v>895</v>
      </c>
      <c r="F179" s="7" t="s">
        <v>896</v>
      </c>
      <c r="G179" s="7" t="s">
        <v>899</v>
      </c>
      <c r="H179" s="7">
        <v>31</v>
      </c>
      <c r="I179" s="7" t="s">
        <v>900</v>
      </c>
      <c r="J179" s="7" t="s">
        <v>422</v>
      </c>
    </row>
    <row r="180" spans="1:10" x14ac:dyDescent="0.3">
      <c r="A180" s="6" t="s">
        <v>901</v>
      </c>
      <c r="B180" s="7" t="s">
        <v>139</v>
      </c>
      <c r="C180" s="7" t="s">
        <v>773</v>
      </c>
      <c r="D180" s="7" t="s">
        <v>16</v>
      </c>
      <c r="E180" s="7" t="s">
        <v>902</v>
      </c>
      <c r="F180" s="7" t="s">
        <v>903</v>
      </c>
      <c r="G180" s="7" t="s">
        <v>904</v>
      </c>
      <c r="H180" s="7">
        <v>1</v>
      </c>
      <c r="I180" s="7" t="s">
        <v>805</v>
      </c>
      <c r="J180" s="7" t="s">
        <v>905</v>
      </c>
    </row>
    <row r="181" spans="1:10" x14ac:dyDescent="0.3">
      <c r="A181" s="6" t="s">
        <v>906</v>
      </c>
      <c r="B181" s="7" t="s">
        <v>139</v>
      </c>
      <c r="C181" s="7" t="s">
        <v>773</v>
      </c>
      <c r="D181" s="7" t="s">
        <v>16</v>
      </c>
      <c r="E181" s="7" t="s">
        <v>907</v>
      </c>
      <c r="F181" s="7" t="s">
        <v>908</v>
      </c>
      <c r="G181" s="7" t="s">
        <v>909</v>
      </c>
      <c r="H181" s="7"/>
      <c r="I181" s="7" t="s">
        <v>337</v>
      </c>
      <c r="J181" s="7" t="s">
        <v>910</v>
      </c>
    </row>
    <row r="182" spans="1:10" x14ac:dyDescent="0.3">
      <c r="A182" s="6" t="s">
        <v>911</v>
      </c>
      <c r="B182" s="7" t="s">
        <v>139</v>
      </c>
      <c r="C182" s="7" t="s">
        <v>773</v>
      </c>
      <c r="D182" s="7" t="s">
        <v>16</v>
      </c>
      <c r="E182" s="7" t="s">
        <v>912</v>
      </c>
      <c r="F182" s="7" t="s">
        <v>913</v>
      </c>
      <c r="G182" s="7" t="s">
        <v>914</v>
      </c>
      <c r="H182" s="7">
        <v>13</v>
      </c>
      <c r="I182" s="7" t="s">
        <v>915</v>
      </c>
      <c r="J182" s="7" t="s">
        <v>916</v>
      </c>
    </row>
    <row r="183" spans="1:10" x14ac:dyDescent="0.3">
      <c r="A183" s="6" t="s">
        <v>917</v>
      </c>
      <c r="B183" s="7" t="s">
        <v>139</v>
      </c>
      <c r="C183" s="7" t="s">
        <v>773</v>
      </c>
      <c r="D183" s="7" t="s">
        <v>16</v>
      </c>
      <c r="E183" s="7" t="s">
        <v>912</v>
      </c>
      <c r="F183" s="7" t="s">
        <v>913</v>
      </c>
      <c r="G183" s="7" t="s">
        <v>918</v>
      </c>
      <c r="H183" s="7">
        <v>5</v>
      </c>
      <c r="I183" s="7" t="s">
        <v>434</v>
      </c>
      <c r="J183" s="7" t="s">
        <v>919</v>
      </c>
    </row>
    <row r="184" spans="1:10" x14ac:dyDescent="0.3">
      <c r="A184" s="6" t="s">
        <v>920</v>
      </c>
      <c r="B184" s="7" t="s">
        <v>139</v>
      </c>
      <c r="C184" s="7" t="s">
        <v>773</v>
      </c>
      <c r="D184" s="7" t="s">
        <v>16</v>
      </c>
      <c r="E184" s="7" t="s">
        <v>921</v>
      </c>
      <c r="F184" s="7" t="s">
        <v>922</v>
      </c>
      <c r="G184" s="7" t="s">
        <v>923</v>
      </c>
      <c r="H184" s="7">
        <v>2</v>
      </c>
      <c r="I184" s="7" t="s">
        <v>434</v>
      </c>
      <c r="J184" s="7" t="s">
        <v>924</v>
      </c>
    </row>
    <row r="185" spans="1:10" x14ac:dyDescent="0.3">
      <c r="A185" s="6" t="s">
        <v>925</v>
      </c>
      <c r="B185" s="7" t="s">
        <v>139</v>
      </c>
      <c r="C185" s="7" t="s">
        <v>773</v>
      </c>
      <c r="D185" s="7" t="s">
        <v>16</v>
      </c>
      <c r="E185" s="7" t="s">
        <v>921</v>
      </c>
      <c r="F185" s="7" t="s">
        <v>922</v>
      </c>
      <c r="G185" s="7" t="s">
        <v>926</v>
      </c>
      <c r="H185" s="7">
        <v>9</v>
      </c>
      <c r="I185" s="7" t="s">
        <v>682</v>
      </c>
      <c r="J185" s="7" t="s">
        <v>174</v>
      </c>
    </row>
    <row r="186" spans="1:10" x14ac:dyDescent="0.3">
      <c r="A186" s="6" t="s">
        <v>927</v>
      </c>
      <c r="B186" s="7" t="s">
        <v>139</v>
      </c>
      <c r="C186" s="7" t="s">
        <v>773</v>
      </c>
      <c r="D186" s="7" t="s">
        <v>16</v>
      </c>
      <c r="E186" s="7" t="s">
        <v>928</v>
      </c>
      <c r="F186" s="7" t="s">
        <v>929</v>
      </c>
      <c r="G186" s="7" t="s">
        <v>930</v>
      </c>
      <c r="H186" s="7">
        <v>5</v>
      </c>
      <c r="I186" s="7" t="s">
        <v>931</v>
      </c>
      <c r="J186" s="7" t="s">
        <v>932</v>
      </c>
    </row>
    <row r="187" spans="1:10" x14ac:dyDescent="0.3">
      <c r="A187" s="6" t="s">
        <v>933</v>
      </c>
      <c r="B187" s="7" t="s">
        <v>139</v>
      </c>
      <c r="C187" s="7" t="s">
        <v>773</v>
      </c>
      <c r="D187" s="7" t="s">
        <v>16</v>
      </c>
      <c r="E187" s="7" t="s">
        <v>934</v>
      </c>
      <c r="F187" s="7" t="s">
        <v>935</v>
      </c>
      <c r="G187" s="7" t="s">
        <v>936</v>
      </c>
      <c r="H187" s="7">
        <v>12</v>
      </c>
      <c r="I187" s="7" t="s">
        <v>937</v>
      </c>
      <c r="J187" s="7" t="s">
        <v>641</v>
      </c>
    </row>
    <row r="188" spans="1:10" x14ac:dyDescent="0.3">
      <c r="A188" s="6" t="s">
        <v>938</v>
      </c>
      <c r="B188" s="7" t="s">
        <v>139</v>
      </c>
      <c r="C188" s="7" t="s">
        <v>773</v>
      </c>
      <c r="D188" s="7" t="s">
        <v>16</v>
      </c>
      <c r="E188" s="7" t="s">
        <v>934</v>
      </c>
      <c r="F188" s="7" t="s">
        <v>935</v>
      </c>
      <c r="G188" s="7" t="s">
        <v>939</v>
      </c>
      <c r="H188" s="7">
        <v>14</v>
      </c>
      <c r="I188" s="7" t="s">
        <v>940</v>
      </c>
      <c r="J188" s="7" t="s">
        <v>815</v>
      </c>
    </row>
    <row r="189" spans="1:10" x14ac:dyDescent="0.3">
      <c r="A189" s="6" t="s">
        <v>941</v>
      </c>
      <c r="B189" s="7" t="s">
        <v>139</v>
      </c>
      <c r="C189" s="7" t="s">
        <v>773</v>
      </c>
      <c r="D189" s="7" t="s">
        <v>16</v>
      </c>
      <c r="E189" s="7" t="s">
        <v>942</v>
      </c>
      <c r="F189" s="7" t="s">
        <v>943</v>
      </c>
      <c r="G189" s="7" t="s">
        <v>944</v>
      </c>
      <c r="H189" s="7">
        <v>7</v>
      </c>
      <c r="I189" s="7" t="s">
        <v>678</v>
      </c>
      <c r="J189" s="7" t="s">
        <v>945</v>
      </c>
    </row>
    <row r="190" spans="1:10" x14ac:dyDescent="0.3">
      <c r="A190" s="6" t="s">
        <v>946</v>
      </c>
      <c r="B190" s="7" t="s">
        <v>139</v>
      </c>
      <c r="C190" s="7" t="s">
        <v>773</v>
      </c>
      <c r="D190" s="7" t="s">
        <v>16</v>
      </c>
      <c r="E190" s="7" t="s">
        <v>947</v>
      </c>
      <c r="F190" s="7" t="s">
        <v>948</v>
      </c>
      <c r="G190" s="7" t="s">
        <v>949</v>
      </c>
      <c r="H190" s="7"/>
      <c r="I190" s="7" t="s">
        <v>325</v>
      </c>
      <c r="J190" s="7" t="s">
        <v>950</v>
      </c>
    </row>
    <row r="191" spans="1:10" x14ac:dyDescent="0.3">
      <c r="A191" s="6" t="s">
        <v>951</v>
      </c>
      <c r="B191" s="7" t="s">
        <v>139</v>
      </c>
      <c r="C191" s="7" t="s">
        <v>773</v>
      </c>
      <c r="D191" s="7" t="s">
        <v>16</v>
      </c>
      <c r="E191" s="7" t="s">
        <v>952</v>
      </c>
      <c r="F191" s="7" t="s">
        <v>953</v>
      </c>
      <c r="G191" s="7" t="s">
        <v>954</v>
      </c>
      <c r="H191" s="7">
        <v>3</v>
      </c>
      <c r="I191" s="7" t="s">
        <v>955</v>
      </c>
      <c r="J191" s="7" t="s">
        <v>385</v>
      </c>
    </row>
    <row r="192" spans="1:10" x14ac:dyDescent="0.3">
      <c r="A192" s="6" t="s">
        <v>956</v>
      </c>
      <c r="B192" s="7" t="s">
        <v>139</v>
      </c>
      <c r="C192" s="7" t="s">
        <v>773</v>
      </c>
      <c r="D192" s="7" t="s">
        <v>16</v>
      </c>
      <c r="E192" s="7" t="s">
        <v>952</v>
      </c>
      <c r="F192" s="7" t="s">
        <v>953</v>
      </c>
      <c r="G192" s="7" t="s">
        <v>957</v>
      </c>
      <c r="H192" s="7">
        <v>1</v>
      </c>
      <c r="I192" s="7" t="s">
        <v>958</v>
      </c>
      <c r="J192" s="7" t="s">
        <v>174</v>
      </c>
    </row>
    <row r="193" spans="1:10" x14ac:dyDescent="0.3">
      <c r="A193" s="6" t="s">
        <v>959</v>
      </c>
      <c r="B193" s="7" t="s">
        <v>139</v>
      </c>
      <c r="C193" s="7" t="s">
        <v>773</v>
      </c>
      <c r="D193" s="7" t="s">
        <v>16</v>
      </c>
      <c r="E193" s="7" t="s">
        <v>952</v>
      </c>
      <c r="F193" s="7" t="s">
        <v>953</v>
      </c>
      <c r="G193" s="7" t="s">
        <v>960</v>
      </c>
      <c r="H193" s="7"/>
      <c r="I193" s="7" t="s">
        <v>961</v>
      </c>
      <c r="J193" s="7" t="s">
        <v>962</v>
      </c>
    </row>
    <row r="194" spans="1:10" x14ac:dyDescent="0.3">
      <c r="A194" s="6" t="s">
        <v>963</v>
      </c>
      <c r="B194" s="7" t="s">
        <v>139</v>
      </c>
      <c r="C194" s="7" t="s">
        <v>773</v>
      </c>
      <c r="D194" s="7" t="s">
        <v>16</v>
      </c>
      <c r="E194" s="7" t="s">
        <v>964</v>
      </c>
      <c r="F194" s="7" t="s">
        <v>965</v>
      </c>
      <c r="G194" s="7" t="s">
        <v>966</v>
      </c>
      <c r="H194" s="7">
        <v>2</v>
      </c>
      <c r="I194" s="7" t="s">
        <v>967</v>
      </c>
      <c r="J194" s="7" t="s">
        <v>968</v>
      </c>
    </row>
    <row r="195" spans="1:10" x14ac:dyDescent="0.3">
      <c r="A195" s="6" t="s">
        <v>969</v>
      </c>
      <c r="B195" s="7" t="s">
        <v>139</v>
      </c>
      <c r="C195" s="7" t="s">
        <v>773</v>
      </c>
      <c r="D195" s="7" t="s">
        <v>16</v>
      </c>
      <c r="E195" s="7" t="s">
        <v>970</v>
      </c>
      <c r="F195" s="7" t="s">
        <v>971</v>
      </c>
      <c r="G195" s="7" t="s">
        <v>972</v>
      </c>
      <c r="H195" s="7"/>
      <c r="I195" s="7" t="s">
        <v>237</v>
      </c>
      <c r="J195" s="7" t="s">
        <v>174</v>
      </c>
    </row>
    <row r="196" spans="1:10" x14ac:dyDescent="0.3">
      <c r="A196" s="6" t="s">
        <v>973</v>
      </c>
      <c r="B196" s="7" t="s">
        <v>139</v>
      </c>
      <c r="C196" s="7" t="s">
        <v>773</v>
      </c>
      <c r="D196" s="7" t="s">
        <v>16</v>
      </c>
      <c r="E196" s="7" t="s">
        <v>974</v>
      </c>
      <c r="F196" s="7" t="s">
        <v>975</v>
      </c>
      <c r="G196" s="7" t="s">
        <v>976</v>
      </c>
      <c r="H196" s="7">
        <v>16</v>
      </c>
      <c r="I196" s="7" t="s">
        <v>153</v>
      </c>
      <c r="J196" s="7" t="s">
        <v>174</v>
      </c>
    </row>
    <row r="197" spans="1:10" x14ac:dyDescent="0.3">
      <c r="A197" s="6" t="s">
        <v>977</v>
      </c>
      <c r="B197" s="7" t="s">
        <v>139</v>
      </c>
      <c r="C197" s="7" t="s">
        <v>773</v>
      </c>
      <c r="D197" s="7" t="s">
        <v>16</v>
      </c>
      <c r="E197" s="7" t="s">
        <v>978</v>
      </c>
      <c r="F197" s="7" t="s">
        <v>979</v>
      </c>
      <c r="G197" s="7" t="s">
        <v>980</v>
      </c>
      <c r="H197" s="7">
        <v>8</v>
      </c>
      <c r="I197" s="7" t="s">
        <v>207</v>
      </c>
      <c r="J197" s="7" t="s">
        <v>169</v>
      </c>
    </row>
    <row r="198" spans="1:10" x14ac:dyDescent="0.3">
      <c r="A198" s="6" t="s">
        <v>981</v>
      </c>
      <c r="B198" s="7" t="s">
        <v>139</v>
      </c>
      <c r="C198" s="7" t="s">
        <v>773</v>
      </c>
      <c r="D198" s="7" t="s">
        <v>16</v>
      </c>
      <c r="E198" s="7" t="s">
        <v>982</v>
      </c>
      <c r="F198" s="7" t="s">
        <v>983</v>
      </c>
      <c r="G198" s="7" t="s">
        <v>984</v>
      </c>
      <c r="H198" s="7"/>
      <c r="I198" s="7" t="s">
        <v>805</v>
      </c>
      <c r="J198" s="7" t="s">
        <v>197</v>
      </c>
    </row>
    <row r="199" spans="1:10" x14ac:dyDescent="0.3">
      <c r="A199" s="6" t="s">
        <v>985</v>
      </c>
      <c r="B199" s="7" t="s">
        <v>139</v>
      </c>
      <c r="C199" s="7" t="s">
        <v>773</v>
      </c>
      <c r="D199" s="7" t="s">
        <v>16</v>
      </c>
      <c r="E199" s="7" t="s">
        <v>986</v>
      </c>
      <c r="F199" s="7" t="s">
        <v>987</v>
      </c>
      <c r="G199" s="7" t="s">
        <v>988</v>
      </c>
      <c r="H199" s="7"/>
      <c r="I199" s="7" t="s">
        <v>989</v>
      </c>
      <c r="J199" s="7" t="s">
        <v>990</v>
      </c>
    </row>
    <row r="200" spans="1:10" x14ac:dyDescent="0.3">
      <c r="A200" s="6" t="s">
        <v>991</v>
      </c>
      <c r="B200" s="7" t="s">
        <v>139</v>
      </c>
      <c r="C200" s="7" t="s">
        <v>773</v>
      </c>
      <c r="D200" s="7" t="s">
        <v>16</v>
      </c>
      <c r="E200" s="7" t="s">
        <v>992</v>
      </c>
      <c r="F200" s="7" t="s">
        <v>475</v>
      </c>
      <c r="G200" s="7" t="s">
        <v>993</v>
      </c>
      <c r="H200" s="7">
        <v>35</v>
      </c>
      <c r="I200" s="7" t="s">
        <v>994</v>
      </c>
      <c r="J200" s="7" t="s">
        <v>995</v>
      </c>
    </row>
    <row r="201" spans="1:10" x14ac:dyDescent="0.3">
      <c r="A201" s="6" t="s">
        <v>996</v>
      </c>
      <c r="B201" s="7" t="s">
        <v>139</v>
      </c>
      <c r="C201" s="7" t="s">
        <v>773</v>
      </c>
      <c r="D201" s="7" t="s">
        <v>16</v>
      </c>
      <c r="E201" s="7" t="s">
        <v>997</v>
      </c>
      <c r="F201" s="7" t="s">
        <v>998</v>
      </c>
      <c r="G201" s="7" t="s">
        <v>999</v>
      </c>
      <c r="H201" s="7">
        <v>18</v>
      </c>
      <c r="I201" s="7" t="s">
        <v>805</v>
      </c>
      <c r="J201" s="7" t="s">
        <v>197</v>
      </c>
    </row>
    <row r="202" spans="1:10" x14ac:dyDescent="0.3">
      <c r="A202" s="6" t="s">
        <v>1000</v>
      </c>
      <c r="B202" s="7" t="s">
        <v>139</v>
      </c>
      <c r="C202" s="7" t="s">
        <v>773</v>
      </c>
      <c r="D202" s="7" t="s">
        <v>16</v>
      </c>
      <c r="E202" s="7" t="s">
        <v>1001</v>
      </c>
      <c r="F202" s="7" t="s">
        <v>1002</v>
      </c>
      <c r="G202" s="7" t="s">
        <v>1003</v>
      </c>
      <c r="H202" s="7">
        <v>15</v>
      </c>
      <c r="I202" s="7" t="s">
        <v>1004</v>
      </c>
      <c r="J202" s="7" t="s">
        <v>493</v>
      </c>
    </row>
    <row r="203" spans="1:10" x14ac:dyDescent="0.3">
      <c r="A203" s="6" t="s">
        <v>1005</v>
      </c>
      <c r="B203" s="7" t="s">
        <v>139</v>
      </c>
      <c r="C203" s="7" t="s">
        <v>773</v>
      </c>
      <c r="D203" s="7" t="s">
        <v>16</v>
      </c>
      <c r="E203" s="7" t="s">
        <v>1006</v>
      </c>
      <c r="F203" s="7" t="s">
        <v>1007</v>
      </c>
      <c r="G203" s="7" t="s">
        <v>1008</v>
      </c>
      <c r="H203" s="7">
        <v>14</v>
      </c>
      <c r="I203" s="7" t="s">
        <v>1009</v>
      </c>
      <c r="J203" s="7" t="s">
        <v>584</v>
      </c>
    </row>
    <row r="204" spans="1:10" x14ac:dyDescent="0.3">
      <c r="A204" s="6" t="s">
        <v>1010</v>
      </c>
      <c r="B204" s="7" t="s">
        <v>139</v>
      </c>
      <c r="C204" s="7" t="s">
        <v>773</v>
      </c>
      <c r="D204" s="7" t="s">
        <v>16</v>
      </c>
      <c r="E204" s="7" t="s">
        <v>1011</v>
      </c>
      <c r="F204" s="7" t="s">
        <v>507</v>
      </c>
      <c r="G204" s="7" t="s">
        <v>100</v>
      </c>
      <c r="H204" s="7">
        <v>85</v>
      </c>
      <c r="I204" s="7" t="s">
        <v>87</v>
      </c>
      <c r="J204" s="7" t="s">
        <v>419</v>
      </c>
    </row>
    <row r="205" spans="1:10" x14ac:dyDescent="0.3">
      <c r="A205" s="6" t="s">
        <v>1012</v>
      </c>
      <c r="B205" s="7" t="s">
        <v>139</v>
      </c>
      <c r="C205" s="7" t="s">
        <v>773</v>
      </c>
      <c r="D205" s="7" t="s">
        <v>16</v>
      </c>
      <c r="E205" s="7" t="s">
        <v>1013</v>
      </c>
      <c r="F205" s="7" t="s">
        <v>510</v>
      </c>
      <c r="G205" s="7" t="s">
        <v>100</v>
      </c>
      <c r="H205" s="7">
        <v>23</v>
      </c>
      <c r="I205" s="7" t="s">
        <v>87</v>
      </c>
      <c r="J205" s="7" t="s">
        <v>419</v>
      </c>
    </row>
    <row r="206" spans="1:10" x14ac:dyDescent="0.3">
      <c r="A206" s="6" t="s">
        <v>1014</v>
      </c>
      <c r="B206" s="7" t="s">
        <v>139</v>
      </c>
      <c r="C206" s="7" t="s">
        <v>773</v>
      </c>
      <c r="D206" s="7" t="s">
        <v>16</v>
      </c>
      <c r="E206" s="7" t="s">
        <v>1015</v>
      </c>
      <c r="F206" s="7" t="s">
        <v>1016</v>
      </c>
      <c r="G206" s="7" t="s">
        <v>1017</v>
      </c>
      <c r="H206" s="7">
        <v>6</v>
      </c>
      <c r="I206" s="7" t="s">
        <v>1018</v>
      </c>
      <c r="J206" s="7" t="s">
        <v>391</v>
      </c>
    </row>
    <row r="207" spans="1:10" x14ac:dyDescent="0.3">
      <c r="A207" s="6" t="s">
        <v>1019</v>
      </c>
      <c r="B207" s="7" t="s">
        <v>139</v>
      </c>
      <c r="C207" s="7" t="s">
        <v>773</v>
      </c>
      <c r="D207" s="7" t="s">
        <v>16</v>
      </c>
      <c r="E207" s="7" t="s">
        <v>1015</v>
      </c>
      <c r="F207" s="7" t="s">
        <v>1016</v>
      </c>
      <c r="G207" s="7" t="s">
        <v>1020</v>
      </c>
      <c r="H207" s="7">
        <v>2</v>
      </c>
      <c r="I207" s="7" t="s">
        <v>1021</v>
      </c>
      <c r="J207" s="7" t="s">
        <v>1022</v>
      </c>
    </row>
    <row r="208" spans="1:10" x14ac:dyDescent="0.3">
      <c r="A208" s="6" t="s">
        <v>1023</v>
      </c>
      <c r="B208" s="7" t="s">
        <v>139</v>
      </c>
      <c r="C208" s="7" t="s">
        <v>773</v>
      </c>
      <c r="D208" s="7" t="s">
        <v>16</v>
      </c>
      <c r="E208" s="7" t="s">
        <v>1015</v>
      </c>
      <c r="F208" s="7" t="s">
        <v>1016</v>
      </c>
      <c r="G208" s="7" t="s">
        <v>1024</v>
      </c>
      <c r="H208" s="7">
        <v>1</v>
      </c>
      <c r="I208" s="7" t="s">
        <v>697</v>
      </c>
      <c r="J208" s="7" t="s">
        <v>1025</v>
      </c>
    </row>
    <row r="209" spans="1:10" x14ac:dyDescent="0.3">
      <c r="A209" s="6" t="s">
        <v>1026</v>
      </c>
      <c r="B209" s="7" t="s">
        <v>139</v>
      </c>
      <c r="C209" s="7" t="s">
        <v>773</v>
      </c>
      <c r="D209" s="7" t="s">
        <v>16</v>
      </c>
      <c r="E209" s="7" t="s">
        <v>1027</v>
      </c>
      <c r="F209" s="7" t="s">
        <v>1028</v>
      </c>
      <c r="G209" s="7" t="s">
        <v>1029</v>
      </c>
      <c r="H209" s="7">
        <v>8</v>
      </c>
      <c r="I209" s="7" t="s">
        <v>1030</v>
      </c>
      <c r="J209" s="7" t="s">
        <v>916</v>
      </c>
    </row>
    <row r="210" spans="1:10" x14ac:dyDescent="0.3">
      <c r="A210" s="6" t="s">
        <v>1031</v>
      </c>
      <c r="B210" s="7" t="s">
        <v>139</v>
      </c>
      <c r="C210" s="7" t="s">
        <v>773</v>
      </c>
      <c r="D210" s="7" t="s">
        <v>16</v>
      </c>
      <c r="E210" s="7" t="s">
        <v>1032</v>
      </c>
      <c r="F210" s="7" t="s">
        <v>1033</v>
      </c>
      <c r="G210" s="7" t="s">
        <v>1034</v>
      </c>
      <c r="H210" s="7">
        <v>7</v>
      </c>
      <c r="I210" s="7" t="s">
        <v>1035</v>
      </c>
      <c r="J210" s="7" t="s">
        <v>1036</v>
      </c>
    </row>
    <row r="211" spans="1:10" x14ac:dyDescent="0.3">
      <c r="A211" s="6" t="s">
        <v>1037</v>
      </c>
      <c r="B211" s="7" t="s">
        <v>139</v>
      </c>
      <c r="C211" s="7" t="s">
        <v>773</v>
      </c>
      <c r="D211" s="7" t="s">
        <v>16</v>
      </c>
      <c r="E211" s="7" t="s">
        <v>1038</v>
      </c>
      <c r="F211" s="7" t="s">
        <v>1039</v>
      </c>
      <c r="G211" s="7" t="s">
        <v>1040</v>
      </c>
      <c r="H211" s="7"/>
      <c r="I211" s="7" t="s">
        <v>805</v>
      </c>
      <c r="J211" s="7" t="s">
        <v>806</v>
      </c>
    </row>
    <row r="212" spans="1:10" x14ac:dyDescent="0.3">
      <c r="A212" s="6" t="s">
        <v>1041</v>
      </c>
      <c r="B212" s="7" t="s">
        <v>139</v>
      </c>
      <c r="C212" s="7" t="s">
        <v>773</v>
      </c>
      <c r="D212" s="7" t="s">
        <v>16</v>
      </c>
      <c r="E212" s="7" t="s">
        <v>1038</v>
      </c>
      <c r="F212" s="7" t="s">
        <v>1039</v>
      </c>
      <c r="G212" s="7" t="s">
        <v>1042</v>
      </c>
      <c r="H212" s="7"/>
      <c r="I212" s="7"/>
      <c r="J212" s="7"/>
    </row>
    <row r="213" spans="1:10" x14ac:dyDescent="0.3">
      <c r="A213" s="6" t="s">
        <v>1043</v>
      </c>
      <c r="B213" s="7" t="s">
        <v>139</v>
      </c>
      <c r="C213" s="7" t="s">
        <v>773</v>
      </c>
      <c r="D213" s="7" t="s">
        <v>16</v>
      </c>
      <c r="E213" s="7" t="s">
        <v>1044</v>
      </c>
      <c r="F213" s="7" t="s">
        <v>1045</v>
      </c>
      <c r="G213" s="7" t="s">
        <v>1046</v>
      </c>
      <c r="H213" s="7">
        <v>5</v>
      </c>
      <c r="I213" s="7" t="s">
        <v>1047</v>
      </c>
      <c r="J213" s="7" t="s">
        <v>174</v>
      </c>
    </row>
    <row r="214" spans="1:10" x14ac:dyDescent="0.3">
      <c r="A214" s="6" t="s">
        <v>1048</v>
      </c>
      <c r="B214" s="7" t="s">
        <v>139</v>
      </c>
      <c r="C214" s="7" t="s">
        <v>773</v>
      </c>
      <c r="D214" s="7" t="s">
        <v>16</v>
      </c>
      <c r="E214" s="7" t="s">
        <v>1049</v>
      </c>
      <c r="F214" s="7" t="s">
        <v>1050</v>
      </c>
      <c r="G214" s="7" t="s">
        <v>1051</v>
      </c>
      <c r="H214" s="7"/>
      <c r="I214" s="7" t="s">
        <v>805</v>
      </c>
      <c r="J214" s="7" t="s">
        <v>355</v>
      </c>
    </row>
    <row r="215" spans="1:10" x14ac:dyDescent="0.3">
      <c r="A215" s="6" t="s">
        <v>1052</v>
      </c>
      <c r="B215" s="7" t="s">
        <v>139</v>
      </c>
      <c r="C215" s="7" t="s">
        <v>773</v>
      </c>
      <c r="D215" s="7" t="s">
        <v>16</v>
      </c>
      <c r="E215" s="7" t="s">
        <v>1053</v>
      </c>
      <c r="F215" s="7" t="s">
        <v>1054</v>
      </c>
      <c r="G215" s="7" t="s">
        <v>1055</v>
      </c>
      <c r="H215" s="7">
        <v>3</v>
      </c>
      <c r="I215" s="7" t="s">
        <v>1056</v>
      </c>
      <c r="J215" s="7" t="s">
        <v>174</v>
      </c>
    </row>
    <row r="216" spans="1:10" x14ac:dyDescent="0.3">
      <c r="A216" s="6" t="s">
        <v>1057</v>
      </c>
      <c r="B216" s="7" t="s">
        <v>139</v>
      </c>
      <c r="C216" s="7" t="s">
        <v>773</v>
      </c>
      <c r="D216" s="7" t="s">
        <v>16</v>
      </c>
      <c r="E216" s="7" t="s">
        <v>1053</v>
      </c>
      <c r="F216" s="7" t="s">
        <v>1054</v>
      </c>
      <c r="G216" s="7" t="s">
        <v>1058</v>
      </c>
      <c r="H216" s="7">
        <v>3</v>
      </c>
      <c r="I216" s="7" t="s">
        <v>626</v>
      </c>
      <c r="J216" s="7" t="s">
        <v>174</v>
      </c>
    </row>
    <row r="217" spans="1:10" x14ac:dyDescent="0.3">
      <c r="A217" s="6" t="s">
        <v>1059</v>
      </c>
      <c r="B217" s="7" t="s">
        <v>139</v>
      </c>
      <c r="C217" s="7" t="s">
        <v>773</v>
      </c>
      <c r="D217" s="7" t="s">
        <v>16</v>
      </c>
      <c r="E217" s="7" t="s">
        <v>1060</v>
      </c>
      <c r="F217" s="7" t="s">
        <v>1061</v>
      </c>
      <c r="G217" s="7" t="s">
        <v>1062</v>
      </c>
      <c r="H217" s="7">
        <v>2</v>
      </c>
      <c r="I217" s="7" t="s">
        <v>1063</v>
      </c>
      <c r="J217" s="7" t="s">
        <v>174</v>
      </c>
    </row>
    <row r="218" spans="1:10" x14ac:dyDescent="0.3">
      <c r="A218" s="6" t="s">
        <v>1064</v>
      </c>
      <c r="B218" s="7" t="s">
        <v>139</v>
      </c>
      <c r="C218" s="7" t="s">
        <v>773</v>
      </c>
      <c r="D218" s="7" t="s">
        <v>16</v>
      </c>
      <c r="E218" s="7" t="s">
        <v>1060</v>
      </c>
      <c r="F218" s="7" t="s">
        <v>1061</v>
      </c>
      <c r="G218" s="7" t="s">
        <v>1065</v>
      </c>
      <c r="H218" s="7"/>
      <c r="I218" s="7" t="s">
        <v>1066</v>
      </c>
      <c r="J218" s="7" t="s">
        <v>385</v>
      </c>
    </row>
    <row r="219" spans="1:10" x14ac:dyDescent="0.3">
      <c r="A219" s="6" t="s">
        <v>1067</v>
      </c>
      <c r="B219" s="7" t="s">
        <v>139</v>
      </c>
      <c r="C219" s="7" t="s">
        <v>773</v>
      </c>
      <c r="D219" s="7" t="s">
        <v>16</v>
      </c>
      <c r="E219" s="7" t="s">
        <v>1068</v>
      </c>
      <c r="F219" s="7" t="s">
        <v>1069</v>
      </c>
      <c r="G219" s="7" t="s">
        <v>1070</v>
      </c>
      <c r="H219" s="7">
        <v>11</v>
      </c>
      <c r="I219" s="7" t="s">
        <v>396</v>
      </c>
      <c r="J219" s="7" t="s">
        <v>485</v>
      </c>
    </row>
    <row r="220" spans="1:10" x14ac:dyDescent="0.3">
      <c r="A220" s="6" t="s">
        <v>1071</v>
      </c>
      <c r="B220" s="7" t="s">
        <v>139</v>
      </c>
      <c r="C220" s="7" t="s">
        <v>773</v>
      </c>
      <c r="D220" s="7" t="s">
        <v>16</v>
      </c>
      <c r="E220" s="7" t="s">
        <v>1068</v>
      </c>
      <c r="F220" s="7" t="s">
        <v>1069</v>
      </c>
      <c r="G220" s="7" t="s">
        <v>1072</v>
      </c>
      <c r="H220" s="7">
        <v>8</v>
      </c>
      <c r="I220" s="7" t="s">
        <v>583</v>
      </c>
      <c r="J220" s="7" t="s">
        <v>1073</v>
      </c>
    </row>
    <row r="221" spans="1:10" x14ac:dyDescent="0.3">
      <c r="A221" s="6" t="s">
        <v>1074</v>
      </c>
      <c r="B221" s="7" t="s">
        <v>139</v>
      </c>
      <c r="C221" s="7" t="s">
        <v>773</v>
      </c>
      <c r="D221" s="7" t="s">
        <v>16</v>
      </c>
      <c r="E221" s="7" t="s">
        <v>1075</v>
      </c>
      <c r="F221" s="7" t="s">
        <v>1076</v>
      </c>
      <c r="G221" s="7" t="s">
        <v>1077</v>
      </c>
      <c r="H221" s="7">
        <v>2</v>
      </c>
      <c r="I221" s="7" t="s">
        <v>340</v>
      </c>
      <c r="J221" s="7" t="s">
        <v>1078</v>
      </c>
    </row>
    <row r="222" spans="1:10" x14ac:dyDescent="0.3">
      <c r="A222" s="6" t="s">
        <v>1079</v>
      </c>
      <c r="B222" s="7" t="s">
        <v>139</v>
      </c>
      <c r="C222" s="7" t="s">
        <v>773</v>
      </c>
      <c r="D222" s="7" t="s">
        <v>16</v>
      </c>
      <c r="E222" s="7" t="s">
        <v>1080</v>
      </c>
      <c r="F222" s="7" t="s">
        <v>1081</v>
      </c>
      <c r="G222" s="7" t="s">
        <v>1082</v>
      </c>
      <c r="H222" s="7">
        <v>6</v>
      </c>
      <c r="I222" s="7" t="s">
        <v>1083</v>
      </c>
      <c r="J222" s="7" t="s">
        <v>1084</v>
      </c>
    </row>
    <row r="223" spans="1:10" x14ac:dyDescent="0.3">
      <c r="A223" s="6" t="s">
        <v>1085</v>
      </c>
      <c r="B223" s="7" t="s">
        <v>139</v>
      </c>
      <c r="C223" s="7" t="s">
        <v>773</v>
      </c>
      <c r="D223" s="7" t="s">
        <v>16</v>
      </c>
      <c r="E223" s="7" t="s">
        <v>1086</v>
      </c>
      <c r="F223" s="7" t="s">
        <v>1087</v>
      </c>
      <c r="G223" s="7" t="s">
        <v>1088</v>
      </c>
      <c r="H223" s="7"/>
      <c r="I223" s="7" t="s">
        <v>396</v>
      </c>
      <c r="J223" s="7" t="s">
        <v>1089</v>
      </c>
    </row>
    <row r="224" spans="1:10" x14ac:dyDescent="0.3">
      <c r="A224" s="6" t="s">
        <v>1090</v>
      </c>
      <c r="B224" s="7" t="s">
        <v>139</v>
      </c>
      <c r="C224" s="7" t="s">
        <v>773</v>
      </c>
      <c r="D224" s="7" t="s">
        <v>16</v>
      </c>
      <c r="E224" s="7" t="s">
        <v>1086</v>
      </c>
      <c r="F224" s="7" t="s">
        <v>1087</v>
      </c>
      <c r="G224" s="7" t="s">
        <v>1091</v>
      </c>
      <c r="H224" s="7">
        <v>2</v>
      </c>
      <c r="I224" s="7" t="s">
        <v>1092</v>
      </c>
      <c r="J224" s="7" t="s">
        <v>144</v>
      </c>
    </row>
    <row r="225" spans="1:10" x14ac:dyDescent="0.3">
      <c r="A225" s="6" t="s">
        <v>1093</v>
      </c>
      <c r="B225" s="7" t="s">
        <v>139</v>
      </c>
      <c r="C225" s="7" t="s">
        <v>773</v>
      </c>
      <c r="D225" s="7" t="s">
        <v>16</v>
      </c>
      <c r="E225" s="7" t="s">
        <v>1086</v>
      </c>
      <c r="F225" s="7" t="s">
        <v>1087</v>
      </c>
      <c r="G225" s="7" t="s">
        <v>1094</v>
      </c>
      <c r="H225" s="7">
        <v>5</v>
      </c>
      <c r="I225" s="7" t="s">
        <v>430</v>
      </c>
      <c r="J225" s="7" t="s">
        <v>617</v>
      </c>
    </row>
    <row r="226" spans="1:10" x14ac:dyDescent="0.3">
      <c r="A226" s="6" t="s">
        <v>1095</v>
      </c>
      <c r="B226" s="7" t="s">
        <v>139</v>
      </c>
      <c r="C226" s="7" t="s">
        <v>773</v>
      </c>
      <c r="D226" s="7" t="s">
        <v>16</v>
      </c>
      <c r="E226" s="7" t="s">
        <v>1086</v>
      </c>
      <c r="F226" s="7" t="s">
        <v>1087</v>
      </c>
      <c r="G226" s="7" t="s">
        <v>1096</v>
      </c>
      <c r="H226" s="7">
        <v>2</v>
      </c>
      <c r="I226" s="7" t="s">
        <v>1097</v>
      </c>
      <c r="J226" s="7" t="s">
        <v>422</v>
      </c>
    </row>
    <row r="227" spans="1:10" x14ac:dyDescent="0.3">
      <c r="A227" s="6" t="s">
        <v>1098</v>
      </c>
      <c r="B227" s="7" t="s">
        <v>139</v>
      </c>
      <c r="C227" s="7" t="s">
        <v>773</v>
      </c>
      <c r="D227" s="7" t="s">
        <v>16</v>
      </c>
      <c r="E227" s="7" t="s">
        <v>1086</v>
      </c>
      <c r="F227" s="7" t="s">
        <v>1087</v>
      </c>
      <c r="G227" s="7" t="s">
        <v>1099</v>
      </c>
      <c r="H227" s="7"/>
      <c r="I227" s="7" t="s">
        <v>1100</v>
      </c>
      <c r="J227" s="7" t="s">
        <v>737</v>
      </c>
    </row>
    <row r="228" spans="1:10" x14ac:dyDescent="0.3">
      <c r="A228" s="6" t="s">
        <v>1101</v>
      </c>
      <c r="B228" s="7" t="s">
        <v>139</v>
      </c>
      <c r="C228" s="7" t="s">
        <v>773</v>
      </c>
      <c r="D228" s="7" t="s">
        <v>16</v>
      </c>
      <c r="E228" s="7" t="s">
        <v>1102</v>
      </c>
      <c r="F228" s="7" t="s">
        <v>1103</v>
      </c>
      <c r="G228" s="7" t="s">
        <v>1104</v>
      </c>
      <c r="H228" s="7">
        <v>11</v>
      </c>
      <c r="I228" s="7" t="s">
        <v>1105</v>
      </c>
      <c r="J228" s="7" t="s">
        <v>1106</v>
      </c>
    </row>
    <row r="229" spans="1:10" x14ac:dyDescent="0.3">
      <c r="A229" s="6" t="s">
        <v>1107</v>
      </c>
      <c r="B229" s="7" t="s">
        <v>139</v>
      </c>
      <c r="C229" s="7" t="s">
        <v>773</v>
      </c>
      <c r="D229" s="7" t="s">
        <v>16</v>
      </c>
      <c r="E229" s="7" t="s">
        <v>1102</v>
      </c>
      <c r="F229" s="7" t="s">
        <v>1103</v>
      </c>
      <c r="G229" s="7" t="s">
        <v>1108</v>
      </c>
      <c r="H229" s="7">
        <v>7</v>
      </c>
      <c r="I229" s="7" t="s">
        <v>349</v>
      </c>
      <c r="J229" s="7" t="s">
        <v>234</v>
      </c>
    </row>
    <row r="230" spans="1:10" x14ac:dyDescent="0.3">
      <c r="A230" s="6" t="s">
        <v>1109</v>
      </c>
      <c r="B230" s="7" t="s">
        <v>139</v>
      </c>
      <c r="C230" s="7" t="s">
        <v>773</v>
      </c>
      <c r="D230" s="7" t="s">
        <v>16</v>
      </c>
      <c r="E230" s="7" t="s">
        <v>1110</v>
      </c>
      <c r="F230" s="7" t="s">
        <v>1111</v>
      </c>
      <c r="G230" s="7" t="s">
        <v>1046</v>
      </c>
      <c r="H230" s="7">
        <v>8</v>
      </c>
      <c r="I230" s="7" t="s">
        <v>1112</v>
      </c>
      <c r="J230" s="7"/>
    </row>
    <row r="231" spans="1:10" x14ac:dyDescent="0.3">
      <c r="A231" s="6" t="s">
        <v>1113</v>
      </c>
      <c r="B231" s="7" t="s">
        <v>139</v>
      </c>
      <c r="C231" s="7" t="s">
        <v>773</v>
      </c>
      <c r="D231" s="7" t="s">
        <v>16</v>
      </c>
      <c r="E231" s="7" t="s">
        <v>1114</v>
      </c>
      <c r="F231" s="7" t="s">
        <v>1115</v>
      </c>
      <c r="G231" s="7" t="s">
        <v>1116</v>
      </c>
      <c r="H231" s="7">
        <v>5</v>
      </c>
      <c r="I231" s="7" t="s">
        <v>498</v>
      </c>
      <c r="J231" s="7" t="s">
        <v>1117</v>
      </c>
    </row>
    <row r="232" spans="1:10" x14ac:dyDescent="0.3">
      <c r="A232" s="6" t="s">
        <v>1118</v>
      </c>
      <c r="B232" s="7" t="s">
        <v>139</v>
      </c>
      <c r="C232" s="7" t="s">
        <v>773</v>
      </c>
      <c r="D232" s="7" t="s">
        <v>16</v>
      </c>
      <c r="E232" s="7" t="s">
        <v>1119</v>
      </c>
      <c r="F232" s="7" t="s">
        <v>1120</v>
      </c>
      <c r="G232" s="7" t="s">
        <v>1121</v>
      </c>
      <c r="H232" s="7">
        <v>1</v>
      </c>
      <c r="I232" s="7" t="s">
        <v>876</v>
      </c>
      <c r="J232" s="7" t="s">
        <v>1122</v>
      </c>
    </row>
    <row r="233" spans="1:10" x14ac:dyDescent="0.3">
      <c r="A233" s="6" t="s">
        <v>1123</v>
      </c>
      <c r="B233" s="7" t="s">
        <v>139</v>
      </c>
      <c r="C233" s="7" t="s">
        <v>773</v>
      </c>
      <c r="D233" s="7" t="s">
        <v>16</v>
      </c>
      <c r="E233" s="7" t="s">
        <v>1124</v>
      </c>
      <c r="F233" s="7" t="s">
        <v>1125</v>
      </c>
      <c r="G233" s="7" t="s">
        <v>1126</v>
      </c>
      <c r="H233" s="7">
        <v>1</v>
      </c>
      <c r="I233" s="7" t="s">
        <v>876</v>
      </c>
      <c r="J233" s="7" t="s">
        <v>1122</v>
      </c>
    </row>
    <row r="234" spans="1:10" x14ac:dyDescent="0.3">
      <c r="A234" s="6" t="s">
        <v>1127</v>
      </c>
      <c r="B234" s="7" t="s">
        <v>139</v>
      </c>
      <c r="C234" s="7" t="s">
        <v>773</v>
      </c>
      <c r="D234" s="7" t="s">
        <v>16</v>
      </c>
      <c r="E234" s="7" t="s">
        <v>1128</v>
      </c>
      <c r="F234" s="7" t="s">
        <v>1129</v>
      </c>
      <c r="G234" s="7" t="s">
        <v>1130</v>
      </c>
      <c r="H234" s="7">
        <v>14</v>
      </c>
      <c r="I234" s="7"/>
      <c r="J234" s="7" t="s">
        <v>452</v>
      </c>
    </row>
    <row r="235" spans="1:10" x14ac:dyDescent="0.3">
      <c r="A235" s="6" t="s">
        <v>1131</v>
      </c>
      <c r="B235" s="7" t="s">
        <v>139</v>
      </c>
      <c r="C235" s="7" t="s">
        <v>773</v>
      </c>
      <c r="D235" s="7" t="s">
        <v>16</v>
      </c>
      <c r="E235" s="7" t="s">
        <v>1128</v>
      </c>
      <c r="F235" s="7" t="s">
        <v>1129</v>
      </c>
      <c r="G235" s="7" t="s">
        <v>1132</v>
      </c>
      <c r="H235" s="7">
        <v>6</v>
      </c>
      <c r="I235" s="7" t="s">
        <v>1133</v>
      </c>
      <c r="J235" s="7" t="s">
        <v>174</v>
      </c>
    </row>
    <row r="236" spans="1:10" x14ac:dyDescent="0.3">
      <c r="A236" s="6" t="s">
        <v>1134</v>
      </c>
      <c r="B236" s="7" t="s">
        <v>139</v>
      </c>
      <c r="C236" s="7" t="s">
        <v>773</v>
      </c>
      <c r="D236" s="7" t="s">
        <v>16</v>
      </c>
      <c r="E236" s="7" t="s">
        <v>1128</v>
      </c>
      <c r="F236" s="7" t="s">
        <v>1129</v>
      </c>
      <c r="G236" s="7" t="s">
        <v>1135</v>
      </c>
      <c r="H236" s="7">
        <v>9</v>
      </c>
      <c r="I236" s="7" t="s">
        <v>415</v>
      </c>
      <c r="J236" s="7" t="s">
        <v>1136</v>
      </c>
    </row>
    <row r="237" spans="1:10" x14ac:dyDescent="0.3">
      <c r="A237" s="6" t="s">
        <v>1137</v>
      </c>
      <c r="B237" s="7" t="s">
        <v>139</v>
      </c>
      <c r="C237" s="7" t="s">
        <v>773</v>
      </c>
      <c r="D237" s="7" t="s">
        <v>16</v>
      </c>
      <c r="E237" s="7" t="s">
        <v>1128</v>
      </c>
      <c r="F237" s="7" t="s">
        <v>1129</v>
      </c>
      <c r="G237" s="7" t="s">
        <v>1138</v>
      </c>
      <c r="H237" s="7"/>
      <c r="I237" s="7" t="s">
        <v>1139</v>
      </c>
      <c r="J237" s="7" t="s">
        <v>262</v>
      </c>
    </row>
    <row r="238" spans="1:10" x14ac:dyDescent="0.3">
      <c r="A238" s="6" t="s">
        <v>1140</v>
      </c>
      <c r="B238" s="7" t="s">
        <v>139</v>
      </c>
      <c r="C238" s="7" t="s">
        <v>773</v>
      </c>
      <c r="D238" s="7" t="s">
        <v>16</v>
      </c>
      <c r="E238" s="7" t="s">
        <v>1141</v>
      </c>
      <c r="F238" s="7" t="s">
        <v>1142</v>
      </c>
      <c r="G238" s="7" t="s">
        <v>1143</v>
      </c>
      <c r="H238" s="7">
        <v>35</v>
      </c>
      <c r="I238" s="7" t="s">
        <v>1092</v>
      </c>
      <c r="J238" s="7" t="s">
        <v>1144</v>
      </c>
    </row>
    <row r="239" spans="1:10" x14ac:dyDescent="0.3">
      <c r="A239" s="6" t="s">
        <v>1145</v>
      </c>
      <c r="B239" s="7" t="s">
        <v>139</v>
      </c>
      <c r="C239" s="7" t="s">
        <v>773</v>
      </c>
      <c r="D239" s="7" t="s">
        <v>16</v>
      </c>
      <c r="E239" s="7" t="s">
        <v>1141</v>
      </c>
      <c r="F239" s="7" t="s">
        <v>1142</v>
      </c>
      <c r="G239" s="7" t="s">
        <v>1146</v>
      </c>
      <c r="H239" s="7">
        <v>11</v>
      </c>
      <c r="I239" s="7" t="s">
        <v>858</v>
      </c>
      <c r="J239" s="7" t="s">
        <v>1147</v>
      </c>
    </row>
    <row r="240" spans="1:10" x14ac:dyDescent="0.3">
      <c r="A240" s="6" t="s">
        <v>1148</v>
      </c>
      <c r="B240" s="7" t="s">
        <v>139</v>
      </c>
      <c r="C240" s="7" t="s">
        <v>773</v>
      </c>
      <c r="D240" s="7" t="s">
        <v>16</v>
      </c>
      <c r="E240" s="7" t="s">
        <v>1149</v>
      </c>
      <c r="F240" s="7" t="s">
        <v>756</v>
      </c>
      <c r="G240" s="7" t="s">
        <v>1150</v>
      </c>
      <c r="H240" s="7">
        <v>3</v>
      </c>
      <c r="I240" s="7" t="s">
        <v>1151</v>
      </c>
      <c r="J240" s="7" t="s">
        <v>174</v>
      </c>
    </row>
    <row r="241" spans="1:10" x14ac:dyDescent="0.3">
      <c r="A241" s="6" t="s">
        <v>1152</v>
      </c>
      <c r="B241" s="7" t="s">
        <v>139</v>
      </c>
      <c r="C241" s="7" t="s">
        <v>773</v>
      </c>
      <c r="D241" s="7" t="s">
        <v>16</v>
      </c>
      <c r="E241" s="7" t="s">
        <v>638</v>
      </c>
      <c r="F241" s="7" t="s">
        <v>764</v>
      </c>
      <c r="G241" s="7" t="s">
        <v>1153</v>
      </c>
      <c r="H241" s="7">
        <v>49</v>
      </c>
      <c r="I241" s="7" t="s">
        <v>1154</v>
      </c>
      <c r="J241" s="7" t="s">
        <v>174</v>
      </c>
    </row>
    <row r="242" spans="1:10" x14ac:dyDescent="0.3">
      <c r="A242" s="6" t="s">
        <v>1155</v>
      </c>
      <c r="B242" s="7" t="s">
        <v>139</v>
      </c>
      <c r="C242" s="7" t="s">
        <v>1156</v>
      </c>
      <c r="D242" s="7" t="s">
        <v>18</v>
      </c>
      <c r="E242" s="7" t="s">
        <v>1157</v>
      </c>
      <c r="F242" s="7" t="s">
        <v>1158</v>
      </c>
      <c r="G242" s="7" t="s">
        <v>1159</v>
      </c>
      <c r="H242" s="7">
        <v>2</v>
      </c>
      <c r="I242" s="7" t="s">
        <v>1160</v>
      </c>
      <c r="J242" s="7" t="s">
        <v>1161</v>
      </c>
    </row>
    <row r="243" spans="1:10" x14ac:dyDescent="0.3">
      <c r="A243" s="6" t="s">
        <v>1162</v>
      </c>
      <c r="B243" s="7" t="s">
        <v>139</v>
      </c>
      <c r="C243" s="7" t="s">
        <v>1156</v>
      </c>
      <c r="D243" s="7" t="s">
        <v>18</v>
      </c>
      <c r="E243" s="7" t="s">
        <v>1163</v>
      </c>
      <c r="F243" s="7" t="s">
        <v>1164</v>
      </c>
      <c r="G243" s="7" t="s">
        <v>1165</v>
      </c>
      <c r="H243" s="7">
        <v>1</v>
      </c>
      <c r="I243" s="7" t="s">
        <v>1166</v>
      </c>
      <c r="J243" s="7" t="s">
        <v>174</v>
      </c>
    </row>
    <row r="244" spans="1:10" x14ac:dyDescent="0.3">
      <c r="A244" s="6" t="s">
        <v>1167</v>
      </c>
      <c r="B244" s="7" t="s">
        <v>139</v>
      </c>
      <c r="C244" s="7" t="s">
        <v>1156</v>
      </c>
      <c r="D244" s="7" t="s">
        <v>18</v>
      </c>
      <c r="E244" s="7" t="s">
        <v>1168</v>
      </c>
      <c r="F244" s="7" t="s">
        <v>218</v>
      </c>
      <c r="G244" s="7" t="s">
        <v>1169</v>
      </c>
      <c r="H244" s="7">
        <v>30</v>
      </c>
      <c r="I244" s="7" t="s">
        <v>1170</v>
      </c>
      <c r="J244" s="7" t="s">
        <v>422</v>
      </c>
    </row>
    <row r="245" spans="1:10" x14ac:dyDescent="0.3">
      <c r="A245" s="6" t="s">
        <v>1171</v>
      </c>
      <c r="B245" s="7" t="s">
        <v>139</v>
      </c>
      <c r="C245" s="7" t="s">
        <v>1156</v>
      </c>
      <c r="D245" s="7" t="s">
        <v>18</v>
      </c>
      <c r="E245" s="7" t="s">
        <v>1172</v>
      </c>
      <c r="F245" s="7" t="s">
        <v>242</v>
      </c>
      <c r="G245" s="7" t="s">
        <v>1173</v>
      </c>
      <c r="H245" s="7">
        <v>38</v>
      </c>
      <c r="I245" s="7" t="s">
        <v>1174</v>
      </c>
      <c r="J245" s="7" t="s">
        <v>243</v>
      </c>
    </row>
    <row r="246" spans="1:10" x14ac:dyDescent="0.3">
      <c r="A246" s="6" t="s">
        <v>1175</v>
      </c>
      <c r="B246" s="7" t="s">
        <v>139</v>
      </c>
      <c r="C246" s="7" t="s">
        <v>1156</v>
      </c>
      <c r="D246" s="7" t="s">
        <v>18</v>
      </c>
      <c r="E246" s="7" t="s">
        <v>795</v>
      </c>
      <c r="F246" s="7" t="s">
        <v>796</v>
      </c>
      <c r="G246" s="7" t="s">
        <v>1176</v>
      </c>
      <c r="H246" s="7">
        <v>26</v>
      </c>
      <c r="I246" s="7" t="s">
        <v>1177</v>
      </c>
      <c r="J246" s="7" t="s">
        <v>1073</v>
      </c>
    </row>
    <row r="247" spans="1:10" x14ac:dyDescent="0.3">
      <c r="A247" s="6" t="s">
        <v>1178</v>
      </c>
      <c r="B247" s="7" t="s">
        <v>139</v>
      </c>
      <c r="C247" s="7" t="s">
        <v>1156</v>
      </c>
      <c r="D247" s="7" t="s">
        <v>18</v>
      </c>
      <c r="E247" s="7" t="s">
        <v>795</v>
      </c>
      <c r="F247" s="7" t="s">
        <v>796</v>
      </c>
      <c r="G247" s="7" t="s">
        <v>1179</v>
      </c>
      <c r="H247" s="7">
        <v>10</v>
      </c>
      <c r="I247" s="7" t="s">
        <v>1180</v>
      </c>
      <c r="J247" s="7" t="s">
        <v>1181</v>
      </c>
    </row>
    <row r="248" spans="1:10" x14ac:dyDescent="0.3">
      <c r="A248" s="6" t="s">
        <v>1182</v>
      </c>
      <c r="B248" s="7" t="s">
        <v>139</v>
      </c>
      <c r="C248" s="7" t="s">
        <v>1156</v>
      </c>
      <c r="D248" s="7" t="s">
        <v>18</v>
      </c>
      <c r="E248" s="7" t="s">
        <v>795</v>
      </c>
      <c r="F248" s="7" t="s">
        <v>796</v>
      </c>
      <c r="G248" s="7" t="s">
        <v>1183</v>
      </c>
      <c r="H248" s="7">
        <v>13</v>
      </c>
      <c r="I248" s="7" t="s">
        <v>1184</v>
      </c>
      <c r="J248" s="7" t="s">
        <v>221</v>
      </c>
    </row>
    <row r="249" spans="1:10" x14ac:dyDescent="0.3">
      <c r="A249" s="6" t="s">
        <v>1185</v>
      </c>
      <c r="B249" s="7" t="s">
        <v>139</v>
      </c>
      <c r="C249" s="7" t="s">
        <v>1156</v>
      </c>
      <c r="D249" s="7" t="s">
        <v>18</v>
      </c>
      <c r="E249" s="7" t="s">
        <v>1186</v>
      </c>
      <c r="F249" s="7" t="s">
        <v>1187</v>
      </c>
      <c r="G249" s="7" t="s">
        <v>1188</v>
      </c>
      <c r="H249" s="7">
        <v>2</v>
      </c>
      <c r="I249" s="7" t="s">
        <v>1189</v>
      </c>
      <c r="J249" s="7" t="s">
        <v>1190</v>
      </c>
    </row>
    <row r="250" spans="1:10" x14ac:dyDescent="0.3">
      <c r="A250" s="6" t="s">
        <v>1191</v>
      </c>
      <c r="B250" s="7" t="s">
        <v>139</v>
      </c>
      <c r="C250" s="7" t="s">
        <v>1156</v>
      </c>
      <c r="D250" s="7" t="s">
        <v>18</v>
      </c>
      <c r="E250" s="7" t="s">
        <v>1192</v>
      </c>
      <c r="F250" s="7" t="s">
        <v>845</v>
      </c>
      <c r="G250" s="7" t="s">
        <v>1193</v>
      </c>
      <c r="H250" s="7">
        <v>12</v>
      </c>
      <c r="I250" s="7" t="s">
        <v>1194</v>
      </c>
      <c r="J250" s="7" t="s">
        <v>630</v>
      </c>
    </row>
    <row r="251" spans="1:10" x14ac:dyDescent="0.3">
      <c r="A251" s="6" t="s">
        <v>1195</v>
      </c>
      <c r="B251" s="7" t="s">
        <v>139</v>
      </c>
      <c r="C251" s="7" t="s">
        <v>1156</v>
      </c>
      <c r="D251" s="7" t="s">
        <v>18</v>
      </c>
      <c r="E251" s="7" t="s">
        <v>1192</v>
      </c>
      <c r="F251" s="7" t="s">
        <v>1196</v>
      </c>
      <c r="G251" s="7" t="s">
        <v>1197</v>
      </c>
      <c r="H251" s="7">
        <v>6</v>
      </c>
      <c r="I251" s="7" t="s">
        <v>1198</v>
      </c>
      <c r="J251" s="7" t="s">
        <v>818</v>
      </c>
    </row>
    <row r="252" spans="1:10" x14ac:dyDescent="0.3">
      <c r="A252" s="6" t="s">
        <v>1199</v>
      </c>
      <c r="B252" s="7" t="s">
        <v>139</v>
      </c>
      <c r="C252" s="7" t="s">
        <v>1156</v>
      </c>
      <c r="D252" s="7" t="s">
        <v>18</v>
      </c>
      <c r="E252" s="7" t="s">
        <v>78</v>
      </c>
      <c r="F252" s="7" t="s">
        <v>290</v>
      </c>
      <c r="G252" s="7" t="s">
        <v>1200</v>
      </c>
      <c r="H252" s="7">
        <v>36</v>
      </c>
      <c r="I252" s="7" t="s">
        <v>1201</v>
      </c>
      <c r="J252" s="7" t="s">
        <v>1202</v>
      </c>
    </row>
    <row r="253" spans="1:10" x14ac:dyDescent="0.3">
      <c r="A253" s="6" t="s">
        <v>1203</v>
      </c>
      <c r="B253" s="7" t="s">
        <v>139</v>
      </c>
      <c r="C253" s="7" t="s">
        <v>1156</v>
      </c>
      <c r="D253" s="7" t="s">
        <v>18</v>
      </c>
      <c r="E253" s="7" t="s">
        <v>1204</v>
      </c>
      <c r="F253" s="7" t="s">
        <v>1002</v>
      </c>
      <c r="G253" s="7" t="s">
        <v>1205</v>
      </c>
      <c r="H253" s="7">
        <v>11</v>
      </c>
      <c r="I253" s="7" t="s">
        <v>1206</v>
      </c>
      <c r="J253" s="7" t="s">
        <v>174</v>
      </c>
    </row>
    <row r="254" spans="1:10" x14ac:dyDescent="0.3">
      <c r="A254" s="6" t="s">
        <v>1207</v>
      </c>
      <c r="B254" s="7" t="s">
        <v>139</v>
      </c>
      <c r="C254" s="7" t="s">
        <v>1156</v>
      </c>
      <c r="D254" s="7" t="s">
        <v>18</v>
      </c>
      <c r="E254" s="7" t="s">
        <v>1208</v>
      </c>
      <c r="F254" s="7" t="s">
        <v>1209</v>
      </c>
      <c r="G254" s="7" t="s">
        <v>1210</v>
      </c>
      <c r="H254" s="7">
        <v>5</v>
      </c>
      <c r="I254" s="7" t="s">
        <v>1211</v>
      </c>
      <c r="J254" s="7" t="s">
        <v>1212</v>
      </c>
    </row>
    <row r="255" spans="1:10" x14ac:dyDescent="0.3">
      <c r="A255" s="6" t="s">
        <v>1213</v>
      </c>
      <c r="B255" s="7" t="s">
        <v>139</v>
      </c>
      <c r="C255" s="7" t="s">
        <v>1156</v>
      </c>
      <c r="D255" s="7" t="s">
        <v>18</v>
      </c>
      <c r="E255" s="7" t="s">
        <v>1214</v>
      </c>
      <c r="F255" s="7" t="s">
        <v>1215</v>
      </c>
      <c r="G255" s="7" t="s">
        <v>1216</v>
      </c>
      <c r="H255" s="7">
        <v>20</v>
      </c>
      <c r="I255" s="7" t="s">
        <v>1056</v>
      </c>
      <c r="J255" s="7" t="s">
        <v>1217</v>
      </c>
    </row>
    <row r="256" spans="1:10" x14ac:dyDescent="0.3">
      <c r="A256" s="6" t="s">
        <v>1218</v>
      </c>
      <c r="B256" s="7" t="s">
        <v>139</v>
      </c>
      <c r="C256" s="7" t="s">
        <v>1156</v>
      </c>
      <c r="D256" s="7" t="s">
        <v>18</v>
      </c>
      <c r="E256" s="7" t="s">
        <v>1219</v>
      </c>
      <c r="F256" s="7" t="s">
        <v>1220</v>
      </c>
      <c r="G256" s="7" t="s">
        <v>1221</v>
      </c>
      <c r="H256" s="7">
        <v>2</v>
      </c>
      <c r="I256" s="7" t="s">
        <v>1222</v>
      </c>
      <c r="J256" s="7" t="s">
        <v>617</v>
      </c>
    </row>
    <row r="257" spans="1:10" x14ac:dyDescent="0.3">
      <c r="A257" s="6" t="s">
        <v>1223</v>
      </c>
      <c r="B257" s="7" t="s">
        <v>139</v>
      </c>
      <c r="C257" s="7" t="s">
        <v>1156</v>
      </c>
      <c r="D257" s="7" t="s">
        <v>18</v>
      </c>
      <c r="E257" s="7" t="s">
        <v>1224</v>
      </c>
      <c r="F257" s="7" t="s">
        <v>1225</v>
      </c>
      <c r="G257" s="7" t="s">
        <v>1226</v>
      </c>
      <c r="H257" s="7">
        <v>17</v>
      </c>
      <c r="I257" s="7" t="s">
        <v>390</v>
      </c>
      <c r="J257" s="7" t="s">
        <v>815</v>
      </c>
    </row>
    <row r="258" spans="1:10" x14ac:dyDescent="0.3">
      <c r="A258" s="6" t="s">
        <v>1227</v>
      </c>
      <c r="B258" s="7" t="s">
        <v>139</v>
      </c>
      <c r="C258" s="7" t="s">
        <v>1156</v>
      </c>
      <c r="D258" s="7" t="s">
        <v>18</v>
      </c>
      <c r="E258" s="7" t="s">
        <v>1224</v>
      </c>
      <c r="F258" s="7" t="s">
        <v>1225</v>
      </c>
      <c r="G258" s="7" t="s">
        <v>111</v>
      </c>
      <c r="H258" s="7">
        <v>24</v>
      </c>
      <c r="I258" s="7" t="s">
        <v>163</v>
      </c>
      <c r="J258" s="7" t="s">
        <v>1228</v>
      </c>
    </row>
    <row r="259" spans="1:10" x14ac:dyDescent="0.3">
      <c r="A259" s="6" t="s">
        <v>1229</v>
      </c>
      <c r="B259" s="7" t="s">
        <v>139</v>
      </c>
      <c r="C259" s="7" t="s">
        <v>1156</v>
      </c>
      <c r="D259" s="7" t="s">
        <v>18</v>
      </c>
      <c r="E259" s="7" t="s">
        <v>1224</v>
      </c>
      <c r="F259" s="7" t="s">
        <v>1225</v>
      </c>
      <c r="G259" s="7" t="s">
        <v>1230</v>
      </c>
      <c r="H259" s="7">
        <v>2</v>
      </c>
      <c r="I259" s="7" t="s">
        <v>703</v>
      </c>
      <c r="J259" s="7" t="s">
        <v>1231</v>
      </c>
    </row>
    <row r="260" spans="1:10" x14ac:dyDescent="0.3">
      <c r="A260" s="6" t="s">
        <v>1232</v>
      </c>
      <c r="B260" s="7" t="s">
        <v>139</v>
      </c>
      <c r="C260" s="7" t="s">
        <v>1156</v>
      </c>
      <c r="D260" s="7" t="s">
        <v>18</v>
      </c>
      <c r="E260" s="7" t="s">
        <v>1233</v>
      </c>
      <c r="F260" s="7" t="s">
        <v>1234</v>
      </c>
      <c r="G260" s="7" t="s">
        <v>1235</v>
      </c>
      <c r="H260" s="7">
        <v>1</v>
      </c>
      <c r="I260" s="7" t="s">
        <v>1222</v>
      </c>
      <c r="J260" s="7" t="s">
        <v>1236</v>
      </c>
    </row>
    <row r="261" spans="1:10" x14ac:dyDescent="0.3">
      <c r="A261" s="6" t="s">
        <v>1237</v>
      </c>
      <c r="B261" s="7" t="s">
        <v>139</v>
      </c>
      <c r="C261" s="7" t="s">
        <v>1156</v>
      </c>
      <c r="D261" s="7" t="s">
        <v>18</v>
      </c>
      <c r="E261" s="7" t="s">
        <v>1238</v>
      </c>
      <c r="F261" s="7" t="s">
        <v>1239</v>
      </c>
      <c r="G261" s="7" t="s">
        <v>1240</v>
      </c>
      <c r="H261" s="7">
        <v>14</v>
      </c>
      <c r="I261" s="7" t="s">
        <v>1189</v>
      </c>
      <c r="J261" s="7" t="s">
        <v>221</v>
      </c>
    </row>
    <row r="262" spans="1:10" x14ac:dyDescent="0.3">
      <c r="A262" s="6" t="s">
        <v>1241</v>
      </c>
      <c r="B262" s="7" t="s">
        <v>139</v>
      </c>
      <c r="C262" s="7" t="s">
        <v>1156</v>
      </c>
      <c r="D262" s="7" t="s">
        <v>18</v>
      </c>
      <c r="E262" s="7" t="s">
        <v>1242</v>
      </c>
      <c r="F262" s="7" t="s">
        <v>1243</v>
      </c>
      <c r="G262" s="7" t="s">
        <v>1244</v>
      </c>
      <c r="H262" s="7">
        <v>23</v>
      </c>
      <c r="I262" s="7" t="s">
        <v>1245</v>
      </c>
      <c r="J262" s="7" t="s">
        <v>1246</v>
      </c>
    </row>
    <row r="263" spans="1:10" x14ac:dyDescent="0.3">
      <c r="A263" s="6" t="s">
        <v>1247</v>
      </c>
      <c r="B263" s="7" t="s">
        <v>139</v>
      </c>
      <c r="C263" s="7" t="s">
        <v>1156</v>
      </c>
      <c r="D263" s="7" t="s">
        <v>18</v>
      </c>
      <c r="E263" s="7" t="s">
        <v>1242</v>
      </c>
      <c r="F263" s="7" t="s">
        <v>1243</v>
      </c>
      <c r="G263" s="7" t="s">
        <v>1248</v>
      </c>
      <c r="H263" s="7">
        <v>5</v>
      </c>
      <c r="I263" s="7" t="s">
        <v>1249</v>
      </c>
      <c r="J263" s="7" t="s">
        <v>1250</v>
      </c>
    </row>
    <row r="264" spans="1:10" x14ac:dyDescent="0.3">
      <c r="A264" s="6" t="s">
        <v>1251</v>
      </c>
      <c r="B264" s="7" t="s">
        <v>139</v>
      </c>
      <c r="C264" s="7" t="s">
        <v>1156</v>
      </c>
      <c r="D264" s="7" t="s">
        <v>18</v>
      </c>
      <c r="E264" s="7" t="s">
        <v>1252</v>
      </c>
      <c r="F264" s="7" t="s">
        <v>1253</v>
      </c>
      <c r="G264" s="7" t="s">
        <v>1254</v>
      </c>
      <c r="H264" s="7">
        <v>20</v>
      </c>
      <c r="I264" s="7" t="s">
        <v>673</v>
      </c>
      <c r="J264" s="7" t="s">
        <v>1255</v>
      </c>
    </row>
    <row r="265" spans="1:10" x14ac:dyDescent="0.3">
      <c r="A265" s="6" t="s">
        <v>1256</v>
      </c>
      <c r="B265" s="7" t="s">
        <v>139</v>
      </c>
      <c r="C265" s="7" t="s">
        <v>1156</v>
      </c>
      <c r="D265" s="7" t="s">
        <v>18</v>
      </c>
      <c r="E265" s="7" t="s">
        <v>1257</v>
      </c>
      <c r="F265" s="7" t="s">
        <v>1258</v>
      </c>
      <c r="G265" s="7" t="s">
        <v>1259</v>
      </c>
      <c r="H265" s="7">
        <v>30</v>
      </c>
      <c r="I265" s="7" t="s">
        <v>1260</v>
      </c>
      <c r="J265" s="7" t="s">
        <v>1261</v>
      </c>
    </row>
    <row r="266" spans="1:10" x14ac:dyDescent="0.3">
      <c r="A266" s="6" t="s">
        <v>1262</v>
      </c>
      <c r="B266" s="7" t="s">
        <v>139</v>
      </c>
      <c r="C266" s="7" t="s">
        <v>1156</v>
      </c>
      <c r="D266" s="7" t="s">
        <v>18</v>
      </c>
      <c r="E266" s="7" t="s">
        <v>474</v>
      </c>
      <c r="F266" s="7" t="s">
        <v>475</v>
      </c>
      <c r="G266" s="7" t="s">
        <v>1263</v>
      </c>
      <c r="H266" s="7">
        <v>12</v>
      </c>
      <c r="I266" s="7" t="s">
        <v>1264</v>
      </c>
      <c r="J266" s="7" t="s">
        <v>924</v>
      </c>
    </row>
    <row r="267" spans="1:10" x14ac:dyDescent="0.3">
      <c r="A267" s="6" t="s">
        <v>1265</v>
      </c>
      <c r="B267" s="7" t="s">
        <v>139</v>
      </c>
      <c r="C267" s="7" t="s">
        <v>1156</v>
      </c>
      <c r="D267" s="7" t="s">
        <v>18</v>
      </c>
      <c r="E267" s="7" t="s">
        <v>1266</v>
      </c>
      <c r="F267" s="7" t="s">
        <v>1007</v>
      </c>
      <c r="G267" s="7" t="s">
        <v>1267</v>
      </c>
      <c r="H267" s="7">
        <v>4</v>
      </c>
      <c r="I267" s="7" t="s">
        <v>211</v>
      </c>
      <c r="J267" s="7" t="s">
        <v>584</v>
      </c>
    </row>
    <row r="268" spans="1:10" x14ac:dyDescent="0.3">
      <c r="A268" s="6" t="s">
        <v>1268</v>
      </c>
      <c r="B268" s="7" t="s">
        <v>139</v>
      </c>
      <c r="C268" s="7" t="s">
        <v>1156</v>
      </c>
      <c r="D268" s="7" t="s">
        <v>18</v>
      </c>
      <c r="E268" s="7" t="s">
        <v>521</v>
      </c>
      <c r="F268" s="7" t="s">
        <v>1269</v>
      </c>
      <c r="G268" s="7" t="s">
        <v>1270</v>
      </c>
      <c r="H268" s="7">
        <v>3</v>
      </c>
      <c r="I268" s="7" t="s">
        <v>434</v>
      </c>
      <c r="J268" s="7" t="s">
        <v>1271</v>
      </c>
    </row>
    <row r="269" spans="1:10" x14ac:dyDescent="0.3">
      <c r="A269" s="6" t="s">
        <v>1272</v>
      </c>
      <c r="B269" s="7" t="s">
        <v>139</v>
      </c>
      <c r="C269" s="7" t="s">
        <v>1156</v>
      </c>
      <c r="D269" s="7" t="s">
        <v>18</v>
      </c>
      <c r="E269" s="7" t="s">
        <v>1273</v>
      </c>
      <c r="F269" s="7" t="s">
        <v>1033</v>
      </c>
      <c r="G269" s="7" t="s">
        <v>1274</v>
      </c>
      <c r="H269" s="7">
        <v>6</v>
      </c>
      <c r="I269" s="7" t="s">
        <v>1198</v>
      </c>
      <c r="J269" s="7" t="s">
        <v>169</v>
      </c>
    </row>
    <row r="270" spans="1:10" x14ac:dyDescent="0.3">
      <c r="A270" s="6" t="s">
        <v>1275</v>
      </c>
      <c r="B270" s="7" t="s">
        <v>139</v>
      </c>
      <c r="C270" s="7" t="s">
        <v>1156</v>
      </c>
      <c r="D270" s="7" t="s">
        <v>18</v>
      </c>
      <c r="E270" s="7" t="s">
        <v>548</v>
      </c>
      <c r="F270" s="7" t="s">
        <v>549</v>
      </c>
      <c r="G270" s="7" t="s">
        <v>1276</v>
      </c>
      <c r="H270" s="7">
        <v>10</v>
      </c>
      <c r="I270" s="7" t="s">
        <v>626</v>
      </c>
      <c r="J270" s="7" t="s">
        <v>815</v>
      </c>
    </row>
    <row r="271" spans="1:10" x14ac:dyDescent="0.3">
      <c r="A271" s="6" t="s">
        <v>1277</v>
      </c>
      <c r="B271" s="7" t="s">
        <v>139</v>
      </c>
      <c r="C271" s="7" t="s">
        <v>1156</v>
      </c>
      <c r="D271" s="7" t="s">
        <v>18</v>
      </c>
      <c r="E271" s="7" t="s">
        <v>1278</v>
      </c>
      <c r="F271" s="7" t="s">
        <v>1279</v>
      </c>
      <c r="G271" s="7" t="s">
        <v>1280</v>
      </c>
      <c r="H271" s="7">
        <v>4</v>
      </c>
      <c r="I271" s="7" t="s">
        <v>1198</v>
      </c>
      <c r="J271" s="7" t="s">
        <v>662</v>
      </c>
    </row>
    <row r="272" spans="1:10" x14ac:dyDescent="0.3">
      <c r="A272" s="6" t="s">
        <v>1281</v>
      </c>
      <c r="B272" s="7" t="s">
        <v>139</v>
      </c>
      <c r="C272" s="7" t="s">
        <v>1156</v>
      </c>
      <c r="D272" s="7" t="s">
        <v>18</v>
      </c>
      <c r="E272" s="7" t="s">
        <v>1053</v>
      </c>
      <c r="F272" s="7" t="s">
        <v>1054</v>
      </c>
      <c r="G272" s="7" t="s">
        <v>1282</v>
      </c>
      <c r="H272" s="7">
        <v>5</v>
      </c>
      <c r="I272" s="7" t="s">
        <v>1283</v>
      </c>
      <c r="J272" s="7" t="s">
        <v>662</v>
      </c>
    </row>
    <row r="273" spans="1:10" x14ac:dyDescent="0.3">
      <c r="A273" s="6" t="s">
        <v>1284</v>
      </c>
      <c r="B273" s="7" t="s">
        <v>139</v>
      </c>
      <c r="C273" s="7" t="s">
        <v>1156</v>
      </c>
      <c r="D273" s="7" t="s">
        <v>18</v>
      </c>
      <c r="E273" s="7" t="s">
        <v>1285</v>
      </c>
      <c r="F273" s="7" t="s">
        <v>1286</v>
      </c>
      <c r="G273" s="7" t="s">
        <v>1287</v>
      </c>
      <c r="H273" s="7">
        <v>22</v>
      </c>
      <c r="I273" s="7" t="s">
        <v>697</v>
      </c>
      <c r="J273" s="7" t="s">
        <v>1288</v>
      </c>
    </row>
    <row r="274" spans="1:10" x14ac:dyDescent="0.3">
      <c r="A274" s="6" t="s">
        <v>1289</v>
      </c>
      <c r="B274" s="7" t="s">
        <v>139</v>
      </c>
      <c r="C274" s="7" t="s">
        <v>1156</v>
      </c>
      <c r="D274" s="7" t="s">
        <v>18</v>
      </c>
      <c r="E274" s="7" t="s">
        <v>1285</v>
      </c>
      <c r="F274" s="7" t="s">
        <v>1286</v>
      </c>
      <c r="G274" s="7" t="s">
        <v>1290</v>
      </c>
      <c r="H274" s="7">
        <v>4</v>
      </c>
      <c r="I274" s="7" t="s">
        <v>202</v>
      </c>
      <c r="J274" s="7" t="s">
        <v>1291</v>
      </c>
    </row>
    <row r="275" spans="1:10" x14ac:dyDescent="0.3">
      <c r="A275" s="6" t="s">
        <v>1292</v>
      </c>
      <c r="B275" s="7" t="s">
        <v>139</v>
      </c>
      <c r="C275" s="7" t="s">
        <v>1156</v>
      </c>
      <c r="D275" s="7" t="s">
        <v>18</v>
      </c>
      <c r="E275" s="7" t="s">
        <v>1293</v>
      </c>
      <c r="F275" s="7" t="s">
        <v>1061</v>
      </c>
      <c r="G275" s="7" t="s">
        <v>1294</v>
      </c>
      <c r="H275" s="7">
        <v>7</v>
      </c>
      <c r="I275" s="7" t="s">
        <v>1295</v>
      </c>
      <c r="J275" s="7" t="s">
        <v>1296</v>
      </c>
    </row>
    <row r="276" spans="1:10" x14ac:dyDescent="0.3">
      <c r="A276" s="6" t="s">
        <v>1297</v>
      </c>
      <c r="B276" s="7" t="s">
        <v>139</v>
      </c>
      <c r="C276" s="7" t="s">
        <v>1156</v>
      </c>
      <c r="D276" s="7" t="s">
        <v>18</v>
      </c>
      <c r="E276" s="7" t="s">
        <v>1298</v>
      </c>
      <c r="F276" s="7" t="s">
        <v>1081</v>
      </c>
      <c r="G276" s="7" t="s">
        <v>1299</v>
      </c>
      <c r="H276" s="7">
        <v>4</v>
      </c>
      <c r="I276" s="7" t="s">
        <v>1300</v>
      </c>
      <c r="J276" s="7" t="s">
        <v>184</v>
      </c>
    </row>
    <row r="277" spans="1:10" x14ac:dyDescent="0.3">
      <c r="A277" s="6" t="s">
        <v>1301</v>
      </c>
      <c r="B277" s="7" t="s">
        <v>139</v>
      </c>
      <c r="C277" s="7" t="s">
        <v>1156</v>
      </c>
      <c r="D277" s="7" t="s">
        <v>18</v>
      </c>
      <c r="E277" s="7" t="s">
        <v>1298</v>
      </c>
      <c r="F277" s="7" t="s">
        <v>1302</v>
      </c>
      <c r="G277" s="7" t="s">
        <v>1303</v>
      </c>
      <c r="H277" s="7">
        <v>2</v>
      </c>
      <c r="I277" s="7" t="s">
        <v>1304</v>
      </c>
      <c r="J277" s="7" t="s">
        <v>234</v>
      </c>
    </row>
    <row r="278" spans="1:10" x14ac:dyDescent="0.3">
      <c r="A278" s="6" t="s">
        <v>1305</v>
      </c>
      <c r="B278" s="7" t="s">
        <v>139</v>
      </c>
      <c r="C278" s="7" t="s">
        <v>1156</v>
      </c>
      <c r="D278" s="7" t="s">
        <v>18</v>
      </c>
      <c r="E278" s="7" t="s">
        <v>1306</v>
      </c>
      <c r="F278" s="7" t="s">
        <v>1307</v>
      </c>
      <c r="G278" s="7" t="s">
        <v>1308</v>
      </c>
      <c r="H278" s="7">
        <v>16</v>
      </c>
      <c r="I278" s="7" t="s">
        <v>1309</v>
      </c>
      <c r="J278" s="7" t="s">
        <v>262</v>
      </c>
    </row>
    <row r="279" spans="1:10" x14ac:dyDescent="0.3">
      <c r="A279" s="6" t="s">
        <v>1310</v>
      </c>
      <c r="B279" s="7" t="s">
        <v>139</v>
      </c>
      <c r="C279" s="7" t="s">
        <v>1156</v>
      </c>
      <c r="D279" s="7" t="s">
        <v>18</v>
      </c>
      <c r="E279" s="7" t="s">
        <v>1306</v>
      </c>
      <c r="F279" s="7" t="s">
        <v>1307</v>
      </c>
      <c r="G279" s="7" t="s">
        <v>1311</v>
      </c>
      <c r="H279" s="7">
        <v>11</v>
      </c>
      <c r="I279" s="7" t="s">
        <v>1312</v>
      </c>
      <c r="J279" s="7" t="s">
        <v>1313</v>
      </c>
    </row>
    <row r="280" spans="1:10" x14ac:dyDescent="0.3">
      <c r="A280" s="6" t="s">
        <v>1314</v>
      </c>
      <c r="B280" s="7" t="s">
        <v>139</v>
      </c>
      <c r="C280" s="7" t="s">
        <v>1156</v>
      </c>
      <c r="D280" s="7" t="s">
        <v>18</v>
      </c>
      <c r="E280" s="7" t="s">
        <v>1315</v>
      </c>
      <c r="F280" s="7" t="s">
        <v>1316</v>
      </c>
      <c r="G280" s="7" t="s">
        <v>1317</v>
      </c>
      <c r="H280" s="7">
        <v>26</v>
      </c>
      <c r="I280" s="7" t="s">
        <v>1318</v>
      </c>
      <c r="J280" s="7" t="s">
        <v>1319</v>
      </c>
    </row>
    <row r="281" spans="1:10" x14ac:dyDescent="0.3">
      <c r="A281" s="6" t="s">
        <v>1320</v>
      </c>
      <c r="B281" s="7" t="s">
        <v>139</v>
      </c>
      <c r="C281" s="7" t="s">
        <v>1156</v>
      </c>
      <c r="D281" s="7" t="s">
        <v>18</v>
      </c>
      <c r="E281" s="7" t="s">
        <v>1321</v>
      </c>
      <c r="F281" s="7" t="s">
        <v>1322</v>
      </c>
      <c r="G281" s="7" t="s">
        <v>1323</v>
      </c>
      <c r="H281" s="7">
        <v>28</v>
      </c>
      <c r="I281" s="7" t="s">
        <v>207</v>
      </c>
      <c r="J281" s="7" t="s">
        <v>1324</v>
      </c>
    </row>
    <row r="282" spans="1:10" x14ac:dyDescent="0.3">
      <c r="A282" s="6" t="s">
        <v>1325</v>
      </c>
      <c r="B282" s="7" t="s">
        <v>139</v>
      </c>
      <c r="C282" s="7" t="s">
        <v>1156</v>
      </c>
      <c r="D282" s="7" t="s">
        <v>18</v>
      </c>
      <c r="E282" s="7" t="s">
        <v>1326</v>
      </c>
      <c r="F282" s="7" t="s">
        <v>1142</v>
      </c>
      <c r="G282" s="7" t="s">
        <v>1327</v>
      </c>
      <c r="H282" s="7">
        <v>23</v>
      </c>
      <c r="I282" s="7" t="s">
        <v>1328</v>
      </c>
      <c r="J282" s="7" t="s">
        <v>332</v>
      </c>
    </row>
    <row r="283" spans="1:10" x14ac:dyDescent="0.3">
      <c r="A283" s="6" t="s">
        <v>1329</v>
      </c>
      <c r="B283" s="7" t="s">
        <v>139</v>
      </c>
      <c r="C283" s="7" t="s">
        <v>1156</v>
      </c>
      <c r="D283" s="7" t="s">
        <v>18</v>
      </c>
      <c r="E283" s="7" t="s">
        <v>1330</v>
      </c>
      <c r="F283" s="7" t="s">
        <v>760</v>
      </c>
      <c r="G283" s="7" t="s">
        <v>1331</v>
      </c>
      <c r="H283" s="7">
        <v>7</v>
      </c>
      <c r="I283" s="7" t="s">
        <v>1332</v>
      </c>
      <c r="J283" s="7" t="s">
        <v>871</v>
      </c>
    </row>
    <row r="284" spans="1:10" x14ac:dyDescent="0.3">
      <c r="A284" s="6" t="s">
        <v>1333</v>
      </c>
      <c r="B284" s="7" t="s">
        <v>1334</v>
      </c>
      <c r="C284" s="7" t="s">
        <v>1156</v>
      </c>
      <c r="D284" s="7" t="s">
        <v>25</v>
      </c>
      <c r="E284" s="7" t="s">
        <v>1335</v>
      </c>
      <c r="F284" s="7" t="s">
        <v>1225</v>
      </c>
      <c r="G284" s="7" t="s">
        <v>111</v>
      </c>
      <c r="H284" s="7">
        <v>7</v>
      </c>
      <c r="I284" s="7" t="s">
        <v>123</v>
      </c>
      <c r="J284" s="7" t="s">
        <v>174</v>
      </c>
    </row>
    <row r="285" spans="1:10" x14ac:dyDescent="0.3">
      <c r="A285" s="6" t="s">
        <v>1336</v>
      </c>
      <c r="B285" s="7" t="s">
        <v>139</v>
      </c>
      <c r="C285" s="7" t="s">
        <v>643</v>
      </c>
      <c r="D285" s="7" t="s">
        <v>26</v>
      </c>
      <c r="E285" s="7" t="s">
        <v>768</v>
      </c>
      <c r="F285" s="7" t="s">
        <v>769</v>
      </c>
      <c r="G285" s="7" t="s">
        <v>770</v>
      </c>
      <c r="H285" s="7"/>
      <c r="I285" s="7" t="s">
        <v>220</v>
      </c>
      <c r="J285" s="7" t="s">
        <v>771</v>
      </c>
    </row>
    <row r="286" spans="1:10" x14ac:dyDescent="0.3">
      <c r="A286" s="6" t="s">
        <v>1337</v>
      </c>
      <c r="B286" s="7" t="s">
        <v>139</v>
      </c>
      <c r="C286" s="7" t="s">
        <v>643</v>
      </c>
      <c r="D286" s="7" t="s">
        <v>27</v>
      </c>
      <c r="E286" s="7" t="s">
        <v>1338</v>
      </c>
      <c r="F286" s="7" t="s">
        <v>1339</v>
      </c>
      <c r="G286" s="7" t="s">
        <v>1340</v>
      </c>
      <c r="H286" s="7"/>
      <c r="I286" s="7" t="s">
        <v>1341</v>
      </c>
      <c r="J286" s="7" t="s">
        <v>174</v>
      </c>
    </row>
    <row r="287" spans="1:10" x14ac:dyDescent="0.3">
      <c r="A287" s="6" t="s">
        <v>1342</v>
      </c>
      <c r="B287" s="7" t="s">
        <v>139</v>
      </c>
      <c r="C287" s="7" t="s">
        <v>643</v>
      </c>
      <c r="D287" s="7" t="s">
        <v>27</v>
      </c>
      <c r="E287" s="7" t="s">
        <v>1343</v>
      </c>
      <c r="F287" s="7" t="s">
        <v>645</v>
      </c>
      <c r="G287" s="7" t="s">
        <v>1344</v>
      </c>
      <c r="H287" s="7"/>
      <c r="I287" s="7" t="s">
        <v>1345</v>
      </c>
      <c r="J287" s="7" t="s">
        <v>1346</v>
      </c>
    </row>
    <row r="288" spans="1:10" x14ac:dyDescent="0.3">
      <c r="A288" s="6" t="s">
        <v>1347</v>
      </c>
      <c r="B288" s="7" t="s">
        <v>139</v>
      </c>
      <c r="C288" s="7" t="s">
        <v>643</v>
      </c>
      <c r="D288" s="7" t="s">
        <v>27</v>
      </c>
      <c r="E288" s="7" t="s">
        <v>1348</v>
      </c>
      <c r="F288" s="7" t="s">
        <v>1349</v>
      </c>
      <c r="G288" s="7" t="s">
        <v>1350</v>
      </c>
      <c r="H288" s="7"/>
      <c r="I288" s="7" t="s">
        <v>1351</v>
      </c>
      <c r="J288" s="7" t="s">
        <v>1352</v>
      </c>
    </row>
    <row r="289" spans="1:10" x14ac:dyDescent="0.3">
      <c r="A289" s="6" t="s">
        <v>1353</v>
      </c>
      <c r="B289" s="7" t="s">
        <v>139</v>
      </c>
      <c r="C289" s="7" t="s">
        <v>643</v>
      </c>
      <c r="D289" s="7" t="s">
        <v>27</v>
      </c>
      <c r="E289" s="7" t="s">
        <v>1354</v>
      </c>
      <c r="F289" s="7" t="s">
        <v>1164</v>
      </c>
      <c r="G289" s="7" t="s">
        <v>1355</v>
      </c>
      <c r="H289" s="7"/>
      <c r="I289" s="7" t="s">
        <v>1356</v>
      </c>
      <c r="J289" s="7" t="s">
        <v>174</v>
      </c>
    </row>
    <row r="290" spans="1:10" x14ac:dyDescent="0.3">
      <c r="A290" s="6" t="s">
        <v>1357</v>
      </c>
      <c r="B290" s="7" t="s">
        <v>139</v>
      </c>
      <c r="C290" s="7" t="s">
        <v>643</v>
      </c>
      <c r="D290" s="7" t="s">
        <v>27</v>
      </c>
      <c r="E290" s="7" t="s">
        <v>1358</v>
      </c>
      <c r="F290" s="7"/>
      <c r="G290" s="7" t="s">
        <v>1359</v>
      </c>
      <c r="H290" s="7"/>
      <c r="I290" s="7" t="s">
        <v>1360</v>
      </c>
      <c r="J290" s="7" t="s">
        <v>1202</v>
      </c>
    </row>
    <row r="291" spans="1:10" x14ac:dyDescent="0.3">
      <c r="A291" s="6" t="s">
        <v>1361</v>
      </c>
      <c r="B291" s="7" t="s">
        <v>139</v>
      </c>
      <c r="C291" s="7" t="s">
        <v>643</v>
      </c>
      <c r="D291" s="7" t="s">
        <v>27</v>
      </c>
      <c r="E291" s="7" t="s">
        <v>1362</v>
      </c>
      <c r="F291" s="7" t="s">
        <v>769</v>
      </c>
      <c r="G291" s="7" t="s">
        <v>80</v>
      </c>
      <c r="H291" s="7"/>
      <c r="I291" s="7" t="s">
        <v>1363</v>
      </c>
      <c r="J291" s="7" t="s">
        <v>1364</v>
      </c>
    </row>
    <row r="292" spans="1:10" x14ac:dyDescent="0.3">
      <c r="A292" s="6" t="s">
        <v>1365</v>
      </c>
      <c r="B292" s="7" t="s">
        <v>139</v>
      </c>
      <c r="C292" s="7" t="s">
        <v>643</v>
      </c>
      <c r="D292" s="7" t="s">
        <v>27</v>
      </c>
      <c r="E292" s="7" t="s">
        <v>1366</v>
      </c>
      <c r="F292" s="7" t="s">
        <v>1367</v>
      </c>
      <c r="G292" s="7" t="s">
        <v>1368</v>
      </c>
      <c r="H292" s="7"/>
      <c r="I292" s="7" t="s">
        <v>682</v>
      </c>
      <c r="J292" s="7" t="s">
        <v>211</v>
      </c>
    </row>
    <row r="293" spans="1:10" x14ac:dyDescent="0.3">
      <c r="A293" s="6" t="s">
        <v>1369</v>
      </c>
      <c r="B293" s="7" t="s">
        <v>139</v>
      </c>
      <c r="C293" s="7" t="s">
        <v>643</v>
      </c>
      <c r="D293" s="7" t="s">
        <v>27</v>
      </c>
      <c r="E293" s="7" t="s">
        <v>1370</v>
      </c>
      <c r="F293" s="7" t="s">
        <v>394</v>
      </c>
      <c r="G293" s="7" t="s">
        <v>1371</v>
      </c>
      <c r="H293" s="7"/>
      <c r="I293" s="7" t="s">
        <v>1372</v>
      </c>
      <c r="J293" s="7" t="s">
        <v>1373</v>
      </c>
    </row>
    <row r="294" spans="1:10" x14ac:dyDescent="0.3">
      <c r="A294" s="6" t="s">
        <v>1374</v>
      </c>
      <c r="B294" s="7" t="s">
        <v>139</v>
      </c>
      <c r="C294" s="7" t="s">
        <v>643</v>
      </c>
      <c r="D294" s="7" t="s">
        <v>27</v>
      </c>
      <c r="E294" s="7" t="s">
        <v>1375</v>
      </c>
      <c r="F294" s="7" t="s">
        <v>1376</v>
      </c>
      <c r="G294" s="7" t="s">
        <v>1377</v>
      </c>
      <c r="H294" s="7"/>
      <c r="I294" s="7" t="s">
        <v>1378</v>
      </c>
      <c r="J294" s="7" t="s">
        <v>630</v>
      </c>
    </row>
    <row r="295" spans="1:10" x14ac:dyDescent="0.3">
      <c r="A295" s="6" t="s">
        <v>1379</v>
      </c>
      <c r="B295" s="7" t="s">
        <v>139</v>
      </c>
      <c r="C295" s="7" t="s">
        <v>643</v>
      </c>
      <c r="D295" s="7" t="s">
        <v>27</v>
      </c>
      <c r="E295" s="7" t="s">
        <v>1380</v>
      </c>
      <c r="F295" s="7" t="s">
        <v>1381</v>
      </c>
      <c r="G295" s="7" t="s">
        <v>1382</v>
      </c>
      <c r="H295" s="7"/>
      <c r="I295" s="7" t="s">
        <v>1383</v>
      </c>
      <c r="J295" s="7" t="s">
        <v>1384</v>
      </c>
    </row>
    <row r="296" spans="1:10" x14ac:dyDescent="0.3">
      <c r="A296" s="6" t="s">
        <v>1385</v>
      </c>
      <c r="B296" s="7" t="s">
        <v>139</v>
      </c>
      <c r="C296" s="7" t="s">
        <v>643</v>
      </c>
      <c r="D296" s="7" t="s">
        <v>27</v>
      </c>
      <c r="E296" s="7" t="s">
        <v>1386</v>
      </c>
      <c r="F296" s="7" t="s">
        <v>1387</v>
      </c>
      <c r="G296" s="7" t="s">
        <v>1388</v>
      </c>
      <c r="H296" s="7"/>
      <c r="I296" s="7" t="s">
        <v>1389</v>
      </c>
      <c r="J296" s="7" t="s">
        <v>144</v>
      </c>
    </row>
    <row r="297" spans="1:10" x14ac:dyDescent="0.3">
      <c r="A297" s="6" t="s">
        <v>1390</v>
      </c>
      <c r="B297" s="7" t="s">
        <v>139</v>
      </c>
      <c r="C297" s="7" t="s">
        <v>643</v>
      </c>
      <c r="D297" s="7" t="s">
        <v>27</v>
      </c>
      <c r="E297" s="7" t="s">
        <v>1391</v>
      </c>
      <c r="F297" s="7" t="s">
        <v>1392</v>
      </c>
      <c r="G297" s="7" t="s">
        <v>1393</v>
      </c>
      <c r="H297" s="7"/>
      <c r="I297" s="7" t="s">
        <v>1383</v>
      </c>
      <c r="J297" s="7" t="s">
        <v>1384</v>
      </c>
    </row>
    <row r="298" spans="1:10" x14ac:dyDescent="0.3">
      <c r="A298" s="6" t="s">
        <v>1394</v>
      </c>
      <c r="B298" s="7" t="s">
        <v>139</v>
      </c>
      <c r="C298" s="7" t="s">
        <v>643</v>
      </c>
      <c r="D298" s="7" t="s">
        <v>27</v>
      </c>
      <c r="E298" s="7" t="s">
        <v>1395</v>
      </c>
      <c r="F298" s="7" t="s">
        <v>1396</v>
      </c>
      <c r="G298" s="7" t="s">
        <v>1397</v>
      </c>
      <c r="H298" s="7"/>
      <c r="I298" s="7" t="s">
        <v>1398</v>
      </c>
      <c r="J298" s="7" t="s">
        <v>391</v>
      </c>
    </row>
    <row r="299" spans="1:10" x14ac:dyDescent="0.3">
      <c r="A299" s="6" t="s">
        <v>1399</v>
      </c>
      <c r="B299" s="7" t="s">
        <v>139</v>
      </c>
      <c r="C299" s="7" t="s">
        <v>643</v>
      </c>
      <c r="D299" s="7" t="s">
        <v>27</v>
      </c>
      <c r="E299" s="7" t="s">
        <v>1400</v>
      </c>
      <c r="F299" s="7" t="s">
        <v>1401</v>
      </c>
      <c r="G299" s="7" t="s">
        <v>1402</v>
      </c>
      <c r="H299" s="7"/>
      <c r="I299" s="7" t="s">
        <v>678</v>
      </c>
      <c r="J299" s="7" t="s">
        <v>1403</v>
      </c>
    </row>
    <row r="300" spans="1:10" x14ac:dyDescent="0.3">
      <c r="A300" s="6" t="s">
        <v>1404</v>
      </c>
      <c r="B300" s="7" t="s">
        <v>139</v>
      </c>
      <c r="C300" s="7" t="s">
        <v>643</v>
      </c>
      <c r="D300" s="7" t="s">
        <v>27</v>
      </c>
      <c r="E300" s="7" t="s">
        <v>1405</v>
      </c>
      <c r="F300" s="7" t="s">
        <v>577</v>
      </c>
      <c r="G300" s="7" t="s">
        <v>1406</v>
      </c>
      <c r="H300" s="7"/>
      <c r="I300" s="7" t="s">
        <v>148</v>
      </c>
      <c r="J300" s="7" t="s">
        <v>1407</v>
      </c>
    </row>
    <row r="301" spans="1:10" x14ac:dyDescent="0.3">
      <c r="A301" s="6" t="s">
        <v>1408</v>
      </c>
      <c r="B301" s="7" t="s">
        <v>139</v>
      </c>
      <c r="C301" s="7" t="s">
        <v>643</v>
      </c>
      <c r="D301" s="7" t="s">
        <v>27</v>
      </c>
      <c r="E301" s="7" t="s">
        <v>1409</v>
      </c>
      <c r="F301" s="7" t="s">
        <v>1410</v>
      </c>
      <c r="G301" s="7" t="s">
        <v>1411</v>
      </c>
      <c r="H301" s="7"/>
      <c r="I301" s="7" t="s">
        <v>1383</v>
      </c>
      <c r="J301" s="7" t="s">
        <v>1384</v>
      </c>
    </row>
    <row r="302" spans="1:10" x14ac:dyDescent="0.3">
      <c r="A302" s="6" t="s">
        <v>1412</v>
      </c>
      <c r="B302" s="7" t="s">
        <v>139</v>
      </c>
      <c r="C302" s="7" t="s">
        <v>643</v>
      </c>
      <c r="D302" s="7" t="s">
        <v>27</v>
      </c>
      <c r="E302" s="7" t="s">
        <v>1413</v>
      </c>
      <c r="F302" s="7" t="s">
        <v>1414</v>
      </c>
      <c r="G302" s="7" t="s">
        <v>1415</v>
      </c>
      <c r="H302" s="7"/>
      <c r="I302" s="7" t="s">
        <v>1416</v>
      </c>
      <c r="J302" s="7" t="s">
        <v>1417</v>
      </c>
    </row>
    <row r="303" spans="1:10" x14ac:dyDescent="0.3">
      <c r="A303" s="6" t="s">
        <v>1418</v>
      </c>
      <c r="B303" s="7" t="s">
        <v>139</v>
      </c>
      <c r="C303" s="7" t="s">
        <v>643</v>
      </c>
      <c r="D303" s="7" t="s">
        <v>27</v>
      </c>
      <c r="E303" s="7" t="s">
        <v>1413</v>
      </c>
      <c r="F303" s="7" t="s">
        <v>1414</v>
      </c>
      <c r="G303" s="7" t="s">
        <v>1419</v>
      </c>
      <c r="H303" s="7"/>
      <c r="I303" s="7" t="s">
        <v>788</v>
      </c>
      <c r="J303" s="7" t="s">
        <v>789</v>
      </c>
    </row>
    <row r="304" spans="1:10" x14ac:dyDescent="0.3">
      <c r="A304" s="6" t="s">
        <v>1420</v>
      </c>
      <c r="B304" s="7" t="s">
        <v>139</v>
      </c>
      <c r="C304" s="7" t="s">
        <v>643</v>
      </c>
      <c r="D304" s="7" t="s">
        <v>27</v>
      </c>
      <c r="E304" s="7" t="s">
        <v>1421</v>
      </c>
      <c r="F304" s="7" t="s">
        <v>1142</v>
      </c>
      <c r="G304" s="7" t="s">
        <v>1422</v>
      </c>
      <c r="H304" s="7"/>
      <c r="I304" s="7" t="s">
        <v>1423</v>
      </c>
      <c r="J304" s="7" t="s">
        <v>1424</v>
      </c>
    </row>
    <row r="305" spans="1:10" x14ac:dyDescent="0.3">
      <c r="A305" s="6" t="s">
        <v>1425</v>
      </c>
      <c r="B305" s="7" t="s">
        <v>139</v>
      </c>
      <c r="C305" s="7" t="s">
        <v>643</v>
      </c>
      <c r="D305" s="7" t="s">
        <v>30</v>
      </c>
      <c r="E305" s="7" t="s">
        <v>1426</v>
      </c>
      <c r="F305" s="7" t="s">
        <v>669</v>
      </c>
      <c r="G305" s="7" t="s">
        <v>1427</v>
      </c>
      <c r="H305" s="7">
        <v>10</v>
      </c>
      <c r="I305" s="7" t="s">
        <v>1428</v>
      </c>
      <c r="J305" s="7" t="s">
        <v>144</v>
      </c>
    </row>
    <row r="306" spans="1:10" x14ac:dyDescent="0.3">
      <c r="A306" s="6" t="s">
        <v>1429</v>
      </c>
      <c r="B306" s="7" t="s">
        <v>139</v>
      </c>
      <c r="C306" s="7" t="s">
        <v>643</v>
      </c>
      <c r="D306" s="7" t="s">
        <v>30</v>
      </c>
      <c r="E306" s="7" t="s">
        <v>1426</v>
      </c>
      <c r="F306" s="7" t="s">
        <v>669</v>
      </c>
      <c r="G306" s="7" t="s">
        <v>1430</v>
      </c>
      <c r="H306" s="7">
        <v>16</v>
      </c>
      <c r="I306" s="7" t="s">
        <v>153</v>
      </c>
      <c r="J306" s="7" t="s">
        <v>1431</v>
      </c>
    </row>
    <row r="307" spans="1:10" x14ac:dyDescent="0.3">
      <c r="A307" s="6" t="s">
        <v>1432</v>
      </c>
      <c r="B307" s="7" t="s">
        <v>139</v>
      </c>
      <c r="C307" s="7" t="s">
        <v>643</v>
      </c>
      <c r="D307" s="7" t="s">
        <v>30</v>
      </c>
      <c r="E307" s="7" t="s">
        <v>1433</v>
      </c>
      <c r="F307" s="7" t="s">
        <v>1434</v>
      </c>
      <c r="G307" s="7" t="s">
        <v>1435</v>
      </c>
      <c r="H307" s="7">
        <v>17</v>
      </c>
      <c r="I307" s="7" t="s">
        <v>1436</v>
      </c>
      <c r="J307" s="7" t="s">
        <v>297</v>
      </c>
    </row>
    <row r="308" spans="1:10" x14ac:dyDescent="0.3">
      <c r="A308" s="6" t="s">
        <v>1437</v>
      </c>
      <c r="B308" s="7" t="s">
        <v>139</v>
      </c>
      <c r="C308" s="7" t="s">
        <v>643</v>
      </c>
      <c r="D308" s="7" t="s">
        <v>30</v>
      </c>
      <c r="E308" s="7" t="s">
        <v>1438</v>
      </c>
      <c r="F308" s="7" t="s">
        <v>1439</v>
      </c>
      <c r="G308" s="7" t="s">
        <v>1440</v>
      </c>
      <c r="H308" s="7">
        <v>11</v>
      </c>
      <c r="I308" s="7" t="s">
        <v>536</v>
      </c>
      <c r="J308" s="7" t="s">
        <v>617</v>
      </c>
    </row>
    <row r="309" spans="1:10" x14ac:dyDescent="0.3">
      <c r="A309" s="6" t="s">
        <v>1441</v>
      </c>
      <c r="B309" s="7" t="s">
        <v>139</v>
      </c>
      <c r="C309" s="7" t="s">
        <v>643</v>
      </c>
      <c r="D309" s="7" t="s">
        <v>30</v>
      </c>
      <c r="E309" s="7" t="s">
        <v>1442</v>
      </c>
      <c r="F309" s="7" t="s">
        <v>1443</v>
      </c>
      <c r="G309" s="7" t="s">
        <v>1444</v>
      </c>
      <c r="H309" s="7">
        <v>2</v>
      </c>
      <c r="I309" s="7" t="s">
        <v>411</v>
      </c>
      <c r="J309" s="7" t="s">
        <v>737</v>
      </c>
    </row>
    <row r="310" spans="1:10" x14ac:dyDescent="0.3">
      <c r="A310" s="6" t="s">
        <v>1445</v>
      </c>
      <c r="B310" s="7" t="s">
        <v>139</v>
      </c>
      <c r="C310" s="7" t="s">
        <v>643</v>
      </c>
      <c r="D310" s="7" t="s">
        <v>30</v>
      </c>
      <c r="E310" s="7" t="s">
        <v>1446</v>
      </c>
      <c r="F310" s="7" t="s">
        <v>1447</v>
      </c>
      <c r="G310" s="7" t="s">
        <v>1448</v>
      </c>
      <c r="H310" s="7">
        <v>6</v>
      </c>
      <c r="I310" s="7" t="s">
        <v>202</v>
      </c>
      <c r="J310" s="7" t="s">
        <v>174</v>
      </c>
    </row>
    <row r="311" spans="1:10" x14ac:dyDescent="0.3">
      <c r="A311" s="6" t="s">
        <v>1449</v>
      </c>
      <c r="B311" s="7" t="s">
        <v>139</v>
      </c>
      <c r="C311" s="7" t="s">
        <v>643</v>
      </c>
      <c r="D311" s="7" t="s">
        <v>30</v>
      </c>
      <c r="E311" s="7" t="s">
        <v>1446</v>
      </c>
      <c r="F311" s="7" t="s">
        <v>1447</v>
      </c>
      <c r="G311" s="7" t="s">
        <v>1450</v>
      </c>
      <c r="H311" s="7">
        <v>50</v>
      </c>
      <c r="I311" s="7" t="s">
        <v>1133</v>
      </c>
      <c r="J311" s="7" t="s">
        <v>1451</v>
      </c>
    </row>
    <row r="312" spans="1:10" x14ac:dyDescent="0.3">
      <c r="A312" s="6" t="s">
        <v>1452</v>
      </c>
      <c r="B312" s="7" t="s">
        <v>139</v>
      </c>
      <c r="C312" s="7" t="s">
        <v>643</v>
      </c>
      <c r="D312" s="7" t="s">
        <v>30</v>
      </c>
      <c r="E312" s="7" t="s">
        <v>1453</v>
      </c>
      <c r="F312" s="7" t="s">
        <v>1454</v>
      </c>
      <c r="G312" s="7" t="s">
        <v>1455</v>
      </c>
      <c r="H312" s="7">
        <v>2</v>
      </c>
      <c r="I312" s="7" t="s">
        <v>315</v>
      </c>
      <c r="J312" s="7" t="s">
        <v>174</v>
      </c>
    </row>
    <row r="313" spans="1:10" x14ac:dyDescent="0.3">
      <c r="A313" s="6" t="s">
        <v>1456</v>
      </c>
      <c r="B313" s="7" t="s">
        <v>139</v>
      </c>
      <c r="C313" s="7" t="s">
        <v>643</v>
      </c>
      <c r="D313" s="7" t="s">
        <v>30</v>
      </c>
      <c r="E313" s="7" t="s">
        <v>1457</v>
      </c>
      <c r="F313" s="7" t="s">
        <v>1458</v>
      </c>
      <c r="G313" s="7" t="s">
        <v>1459</v>
      </c>
      <c r="H313" s="7">
        <v>17</v>
      </c>
      <c r="I313" s="7" t="s">
        <v>457</v>
      </c>
      <c r="J313" s="7" t="s">
        <v>662</v>
      </c>
    </row>
    <row r="314" spans="1:10" x14ac:dyDescent="0.3">
      <c r="A314" s="6" t="s">
        <v>1460</v>
      </c>
      <c r="B314" s="7" t="s">
        <v>139</v>
      </c>
      <c r="C314" s="7" t="s">
        <v>643</v>
      </c>
      <c r="D314" s="7" t="s">
        <v>30</v>
      </c>
      <c r="E314" s="7" t="s">
        <v>1457</v>
      </c>
      <c r="F314" s="7" t="s">
        <v>1458</v>
      </c>
      <c r="G314" s="7" t="s">
        <v>1461</v>
      </c>
      <c r="H314" s="7">
        <v>20</v>
      </c>
      <c r="I314" s="7" t="s">
        <v>1462</v>
      </c>
      <c r="J314" s="7" t="s">
        <v>1463</v>
      </c>
    </row>
    <row r="315" spans="1:10" x14ac:dyDescent="0.3">
      <c r="A315" s="6" t="s">
        <v>1464</v>
      </c>
      <c r="B315" s="7" t="s">
        <v>139</v>
      </c>
      <c r="C315" s="7" t="s">
        <v>643</v>
      </c>
      <c r="D315" s="7" t="s">
        <v>30</v>
      </c>
      <c r="E315" s="7" t="s">
        <v>1465</v>
      </c>
      <c r="F315" s="7" t="s">
        <v>1466</v>
      </c>
      <c r="G315" s="7" t="s">
        <v>1467</v>
      </c>
      <c r="H315" s="7">
        <v>2</v>
      </c>
      <c r="I315" s="7" t="s">
        <v>411</v>
      </c>
      <c r="J315" s="7" t="s">
        <v>144</v>
      </c>
    </row>
    <row r="316" spans="1:10" x14ac:dyDescent="0.3">
      <c r="A316" s="6" t="s">
        <v>1468</v>
      </c>
      <c r="B316" s="7" t="s">
        <v>139</v>
      </c>
      <c r="C316" s="7" t="s">
        <v>643</v>
      </c>
      <c r="D316" s="7" t="s">
        <v>30</v>
      </c>
      <c r="E316" s="7" t="s">
        <v>1465</v>
      </c>
      <c r="F316" s="7" t="s">
        <v>1466</v>
      </c>
      <c r="G316" s="7" t="s">
        <v>1469</v>
      </c>
      <c r="H316" s="7">
        <v>3</v>
      </c>
      <c r="I316" s="7" t="s">
        <v>233</v>
      </c>
      <c r="J316" s="7" t="s">
        <v>1470</v>
      </c>
    </row>
    <row r="317" spans="1:10" x14ac:dyDescent="0.3">
      <c r="A317" s="6" t="s">
        <v>1471</v>
      </c>
      <c r="B317" s="7" t="s">
        <v>139</v>
      </c>
      <c r="C317" s="7" t="s">
        <v>643</v>
      </c>
      <c r="D317" s="7" t="s">
        <v>30</v>
      </c>
      <c r="E317" s="7" t="s">
        <v>1472</v>
      </c>
      <c r="F317" s="7" t="s">
        <v>1473</v>
      </c>
      <c r="G317" s="7" t="s">
        <v>1474</v>
      </c>
      <c r="H317" s="7">
        <v>6</v>
      </c>
      <c r="I317" s="7" t="s">
        <v>123</v>
      </c>
      <c r="J317" s="7" t="s">
        <v>480</v>
      </c>
    </row>
    <row r="318" spans="1:10" x14ac:dyDescent="0.3">
      <c r="A318" s="6" t="s">
        <v>1475</v>
      </c>
      <c r="B318" s="7" t="s">
        <v>139</v>
      </c>
      <c r="C318" s="7" t="s">
        <v>643</v>
      </c>
      <c r="D318" s="7" t="s">
        <v>30</v>
      </c>
      <c r="E318" s="7" t="s">
        <v>1472</v>
      </c>
      <c r="F318" s="7" t="s">
        <v>1473</v>
      </c>
      <c r="G318" s="7" t="s">
        <v>1476</v>
      </c>
      <c r="H318" s="7">
        <v>1</v>
      </c>
      <c r="I318" s="7" t="s">
        <v>196</v>
      </c>
      <c r="J318" s="7" t="s">
        <v>1477</v>
      </c>
    </row>
    <row r="319" spans="1:10" x14ac:dyDescent="0.3">
      <c r="A319" s="6" t="s">
        <v>1478</v>
      </c>
      <c r="B319" s="7" t="s">
        <v>139</v>
      </c>
      <c r="C319" s="7" t="s">
        <v>643</v>
      </c>
      <c r="D319" s="7" t="s">
        <v>30</v>
      </c>
      <c r="E319" s="7" t="s">
        <v>1472</v>
      </c>
      <c r="F319" s="7" t="s">
        <v>1473</v>
      </c>
      <c r="G319" s="7" t="s">
        <v>1479</v>
      </c>
      <c r="H319" s="7">
        <v>8</v>
      </c>
      <c r="I319" s="7" t="s">
        <v>196</v>
      </c>
      <c r="J319" s="7" t="s">
        <v>1480</v>
      </c>
    </row>
    <row r="320" spans="1:10" x14ac:dyDescent="0.3">
      <c r="A320" s="6" t="s">
        <v>1481</v>
      </c>
      <c r="B320" s="7" t="s">
        <v>139</v>
      </c>
      <c r="C320" s="7" t="s">
        <v>643</v>
      </c>
      <c r="D320" s="7" t="s">
        <v>30</v>
      </c>
      <c r="E320" s="7" t="s">
        <v>1482</v>
      </c>
      <c r="F320" s="7" t="s">
        <v>1483</v>
      </c>
      <c r="G320" s="7" t="s">
        <v>1484</v>
      </c>
      <c r="H320" s="7">
        <v>10</v>
      </c>
      <c r="I320" s="7" t="s">
        <v>1485</v>
      </c>
      <c r="J320" s="7" t="s">
        <v>144</v>
      </c>
    </row>
    <row r="321" spans="1:10" x14ac:dyDescent="0.3">
      <c r="A321" s="6" t="s">
        <v>1486</v>
      </c>
      <c r="B321" s="7" t="s">
        <v>139</v>
      </c>
      <c r="C321" s="7" t="s">
        <v>643</v>
      </c>
      <c r="D321" s="7" t="s">
        <v>30</v>
      </c>
      <c r="E321" s="7" t="s">
        <v>1487</v>
      </c>
      <c r="F321" s="7" t="s">
        <v>1488</v>
      </c>
      <c r="G321" s="7" t="s">
        <v>1489</v>
      </c>
      <c r="H321" s="7">
        <v>24</v>
      </c>
      <c r="I321" s="7" t="s">
        <v>196</v>
      </c>
      <c r="J321" s="7" t="s">
        <v>1490</v>
      </c>
    </row>
    <row r="322" spans="1:10" x14ac:dyDescent="0.3">
      <c r="A322" s="6" t="s">
        <v>1491</v>
      </c>
      <c r="B322" s="7" t="s">
        <v>139</v>
      </c>
      <c r="C322" s="7" t="s">
        <v>643</v>
      </c>
      <c r="D322" s="7" t="s">
        <v>30</v>
      </c>
      <c r="E322" s="7" t="s">
        <v>1492</v>
      </c>
      <c r="F322" s="7" t="s">
        <v>1493</v>
      </c>
      <c r="G322" s="7" t="s">
        <v>1494</v>
      </c>
      <c r="H322" s="7">
        <v>6</v>
      </c>
      <c r="I322" s="7" t="s">
        <v>1495</v>
      </c>
      <c r="J322" s="7" t="s">
        <v>514</v>
      </c>
    </row>
    <row r="323" spans="1:10" x14ac:dyDescent="0.3">
      <c r="A323" s="6" t="s">
        <v>1496</v>
      </c>
      <c r="B323" s="7" t="s">
        <v>139</v>
      </c>
      <c r="C323" s="7" t="s">
        <v>643</v>
      </c>
      <c r="D323" s="7" t="s">
        <v>30</v>
      </c>
      <c r="E323" s="7" t="s">
        <v>1497</v>
      </c>
      <c r="F323" s="7" t="s">
        <v>1498</v>
      </c>
      <c r="G323" s="7" t="s">
        <v>1499</v>
      </c>
      <c r="H323" s="7">
        <v>24</v>
      </c>
      <c r="I323" s="7" t="s">
        <v>1500</v>
      </c>
      <c r="J323" s="7" t="s">
        <v>1501</v>
      </c>
    </row>
    <row r="324" spans="1:10" x14ac:dyDescent="0.3">
      <c r="A324" s="6" t="s">
        <v>1502</v>
      </c>
      <c r="B324" s="7" t="s">
        <v>139</v>
      </c>
      <c r="C324" s="7" t="s">
        <v>643</v>
      </c>
      <c r="D324" s="7" t="s">
        <v>30</v>
      </c>
      <c r="E324" s="7" t="s">
        <v>1503</v>
      </c>
      <c r="F324" s="7" t="s">
        <v>1396</v>
      </c>
      <c r="G324" s="7" t="s">
        <v>1504</v>
      </c>
      <c r="H324" s="7">
        <v>3</v>
      </c>
      <c r="I324" s="7" t="s">
        <v>518</v>
      </c>
      <c r="J324" s="7" t="s">
        <v>164</v>
      </c>
    </row>
    <row r="325" spans="1:10" x14ac:dyDescent="0.3">
      <c r="A325" s="6" t="s">
        <v>1505</v>
      </c>
      <c r="B325" s="7" t="s">
        <v>139</v>
      </c>
      <c r="C325" s="7" t="s">
        <v>643</v>
      </c>
      <c r="D325" s="7" t="s">
        <v>30</v>
      </c>
      <c r="E325" s="7" t="s">
        <v>1503</v>
      </c>
      <c r="F325" s="7" t="s">
        <v>1396</v>
      </c>
      <c r="G325" s="7" t="s">
        <v>1506</v>
      </c>
      <c r="H325" s="7">
        <v>3</v>
      </c>
      <c r="I325" s="7" t="s">
        <v>1507</v>
      </c>
      <c r="J325" s="7" t="s">
        <v>144</v>
      </c>
    </row>
    <row r="326" spans="1:10" x14ac:dyDescent="0.3">
      <c r="A326" s="6" t="s">
        <v>1508</v>
      </c>
      <c r="B326" s="7" t="s">
        <v>139</v>
      </c>
      <c r="C326" s="7" t="s">
        <v>643</v>
      </c>
      <c r="D326" s="7" t="s">
        <v>30</v>
      </c>
      <c r="E326" s="7" t="s">
        <v>1509</v>
      </c>
      <c r="F326" s="7" t="s">
        <v>1510</v>
      </c>
      <c r="G326" s="7" t="s">
        <v>1511</v>
      </c>
      <c r="H326" s="7">
        <v>17</v>
      </c>
      <c r="I326" s="7" t="s">
        <v>1512</v>
      </c>
      <c r="J326" s="7" t="s">
        <v>174</v>
      </c>
    </row>
    <row r="327" spans="1:10" x14ac:dyDescent="0.3">
      <c r="A327" s="6" t="s">
        <v>1513</v>
      </c>
      <c r="B327" s="7" t="s">
        <v>139</v>
      </c>
      <c r="C327" s="7" t="s">
        <v>643</v>
      </c>
      <c r="D327" s="7" t="s">
        <v>30</v>
      </c>
      <c r="E327" s="7" t="s">
        <v>1509</v>
      </c>
      <c r="F327" s="7" t="s">
        <v>1510</v>
      </c>
      <c r="G327" s="7" t="s">
        <v>1514</v>
      </c>
      <c r="H327" s="7">
        <v>17</v>
      </c>
      <c r="I327" s="7" t="s">
        <v>1512</v>
      </c>
      <c r="J327" s="7" t="s">
        <v>174</v>
      </c>
    </row>
    <row r="328" spans="1:10" x14ac:dyDescent="0.3">
      <c r="A328" s="6" t="s">
        <v>1515</v>
      </c>
      <c r="B328" s="7" t="s">
        <v>139</v>
      </c>
      <c r="C328" s="7" t="s">
        <v>643</v>
      </c>
      <c r="D328" s="7" t="s">
        <v>30</v>
      </c>
      <c r="E328" s="7" t="s">
        <v>1516</v>
      </c>
      <c r="F328" s="7" t="s">
        <v>711</v>
      </c>
      <c r="G328" s="7" t="s">
        <v>120</v>
      </c>
      <c r="H328" s="7">
        <v>36</v>
      </c>
      <c r="I328" s="7" t="s">
        <v>123</v>
      </c>
      <c r="J328" s="7" t="s">
        <v>419</v>
      </c>
    </row>
    <row r="329" spans="1:10" x14ac:dyDescent="0.3">
      <c r="A329" s="6" t="s">
        <v>1517</v>
      </c>
      <c r="B329" s="7" t="s">
        <v>139</v>
      </c>
      <c r="C329" s="7" t="s">
        <v>643</v>
      </c>
      <c r="D329" s="7" t="s">
        <v>30</v>
      </c>
      <c r="E329" s="7" t="s">
        <v>1518</v>
      </c>
      <c r="F329" s="7" t="s">
        <v>496</v>
      </c>
      <c r="G329" s="7" t="s">
        <v>1519</v>
      </c>
      <c r="H329" s="7">
        <v>5</v>
      </c>
      <c r="I329" s="7" t="s">
        <v>349</v>
      </c>
      <c r="J329" s="7" t="s">
        <v>234</v>
      </c>
    </row>
    <row r="330" spans="1:10" x14ac:dyDescent="0.3">
      <c r="A330" s="6" t="s">
        <v>1520</v>
      </c>
      <c r="B330" s="7" t="s">
        <v>139</v>
      </c>
      <c r="C330" s="7" t="s">
        <v>643</v>
      </c>
      <c r="D330" s="7" t="s">
        <v>30</v>
      </c>
      <c r="E330" s="7" t="s">
        <v>1521</v>
      </c>
      <c r="F330" s="7" t="s">
        <v>1522</v>
      </c>
      <c r="G330" s="7" t="s">
        <v>1523</v>
      </c>
      <c r="H330" s="7">
        <v>3</v>
      </c>
      <c r="I330" s="7" t="s">
        <v>196</v>
      </c>
      <c r="J330" s="7" t="s">
        <v>493</v>
      </c>
    </row>
    <row r="331" spans="1:10" x14ac:dyDescent="0.3">
      <c r="A331" s="6" t="s">
        <v>1524</v>
      </c>
      <c r="B331" s="7" t="s">
        <v>139</v>
      </c>
      <c r="C331" s="7" t="s">
        <v>643</v>
      </c>
      <c r="D331" s="7" t="s">
        <v>30</v>
      </c>
      <c r="E331" s="7" t="s">
        <v>1521</v>
      </c>
      <c r="F331" s="7" t="s">
        <v>1522</v>
      </c>
      <c r="G331" s="7" t="s">
        <v>1525</v>
      </c>
      <c r="H331" s="7">
        <v>3</v>
      </c>
      <c r="I331" s="7" t="s">
        <v>1526</v>
      </c>
      <c r="J331" s="7" t="s">
        <v>1527</v>
      </c>
    </row>
    <row r="332" spans="1:10" x14ac:dyDescent="0.3">
      <c r="A332" s="6" t="s">
        <v>1528</v>
      </c>
      <c r="B332" s="7" t="s">
        <v>139</v>
      </c>
      <c r="C332" s="7" t="s">
        <v>643</v>
      </c>
      <c r="D332" s="7" t="s">
        <v>30</v>
      </c>
      <c r="E332" s="7" t="s">
        <v>1529</v>
      </c>
      <c r="F332" s="7" t="s">
        <v>1530</v>
      </c>
      <c r="G332" s="7" t="s">
        <v>1531</v>
      </c>
      <c r="H332" s="7">
        <v>11</v>
      </c>
      <c r="I332" s="7" t="s">
        <v>647</v>
      </c>
      <c r="J332" s="7" t="s">
        <v>662</v>
      </c>
    </row>
    <row r="333" spans="1:10" x14ac:dyDescent="0.3">
      <c r="A333" s="6" t="s">
        <v>1532</v>
      </c>
      <c r="B333" s="7" t="s">
        <v>139</v>
      </c>
      <c r="C333" s="7" t="s">
        <v>643</v>
      </c>
      <c r="D333" s="7" t="s">
        <v>30</v>
      </c>
      <c r="E333" s="7" t="s">
        <v>1533</v>
      </c>
      <c r="F333" s="7" t="s">
        <v>1534</v>
      </c>
      <c r="G333" s="7" t="s">
        <v>1535</v>
      </c>
      <c r="H333" s="7">
        <v>7</v>
      </c>
      <c r="I333" s="7" t="s">
        <v>955</v>
      </c>
      <c r="J333" s="7" t="s">
        <v>221</v>
      </c>
    </row>
    <row r="334" spans="1:10" x14ac:dyDescent="0.3">
      <c r="A334" s="6" t="s">
        <v>1536</v>
      </c>
      <c r="B334" s="7" t="s">
        <v>139</v>
      </c>
      <c r="C334" s="7" t="s">
        <v>643</v>
      </c>
      <c r="D334" s="7" t="s">
        <v>30</v>
      </c>
      <c r="E334" s="7" t="s">
        <v>1537</v>
      </c>
      <c r="F334" s="7" t="s">
        <v>1538</v>
      </c>
      <c r="G334" s="7" t="s">
        <v>1539</v>
      </c>
      <c r="H334" s="7">
        <v>5</v>
      </c>
      <c r="I334" s="7" t="s">
        <v>498</v>
      </c>
      <c r="J334" s="7" t="s">
        <v>1540</v>
      </c>
    </row>
    <row r="335" spans="1:10" x14ac:dyDescent="0.3">
      <c r="A335" s="6" t="s">
        <v>1541</v>
      </c>
      <c r="B335" s="7" t="s">
        <v>139</v>
      </c>
      <c r="C335" s="7" t="s">
        <v>643</v>
      </c>
      <c r="D335" s="7" t="s">
        <v>30</v>
      </c>
      <c r="E335" s="7" t="s">
        <v>1542</v>
      </c>
      <c r="F335" s="7" t="s">
        <v>1543</v>
      </c>
      <c r="G335" s="7" t="s">
        <v>1544</v>
      </c>
      <c r="H335" s="7">
        <v>7</v>
      </c>
      <c r="I335" s="7" t="s">
        <v>363</v>
      </c>
      <c r="J335" s="7" t="s">
        <v>617</v>
      </c>
    </row>
    <row r="336" spans="1:10" x14ac:dyDescent="0.3">
      <c r="A336" s="6" t="s">
        <v>1545</v>
      </c>
      <c r="B336" s="7" t="s">
        <v>139</v>
      </c>
      <c r="C336" s="7" t="s">
        <v>643</v>
      </c>
      <c r="D336" s="7" t="s">
        <v>30</v>
      </c>
      <c r="E336" s="7" t="s">
        <v>1546</v>
      </c>
      <c r="F336" s="7" t="s">
        <v>1547</v>
      </c>
      <c r="G336" s="7" t="s">
        <v>1548</v>
      </c>
      <c r="H336" s="7">
        <v>15</v>
      </c>
      <c r="I336" s="7" t="s">
        <v>143</v>
      </c>
      <c r="J336" s="7" t="s">
        <v>1549</v>
      </c>
    </row>
    <row r="337" spans="1:10" x14ac:dyDescent="0.3">
      <c r="A337" s="6" t="s">
        <v>1550</v>
      </c>
      <c r="B337" s="7" t="s">
        <v>139</v>
      </c>
      <c r="C337" s="7" t="s">
        <v>643</v>
      </c>
      <c r="D337" s="7" t="s">
        <v>30</v>
      </c>
      <c r="E337" s="7" t="s">
        <v>1546</v>
      </c>
      <c r="F337" s="7" t="s">
        <v>1547</v>
      </c>
      <c r="G337" s="7" t="s">
        <v>1551</v>
      </c>
      <c r="H337" s="7">
        <v>27</v>
      </c>
      <c r="I337" s="7" t="s">
        <v>237</v>
      </c>
      <c r="J337" s="7" t="s">
        <v>737</v>
      </c>
    </row>
    <row r="338" spans="1:10" x14ac:dyDescent="0.3">
      <c r="A338" s="6" t="s">
        <v>1552</v>
      </c>
      <c r="B338" s="7" t="s">
        <v>139</v>
      </c>
      <c r="C338" s="7" t="s">
        <v>643</v>
      </c>
      <c r="D338" s="7" t="s">
        <v>30</v>
      </c>
      <c r="E338" s="7" t="s">
        <v>1553</v>
      </c>
      <c r="F338" s="7" t="s">
        <v>1554</v>
      </c>
      <c r="G338" s="7" t="s">
        <v>1555</v>
      </c>
      <c r="H338" s="7">
        <v>30</v>
      </c>
      <c r="I338" s="7" t="s">
        <v>434</v>
      </c>
      <c r="J338" s="7" t="s">
        <v>174</v>
      </c>
    </row>
    <row r="339" spans="1:10" x14ac:dyDescent="0.3">
      <c r="A339" s="6" t="s">
        <v>1556</v>
      </c>
      <c r="B339" s="7" t="s">
        <v>139</v>
      </c>
      <c r="C339" s="7" t="s">
        <v>643</v>
      </c>
      <c r="D339" s="7" t="s">
        <v>30</v>
      </c>
      <c r="E339" s="7" t="s">
        <v>1557</v>
      </c>
      <c r="F339" s="7" t="s">
        <v>752</v>
      </c>
      <c r="G339" s="7" t="s">
        <v>1558</v>
      </c>
      <c r="H339" s="7">
        <v>1</v>
      </c>
      <c r="I339" s="7" t="s">
        <v>1559</v>
      </c>
      <c r="J339" s="7" t="s">
        <v>1560</v>
      </c>
    </row>
    <row r="340" spans="1:10" x14ac:dyDescent="0.3">
      <c r="A340" s="6" t="s">
        <v>1561</v>
      </c>
      <c r="B340" s="7" t="s">
        <v>139</v>
      </c>
      <c r="C340" s="7" t="s">
        <v>643</v>
      </c>
      <c r="D340" s="7" t="s">
        <v>30</v>
      </c>
      <c r="E340" s="7" t="s">
        <v>1557</v>
      </c>
      <c r="F340" s="7" t="s">
        <v>752</v>
      </c>
      <c r="G340" s="7" t="s">
        <v>1562</v>
      </c>
      <c r="H340" s="7">
        <v>7</v>
      </c>
      <c r="I340" s="7" t="s">
        <v>184</v>
      </c>
      <c r="J340" s="7" t="s">
        <v>1563</v>
      </c>
    </row>
    <row r="341" spans="1:10" x14ac:dyDescent="0.3">
      <c r="A341" s="6" t="s">
        <v>1564</v>
      </c>
      <c r="B341" s="7" t="s">
        <v>139</v>
      </c>
      <c r="C341" s="7" t="s">
        <v>643</v>
      </c>
      <c r="D341" s="7" t="s">
        <v>30</v>
      </c>
      <c r="E341" s="7" t="s">
        <v>1565</v>
      </c>
      <c r="F341" s="7" t="s">
        <v>1566</v>
      </c>
      <c r="G341" s="7" t="s">
        <v>1567</v>
      </c>
      <c r="H341" s="7">
        <v>17</v>
      </c>
      <c r="I341" s="7" t="s">
        <v>1568</v>
      </c>
      <c r="J341" s="7" t="s">
        <v>1569</v>
      </c>
    </row>
    <row r="342" spans="1:10" x14ac:dyDescent="0.3">
      <c r="A342" s="6" t="s">
        <v>1570</v>
      </c>
      <c r="B342" s="7" t="s">
        <v>139</v>
      </c>
      <c r="C342" s="7" t="s">
        <v>643</v>
      </c>
      <c r="D342" s="7" t="s">
        <v>30</v>
      </c>
      <c r="E342" s="7" t="s">
        <v>1571</v>
      </c>
      <c r="F342" s="7" t="s">
        <v>1572</v>
      </c>
      <c r="G342" s="7" t="s">
        <v>1573</v>
      </c>
      <c r="H342" s="7">
        <v>3</v>
      </c>
      <c r="I342" s="7" t="s">
        <v>1574</v>
      </c>
      <c r="J342" s="7" t="s">
        <v>1575</v>
      </c>
    </row>
    <row r="343" spans="1:10" x14ac:dyDescent="0.3">
      <c r="A343" s="6" t="s">
        <v>1576</v>
      </c>
      <c r="B343" s="7" t="s">
        <v>139</v>
      </c>
      <c r="C343" s="7" t="s">
        <v>643</v>
      </c>
      <c r="D343" s="7" t="s">
        <v>30</v>
      </c>
      <c r="E343" s="7" t="s">
        <v>1571</v>
      </c>
      <c r="F343" s="7" t="s">
        <v>1572</v>
      </c>
      <c r="G343" s="7" t="s">
        <v>1577</v>
      </c>
      <c r="H343" s="7">
        <v>4</v>
      </c>
      <c r="I343" s="7" t="s">
        <v>246</v>
      </c>
      <c r="J343" s="7" t="s">
        <v>262</v>
      </c>
    </row>
    <row r="344" spans="1:10" x14ac:dyDescent="0.3">
      <c r="A344" s="6" t="s">
        <v>1578</v>
      </c>
      <c r="B344" s="7" t="s">
        <v>139</v>
      </c>
      <c r="C344" s="7" t="s">
        <v>643</v>
      </c>
      <c r="D344" s="7" t="s">
        <v>32</v>
      </c>
      <c r="E344" s="7" t="s">
        <v>1579</v>
      </c>
      <c r="F344" s="7" t="s">
        <v>1580</v>
      </c>
      <c r="G344" s="7" t="s">
        <v>1581</v>
      </c>
      <c r="H344" s="7">
        <v>13</v>
      </c>
      <c r="I344" s="7" t="s">
        <v>202</v>
      </c>
      <c r="J344" s="7" t="s">
        <v>493</v>
      </c>
    </row>
    <row r="345" spans="1:10" x14ac:dyDescent="0.3">
      <c r="A345" s="6" t="s">
        <v>1582</v>
      </c>
      <c r="B345" s="7" t="s">
        <v>139</v>
      </c>
      <c r="C345" s="7" t="s">
        <v>643</v>
      </c>
      <c r="D345" s="7" t="s">
        <v>32</v>
      </c>
      <c r="E345" s="7" t="s">
        <v>1583</v>
      </c>
      <c r="F345" s="7" t="s">
        <v>1584</v>
      </c>
      <c r="G345" s="7" t="s">
        <v>1585</v>
      </c>
      <c r="H345" s="7">
        <v>17</v>
      </c>
      <c r="I345" s="7" t="s">
        <v>457</v>
      </c>
      <c r="J345" s="7" t="s">
        <v>1586</v>
      </c>
    </row>
    <row r="346" spans="1:10" x14ac:dyDescent="0.3">
      <c r="A346" s="6" t="s">
        <v>1587</v>
      </c>
      <c r="B346" s="7" t="s">
        <v>139</v>
      </c>
      <c r="C346" s="7" t="s">
        <v>643</v>
      </c>
      <c r="D346" s="7" t="s">
        <v>32</v>
      </c>
      <c r="E346" s="7" t="s">
        <v>1583</v>
      </c>
      <c r="F346" s="7" t="s">
        <v>1584</v>
      </c>
      <c r="G346" s="7" t="s">
        <v>1588</v>
      </c>
      <c r="H346" s="7">
        <v>7</v>
      </c>
      <c r="I346" s="7" t="s">
        <v>967</v>
      </c>
      <c r="J346" s="7" t="s">
        <v>1589</v>
      </c>
    </row>
    <row r="347" spans="1:10" x14ac:dyDescent="0.3">
      <c r="A347" s="6" t="s">
        <v>1590</v>
      </c>
      <c r="B347" s="7" t="s">
        <v>139</v>
      </c>
      <c r="C347" s="7" t="s">
        <v>643</v>
      </c>
      <c r="D347" s="7" t="s">
        <v>32</v>
      </c>
      <c r="E347" s="7" t="s">
        <v>1591</v>
      </c>
      <c r="F347" s="7" t="s">
        <v>1592</v>
      </c>
      <c r="G347" s="7" t="s">
        <v>1593</v>
      </c>
      <c r="H347" s="7">
        <v>20</v>
      </c>
      <c r="I347" s="7" t="s">
        <v>247</v>
      </c>
      <c r="J347" s="7" t="s">
        <v>262</v>
      </c>
    </row>
    <row r="348" spans="1:10" x14ac:dyDescent="0.3">
      <c r="A348" s="6" t="s">
        <v>1594</v>
      </c>
      <c r="B348" s="7" t="s">
        <v>139</v>
      </c>
      <c r="C348" s="7" t="s">
        <v>643</v>
      </c>
      <c r="D348" s="7" t="s">
        <v>32</v>
      </c>
      <c r="E348" s="7" t="s">
        <v>1595</v>
      </c>
      <c r="F348" s="7" t="s">
        <v>1596</v>
      </c>
      <c r="G348" s="7" t="s">
        <v>1597</v>
      </c>
      <c r="H348" s="7">
        <v>18</v>
      </c>
      <c r="I348" s="7" t="s">
        <v>682</v>
      </c>
      <c r="J348" s="7" t="s">
        <v>679</v>
      </c>
    </row>
    <row r="349" spans="1:10" x14ac:dyDescent="0.3">
      <c r="A349" s="6" t="s">
        <v>1598</v>
      </c>
      <c r="B349" s="7" t="s">
        <v>139</v>
      </c>
      <c r="C349" s="7" t="s">
        <v>643</v>
      </c>
      <c r="D349" s="7" t="s">
        <v>32</v>
      </c>
      <c r="E349" s="7" t="s">
        <v>1595</v>
      </c>
      <c r="F349" s="7" t="s">
        <v>1596</v>
      </c>
      <c r="G349" s="7" t="s">
        <v>1599</v>
      </c>
      <c r="H349" s="7">
        <v>16</v>
      </c>
      <c r="I349" s="7" t="s">
        <v>1600</v>
      </c>
      <c r="J349" s="7" t="s">
        <v>1601</v>
      </c>
    </row>
    <row r="350" spans="1:10" x14ac:dyDescent="0.3">
      <c r="A350" s="6" t="s">
        <v>1602</v>
      </c>
      <c r="B350" s="7" t="s">
        <v>139</v>
      </c>
      <c r="C350" s="7" t="s">
        <v>643</v>
      </c>
      <c r="D350" s="7" t="s">
        <v>32</v>
      </c>
      <c r="E350" s="7" t="s">
        <v>1603</v>
      </c>
      <c r="F350" s="7" t="s">
        <v>358</v>
      </c>
      <c r="G350" s="7" t="s">
        <v>1604</v>
      </c>
      <c r="H350" s="7">
        <v>14</v>
      </c>
      <c r="I350" s="7" t="s">
        <v>1605</v>
      </c>
      <c r="J350" s="7" t="s">
        <v>1540</v>
      </c>
    </row>
    <row r="351" spans="1:10" x14ac:dyDescent="0.3">
      <c r="A351" s="6" t="s">
        <v>1606</v>
      </c>
      <c r="B351" s="7" t="s">
        <v>139</v>
      </c>
      <c r="C351" s="7" t="s">
        <v>643</v>
      </c>
      <c r="D351" s="7" t="s">
        <v>32</v>
      </c>
      <c r="E351" s="7" t="s">
        <v>1607</v>
      </c>
      <c r="F351" s="7" t="s">
        <v>1608</v>
      </c>
      <c r="G351" s="7" t="s">
        <v>1609</v>
      </c>
      <c r="H351" s="7">
        <v>9</v>
      </c>
      <c r="I351" s="7" t="s">
        <v>148</v>
      </c>
      <c r="J351" s="7" t="s">
        <v>174</v>
      </c>
    </row>
    <row r="352" spans="1:10" x14ac:dyDescent="0.3">
      <c r="A352" s="6" t="s">
        <v>1610</v>
      </c>
      <c r="B352" s="7" t="s">
        <v>139</v>
      </c>
      <c r="C352" s="7" t="s">
        <v>643</v>
      </c>
      <c r="D352" s="7" t="s">
        <v>32</v>
      </c>
      <c r="E352" s="7" t="s">
        <v>1611</v>
      </c>
      <c r="F352" s="7" t="s">
        <v>1612</v>
      </c>
      <c r="G352" s="7" t="s">
        <v>1613</v>
      </c>
      <c r="H352" s="7">
        <v>7</v>
      </c>
      <c r="I352" s="7" t="s">
        <v>1614</v>
      </c>
      <c r="J352" s="7" t="s">
        <v>174</v>
      </c>
    </row>
    <row r="353" spans="1:10" x14ac:dyDescent="0.3">
      <c r="A353" s="6" t="s">
        <v>1615</v>
      </c>
      <c r="B353" s="7" t="s">
        <v>139</v>
      </c>
      <c r="C353" s="7" t="s">
        <v>643</v>
      </c>
      <c r="D353" s="7" t="s">
        <v>32</v>
      </c>
      <c r="E353" s="7" t="s">
        <v>1616</v>
      </c>
      <c r="F353" s="7" t="s">
        <v>1617</v>
      </c>
      <c r="G353" s="7" t="s">
        <v>1618</v>
      </c>
      <c r="H353" s="7">
        <v>0</v>
      </c>
      <c r="I353" s="7" t="s">
        <v>185</v>
      </c>
      <c r="J353" s="7" t="s">
        <v>240</v>
      </c>
    </row>
    <row r="354" spans="1:10" x14ac:dyDescent="0.3">
      <c r="A354" s="6" t="s">
        <v>1619</v>
      </c>
      <c r="B354" s="7" t="s">
        <v>139</v>
      </c>
      <c r="C354" s="7" t="s">
        <v>643</v>
      </c>
      <c r="D354" s="7" t="s">
        <v>32</v>
      </c>
      <c r="E354" s="7" t="s">
        <v>1620</v>
      </c>
      <c r="F354" s="7" t="s">
        <v>1621</v>
      </c>
      <c r="G354" s="7" t="s">
        <v>1622</v>
      </c>
      <c r="H354" s="7">
        <v>10</v>
      </c>
      <c r="I354" s="7" t="s">
        <v>1623</v>
      </c>
      <c r="J354" s="7" t="s">
        <v>1624</v>
      </c>
    </row>
    <row r="355" spans="1:10" x14ac:dyDescent="0.3">
      <c r="A355" s="6" t="s">
        <v>1625</v>
      </c>
      <c r="B355" s="7" t="s">
        <v>139</v>
      </c>
      <c r="C355" s="7" t="s">
        <v>643</v>
      </c>
      <c r="D355" s="7" t="s">
        <v>32</v>
      </c>
      <c r="E355" s="7" t="s">
        <v>1626</v>
      </c>
      <c r="F355" s="7" t="s">
        <v>1627</v>
      </c>
      <c r="G355" s="7" t="s">
        <v>1628</v>
      </c>
      <c r="H355" s="7">
        <v>15</v>
      </c>
      <c r="I355" s="7" t="s">
        <v>1629</v>
      </c>
      <c r="J355" s="7" t="s">
        <v>174</v>
      </c>
    </row>
    <row r="356" spans="1:10" x14ac:dyDescent="0.3">
      <c r="A356" s="6" t="s">
        <v>1630</v>
      </c>
      <c r="B356" s="7" t="s">
        <v>139</v>
      </c>
      <c r="C356" s="7" t="s">
        <v>643</v>
      </c>
      <c r="D356" s="7" t="s">
        <v>32</v>
      </c>
      <c r="E356" s="7" t="s">
        <v>1631</v>
      </c>
      <c r="F356" s="7" t="s">
        <v>1632</v>
      </c>
      <c r="G356" s="7" t="s">
        <v>1633</v>
      </c>
      <c r="H356" s="7">
        <v>6</v>
      </c>
      <c r="I356" s="7" t="s">
        <v>1389</v>
      </c>
      <c r="J356" s="7" t="s">
        <v>617</v>
      </c>
    </row>
    <row r="357" spans="1:10" x14ac:dyDescent="0.3">
      <c r="A357" s="6" t="s">
        <v>1634</v>
      </c>
      <c r="B357" s="7" t="s">
        <v>139</v>
      </c>
      <c r="C357" s="7" t="s">
        <v>643</v>
      </c>
      <c r="D357" s="7" t="s">
        <v>32</v>
      </c>
      <c r="E357" s="7" t="s">
        <v>1631</v>
      </c>
      <c r="F357" s="7" t="s">
        <v>1632</v>
      </c>
      <c r="G357" s="7" t="s">
        <v>1635</v>
      </c>
      <c r="H357" s="7">
        <v>5</v>
      </c>
      <c r="I357" s="7" t="s">
        <v>682</v>
      </c>
      <c r="J357" s="7" t="s">
        <v>617</v>
      </c>
    </row>
    <row r="358" spans="1:10" x14ac:dyDescent="0.3">
      <c r="A358" s="6" t="s">
        <v>1636</v>
      </c>
      <c r="B358" s="7" t="s">
        <v>139</v>
      </c>
      <c r="C358" s="7" t="s">
        <v>643</v>
      </c>
      <c r="D358" s="7" t="s">
        <v>32</v>
      </c>
      <c r="E358" s="7" t="s">
        <v>1637</v>
      </c>
      <c r="F358" s="7" t="s">
        <v>1638</v>
      </c>
      <c r="G358" s="7" t="s">
        <v>1639</v>
      </c>
      <c r="H358" s="7">
        <v>7</v>
      </c>
      <c r="I358" s="7" t="s">
        <v>1304</v>
      </c>
      <c r="J358" s="7" t="s">
        <v>422</v>
      </c>
    </row>
    <row r="359" spans="1:10" x14ac:dyDescent="0.3">
      <c r="A359" s="6" t="s">
        <v>1640</v>
      </c>
      <c r="B359" s="7" t="s">
        <v>139</v>
      </c>
      <c r="C359" s="7" t="s">
        <v>643</v>
      </c>
      <c r="D359" s="7" t="s">
        <v>32</v>
      </c>
      <c r="E359" s="7" t="s">
        <v>1641</v>
      </c>
      <c r="F359" s="7"/>
      <c r="G359" s="7" t="s">
        <v>1642</v>
      </c>
      <c r="H359" s="7">
        <v>2</v>
      </c>
      <c r="I359" s="7" t="s">
        <v>418</v>
      </c>
      <c r="J359" s="7" t="s">
        <v>1643</v>
      </c>
    </row>
    <row r="360" spans="1:10" x14ac:dyDescent="0.3">
      <c r="A360" s="6" t="s">
        <v>1644</v>
      </c>
      <c r="B360" s="7" t="s">
        <v>139</v>
      </c>
      <c r="C360" s="7" t="s">
        <v>643</v>
      </c>
      <c r="D360" s="7" t="s">
        <v>32</v>
      </c>
      <c r="E360" s="7" t="s">
        <v>1645</v>
      </c>
      <c r="F360" s="7" t="s">
        <v>1646</v>
      </c>
      <c r="G360" s="7" t="s">
        <v>1647</v>
      </c>
      <c r="H360" s="7">
        <v>73</v>
      </c>
      <c r="I360" s="7" t="s">
        <v>1648</v>
      </c>
      <c r="J360" s="7" t="s">
        <v>174</v>
      </c>
    </row>
    <row r="361" spans="1:10" x14ac:dyDescent="0.3">
      <c r="A361" s="6" t="s">
        <v>1649</v>
      </c>
      <c r="B361" s="7" t="s">
        <v>139</v>
      </c>
      <c r="C361" s="7" t="s">
        <v>643</v>
      </c>
      <c r="D361" s="7" t="s">
        <v>32</v>
      </c>
      <c r="E361" s="7" t="s">
        <v>1650</v>
      </c>
      <c r="F361" s="7" t="s">
        <v>1651</v>
      </c>
      <c r="G361" s="7" t="s">
        <v>1652</v>
      </c>
      <c r="H361" s="7">
        <v>165</v>
      </c>
      <c r="I361" s="7" t="s">
        <v>1097</v>
      </c>
      <c r="J361" s="7" t="s">
        <v>1653</v>
      </c>
    </row>
    <row r="362" spans="1:10" x14ac:dyDescent="0.3">
      <c r="A362" s="6" t="s">
        <v>1654</v>
      </c>
      <c r="B362" s="7" t="s">
        <v>139</v>
      </c>
      <c r="C362" s="7" t="s">
        <v>643</v>
      </c>
      <c r="D362" s="7" t="s">
        <v>32</v>
      </c>
      <c r="E362" s="7" t="s">
        <v>1655</v>
      </c>
      <c r="F362" s="7" t="s">
        <v>1656</v>
      </c>
      <c r="G362" s="7" t="s">
        <v>1657</v>
      </c>
      <c r="H362" s="7">
        <v>8</v>
      </c>
      <c r="I362" s="7" t="s">
        <v>858</v>
      </c>
      <c r="J362" s="7" t="s">
        <v>174</v>
      </c>
    </row>
    <row r="363" spans="1:10" x14ac:dyDescent="0.3">
      <c r="A363" s="6" t="s">
        <v>1658</v>
      </c>
      <c r="B363" s="7" t="s">
        <v>139</v>
      </c>
      <c r="C363" s="7" t="s">
        <v>643</v>
      </c>
      <c r="D363" s="7" t="s">
        <v>32</v>
      </c>
      <c r="E363" s="7" t="s">
        <v>1659</v>
      </c>
      <c r="F363" s="7" t="s">
        <v>1660</v>
      </c>
      <c r="G363" s="7" t="s">
        <v>1661</v>
      </c>
      <c r="H363" s="7">
        <v>20</v>
      </c>
      <c r="I363" s="7" t="s">
        <v>1363</v>
      </c>
      <c r="J363" s="7" t="s">
        <v>617</v>
      </c>
    </row>
    <row r="364" spans="1:10" x14ac:dyDescent="0.3">
      <c r="A364" s="6" t="s">
        <v>1662</v>
      </c>
      <c r="B364" s="7" t="s">
        <v>139</v>
      </c>
      <c r="C364" s="7" t="s">
        <v>643</v>
      </c>
      <c r="D364" s="7" t="s">
        <v>32</v>
      </c>
      <c r="E364" s="7" t="s">
        <v>1663</v>
      </c>
      <c r="F364" s="7" t="s">
        <v>1664</v>
      </c>
      <c r="G364" s="7" t="s">
        <v>1665</v>
      </c>
      <c r="H364" s="7">
        <v>28</v>
      </c>
      <c r="I364" s="7" t="s">
        <v>1151</v>
      </c>
      <c r="J364" s="7" t="s">
        <v>514</v>
      </c>
    </row>
    <row r="365" spans="1:10" x14ac:dyDescent="0.3">
      <c r="A365" s="6" t="s">
        <v>1666</v>
      </c>
      <c r="B365" s="7" t="s">
        <v>139</v>
      </c>
      <c r="C365" s="7" t="s">
        <v>643</v>
      </c>
      <c r="D365" s="7" t="s">
        <v>32</v>
      </c>
      <c r="E365" s="7" t="s">
        <v>1667</v>
      </c>
      <c r="F365" s="7" t="s">
        <v>1668</v>
      </c>
      <c r="G365" s="7" t="s">
        <v>1669</v>
      </c>
      <c r="H365" s="7">
        <v>3</v>
      </c>
      <c r="I365" s="7" t="s">
        <v>1670</v>
      </c>
      <c r="J365" s="7" t="s">
        <v>1671</v>
      </c>
    </row>
    <row r="366" spans="1:10" x14ac:dyDescent="0.3">
      <c r="A366" s="6" t="s">
        <v>1672</v>
      </c>
      <c r="B366" s="7" t="s">
        <v>139</v>
      </c>
      <c r="C366" s="7" t="s">
        <v>643</v>
      </c>
      <c r="D366" s="7" t="s">
        <v>32</v>
      </c>
      <c r="E366" s="7" t="s">
        <v>1673</v>
      </c>
      <c r="F366" s="7" t="s">
        <v>1674</v>
      </c>
      <c r="G366" s="7" t="s">
        <v>1675</v>
      </c>
      <c r="H366" s="7">
        <v>4</v>
      </c>
      <c r="I366" s="7" t="s">
        <v>384</v>
      </c>
      <c r="J366" s="7" t="s">
        <v>174</v>
      </c>
    </row>
    <row r="367" spans="1:10" x14ac:dyDescent="0.3">
      <c r="A367" s="6" t="s">
        <v>1676</v>
      </c>
      <c r="B367" s="7" t="s">
        <v>139</v>
      </c>
      <c r="C367" s="7" t="s">
        <v>643</v>
      </c>
      <c r="D367" s="7" t="s">
        <v>32</v>
      </c>
      <c r="E367" s="7" t="s">
        <v>1677</v>
      </c>
      <c r="F367" s="7" t="s">
        <v>1678</v>
      </c>
      <c r="G367" s="7" t="s">
        <v>1679</v>
      </c>
      <c r="H367" s="7">
        <v>3</v>
      </c>
      <c r="I367" s="7" t="s">
        <v>173</v>
      </c>
      <c r="J367" s="7" t="s">
        <v>1384</v>
      </c>
    </row>
    <row r="368" spans="1:10" x14ac:dyDescent="0.3">
      <c r="A368" s="6" t="s">
        <v>1680</v>
      </c>
      <c r="B368" s="7" t="s">
        <v>139</v>
      </c>
      <c r="C368" s="7" t="s">
        <v>643</v>
      </c>
      <c r="D368" s="7" t="s">
        <v>32</v>
      </c>
      <c r="E368" s="7" t="s">
        <v>1677</v>
      </c>
      <c r="F368" s="7" t="s">
        <v>1678</v>
      </c>
      <c r="G368" s="7" t="s">
        <v>1681</v>
      </c>
      <c r="H368" s="7">
        <v>6</v>
      </c>
      <c r="I368" s="7" t="s">
        <v>1682</v>
      </c>
      <c r="J368" s="7" t="s">
        <v>1683</v>
      </c>
    </row>
    <row r="369" spans="1:10" x14ac:dyDescent="0.3">
      <c r="A369" s="6" t="s">
        <v>1684</v>
      </c>
      <c r="B369" s="7" t="s">
        <v>139</v>
      </c>
      <c r="C369" s="7" t="s">
        <v>643</v>
      </c>
      <c r="D369" s="7" t="s">
        <v>32</v>
      </c>
      <c r="E369" s="7" t="s">
        <v>1685</v>
      </c>
      <c r="F369" s="7" t="s">
        <v>1686</v>
      </c>
      <c r="G369" s="7" t="s">
        <v>1687</v>
      </c>
      <c r="H369" s="7">
        <v>23</v>
      </c>
      <c r="I369" s="7" t="s">
        <v>870</v>
      </c>
      <c r="J369" s="7" t="s">
        <v>737</v>
      </c>
    </row>
    <row r="370" spans="1:10" x14ac:dyDescent="0.3">
      <c r="A370" s="6" t="s">
        <v>1688</v>
      </c>
      <c r="B370" s="7" t="s">
        <v>139</v>
      </c>
      <c r="C370" s="7" t="s">
        <v>643</v>
      </c>
      <c r="D370" s="7" t="s">
        <v>32</v>
      </c>
      <c r="E370" s="7" t="s">
        <v>1689</v>
      </c>
      <c r="F370" s="7" t="s">
        <v>1307</v>
      </c>
      <c r="G370" s="7" t="s">
        <v>1690</v>
      </c>
      <c r="H370" s="7">
        <v>62</v>
      </c>
      <c r="I370" s="7" t="s">
        <v>1249</v>
      </c>
      <c r="J370" s="7" t="s">
        <v>174</v>
      </c>
    </row>
  </sheetData>
  <hyperlinks>
    <hyperlink ref="A1" location="'Dashboard-R'!A1" display="⬅️ Dashboard Principal" xr:uid="{00000000-0004-0000-0400-000000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98"/>
  <sheetViews>
    <sheetView showGridLines="0" showRowColHeaders="0" workbookViewId="0"/>
  </sheetViews>
  <sheetFormatPr baseColWidth="10" defaultColWidth="8.88671875" defaultRowHeight="14.4" x14ac:dyDescent="0.3"/>
  <cols>
    <col min="1" max="1" width="13" customWidth="1"/>
    <col min="2" max="2" width="8" customWidth="1"/>
    <col min="3" max="3" width="17" customWidth="1"/>
    <col min="4" max="4" width="42" customWidth="1"/>
    <col min="5" max="6" width="43" customWidth="1"/>
    <col min="7" max="7" width="50" customWidth="1"/>
    <col min="8" max="8" width="17" customWidth="1"/>
    <col min="9" max="9" width="25" customWidth="1"/>
    <col min="10" max="10" width="50" customWidth="1"/>
    <col min="11" max="11" width="34" customWidth="1"/>
    <col min="12" max="12" width="50" customWidth="1"/>
    <col min="13" max="13" width="36" customWidth="1"/>
    <col min="14" max="14" width="26" customWidth="1"/>
    <col min="15" max="15" width="25" customWidth="1"/>
    <col min="16" max="16" width="37" customWidth="1"/>
    <col min="17" max="17" width="17" customWidth="1"/>
    <col min="18" max="18" width="24" customWidth="1"/>
    <col min="19" max="19" width="7" customWidth="1"/>
    <col min="20" max="20" width="8" customWidth="1"/>
    <col min="21" max="21" width="17" customWidth="1"/>
    <col min="22" max="22" width="14" customWidth="1"/>
    <col min="23" max="23" width="13" customWidth="1"/>
  </cols>
  <sheetData>
    <row r="1" spans="1:21" ht="30" customHeight="1" x14ac:dyDescent="0.3">
      <c r="A1" s="1" t="s">
        <v>0</v>
      </c>
      <c r="B1" s="2"/>
      <c r="C1" s="2"/>
      <c r="D1" s="2"/>
      <c r="E1" s="2"/>
      <c r="F1" s="2"/>
      <c r="G1" s="2"/>
      <c r="H1" s="2"/>
      <c r="I1" s="2"/>
      <c r="J1" s="2"/>
      <c r="K1" s="2"/>
      <c r="L1" s="2"/>
      <c r="M1" s="2"/>
      <c r="N1" s="2"/>
      <c r="O1" s="2"/>
      <c r="P1" s="2"/>
      <c r="Q1" s="2"/>
      <c r="R1" s="2"/>
      <c r="S1" s="2"/>
      <c r="T1" s="2"/>
      <c r="U1" s="3" t="s">
        <v>1</v>
      </c>
    </row>
    <row r="2" spans="1:21" ht="25.05" customHeight="1" x14ac:dyDescent="0.3">
      <c r="A2" s="4" t="s">
        <v>129</v>
      </c>
      <c r="B2" s="5" t="s">
        <v>130</v>
      </c>
      <c r="C2" s="5" t="s">
        <v>131</v>
      </c>
      <c r="D2" s="5" t="s">
        <v>132</v>
      </c>
      <c r="E2" s="5" t="s">
        <v>133</v>
      </c>
      <c r="F2" s="5" t="s">
        <v>134</v>
      </c>
      <c r="G2" s="5" t="s">
        <v>50</v>
      </c>
      <c r="H2" s="5" t="s">
        <v>1691</v>
      </c>
      <c r="I2" s="5" t="s">
        <v>1692</v>
      </c>
      <c r="J2" s="5" t="s">
        <v>1693</v>
      </c>
      <c r="K2" s="5" t="s">
        <v>1694</v>
      </c>
      <c r="L2" s="5" t="s">
        <v>1695</v>
      </c>
      <c r="M2" s="5" t="s">
        <v>1696</v>
      </c>
      <c r="N2" s="5" t="s">
        <v>1697</v>
      </c>
      <c r="O2" s="5" t="s">
        <v>1698</v>
      </c>
      <c r="P2" s="5" t="s">
        <v>1699</v>
      </c>
      <c r="Q2" s="5" t="s">
        <v>1700</v>
      </c>
      <c r="R2" s="5" t="s">
        <v>1701</v>
      </c>
      <c r="S2" s="5" t="s">
        <v>135</v>
      </c>
      <c r="T2" s="5" t="s">
        <v>136</v>
      </c>
      <c r="U2" s="5" t="s">
        <v>137</v>
      </c>
    </row>
    <row r="3" spans="1:21" x14ac:dyDescent="0.3">
      <c r="A3" s="6" t="s">
        <v>1702</v>
      </c>
      <c r="B3" s="7" t="s">
        <v>139</v>
      </c>
      <c r="C3" s="7" t="s">
        <v>643</v>
      </c>
      <c r="D3" s="7" t="s">
        <v>8</v>
      </c>
      <c r="E3" s="7" t="s">
        <v>576</v>
      </c>
      <c r="F3" s="7" t="s">
        <v>577</v>
      </c>
      <c r="G3" s="7" t="s">
        <v>1703</v>
      </c>
      <c r="H3" s="7" t="s">
        <v>1704</v>
      </c>
      <c r="I3" s="7" t="s">
        <v>1705</v>
      </c>
      <c r="J3" s="7" t="s">
        <v>1706</v>
      </c>
      <c r="K3" s="7" t="s">
        <v>1707</v>
      </c>
      <c r="L3" s="7">
        <v>67</v>
      </c>
      <c r="M3" s="7"/>
      <c r="N3" s="7"/>
      <c r="O3" s="7">
        <v>67</v>
      </c>
      <c r="P3" s="7"/>
      <c r="Q3" s="7">
        <v>3</v>
      </c>
      <c r="R3" s="7">
        <v>64</v>
      </c>
      <c r="S3" s="7"/>
      <c r="T3" s="7" t="s">
        <v>168</v>
      </c>
      <c r="U3" s="7" t="s">
        <v>1708</v>
      </c>
    </row>
    <row r="4" spans="1:21" x14ac:dyDescent="0.3">
      <c r="A4" s="6" t="s">
        <v>1709</v>
      </c>
      <c r="B4" s="7" t="s">
        <v>139</v>
      </c>
      <c r="C4" s="7" t="s">
        <v>140</v>
      </c>
      <c r="D4" s="7" t="s">
        <v>10</v>
      </c>
      <c r="E4" s="7" t="s">
        <v>474</v>
      </c>
      <c r="F4" s="7" t="s">
        <v>475</v>
      </c>
      <c r="G4" s="7" t="s">
        <v>1710</v>
      </c>
      <c r="H4" s="7" t="s">
        <v>1711</v>
      </c>
      <c r="I4" s="7" t="s">
        <v>1712</v>
      </c>
      <c r="J4" s="7" t="s">
        <v>1713</v>
      </c>
      <c r="K4" s="7" t="s">
        <v>1714</v>
      </c>
      <c r="L4" s="7">
        <v>31</v>
      </c>
      <c r="M4" s="7"/>
      <c r="N4" s="7"/>
      <c r="O4" s="7">
        <v>31</v>
      </c>
      <c r="P4" s="7"/>
      <c r="Q4" s="7">
        <v>3</v>
      </c>
      <c r="R4" s="7">
        <v>30</v>
      </c>
      <c r="S4" s="7">
        <v>33</v>
      </c>
      <c r="T4" s="7" t="s">
        <v>1715</v>
      </c>
      <c r="U4" s="7" t="s">
        <v>144</v>
      </c>
    </row>
    <row r="5" spans="1:21" x14ac:dyDescent="0.3">
      <c r="A5" s="6" t="s">
        <v>1716</v>
      </c>
      <c r="B5" s="7" t="s">
        <v>139</v>
      </c>
      <c r="C5" s="7" t="s">
        <v>140</v>
      </c>
      <c r="D5" s="7" t="s">
        <v>10</v>
      </c>
      <c r="E5" s="7" t="s">
        <v>1717</v>
      </c>
      <c r="F5" s="7"/>
      <c r="G5" s="7" t="s">
        <v>1718</v>
      </c>
      <c r="H5" s="7" t="s">
        <v>1719</v>
      </c>
      <c r="I5" s="7" t="s">
        <v>1720</v>
      </c>
      <c r="J5" s="7" t="s">
        <v>1721</v>
      </c>
      <c r="K5" s="7" t="s">
        <v>1707</v>
      </c>
      <c r="L5" s="7"/>
      <c r="M5" s="7">
        <v>3</v>
      </c>
      <c r="N5" s="7"/>
      <c r="O5" s="7">
        <v>3</v>
      </c>
      <c r="P5" s="7"/>
      <c r="Q5" s="7">
        <v>0</v>
      </c>
      <c r="R5" s="7">
        <v>3</v>
      </c>
      <c r="S5" s="7">
        <v>3</v>
      </c>
      <c r="T5" s="7" t="s">
        <v>1722</v>
      </c>
      <c r="U5" s="7" t="s">
        <v>472</v>
      </c>
    </row>
    <row r="6" spans="1:21" x14ac:dyDescent="0.3">
      <c r="A6" s="6" t="s">
        <v>1723</v>
      </c>
      <c r="B6" s="7" t="s">
        <v>139</v>
      </c>
      <c r="C6" s="7" t="s">
        <v>643</v>
      </c>
      <c r="D6" s="7" t="s">
        <v>12</v>
      </c>
      <c r="E6" s="7" t="s">
        <v>1724</v>
      </c>
      <c r="F6" s="7" t="s">
        <v>1580</v>
      </c>
      <c r="G6" s="7" t="s">
        <v>1725</v>
      </c>
      <c r="H6" s="7" t="s">
        <v>1726</v>
      </c>
      <c r="I6" s="7" t="s">
        <v>1727</v>
      </c>
      <c r="J6" s="7" t="s">
        <v>1728</v>
      </c>
      <c r="K6" s="7" t="s">
        <v>1729</v>
      </c>
      <c r="L6" s="7"/>
      <c r="M6" s="7"/>
      <c r="N6" s="7" t="s">
        <v>683</v>
      </c>
      <c r="O6" s="7">
        <v>11</v>
      </c>
      <c r="P6" s="7"/>
      <c r="Q6" s="7">
        <v>1</v>
      </c>
      <c r="R6" s="7">
        <v>10</v>
      </c>
      <c r="S6" s="7">
        <v>11</v>
      </c>
      <c r="T6" s="7" t="s">
        <v>1304</v>
      </c>
      <c r="U6" s="7" t="s">
        <v>174</v>
      </c>
    </row>
    <row r="7" spans="1:21" x14ac:dyDescent="0.3">
      <c r="A7" s="6" t="s">
        <v>1730</v>
      </c>
      <c r="B7" s="7" t="s">
        <v>139</v>
      </c>
      <c r="C7" s="7" t="s">
        <v>643</v>
      </c>
      <c r="D7" s="7" t="s">
        <v>12</v>
      </c>
      <c r="E7" s="7" t="s">
        <v>1731</v>
      </c>
      <c r="F7" s="7" t="s">
        <v>1732</v>
      </c>
      <c r="G7" s="7" t="s">
        <v>1733</v>
      </c>
      <c r="H7" s="7" t="s">
        <v>1734</v>
      </c>
      <c r="I7" s="7" t="s">
        <v>1735</v>
      </c>
      <c r="J7" s="7" t="s">
        <v>1728</v>
      </c>
      <c r="K7" s="7" t="s">
        <v>1707</v>
      </c>
      <c r="L7" s="7">
        <v>23</v>
      </c>
      <c r="M7" s="7"/>
      <c r="N7" s="7"/>
      <c r="O7" s="7">
        <v>23</v>
      </c>
      <c r="P7" s="7"/>
      <c r="Q7" s="7">
        <v>1</v>
      </c>
      <c r="R7" s="7">
        <v>22</v>
      </c>
      <c r="S7" s="7">
        <v>23</v>
      </c>
      <c r="T7" s="7" t="s">
        <v>1736</v>
      </c>
      <c r="U7" s="7" t="s">
        <v>174</v>
      </c>
    </row>
    <row r="8" spans="1:21" x14ac:dyDescent="0.3">
      <c r="A8" s="6" t="s">
        <v>709</v>
      </c>
      <c r="B8" s="7" t="s">
        <v>139</v>
      </c>
      <c r="C8" s="7" t="s">
        <v>643</v>
      </c>
      <c r="D8" s="7" t="s">
        <v>12</v>
      </c>
      <c r="E8" s="7" t="s">
        <v>710</v>
      </c>
      <c r="F8" s="7" t="s">
        <v>711</v>
      </c>
      <c r="G8" s="7" t="s">
        <v>120</v>
      </c>
      <c r="H8" s="7" t="s">
        <v>1737</v>
      </c>
      <c r="I8" s="7" t="s">
        <v>1738</v>
      </c>
      <c r="J8" s="7" t="s">
        <v>2</v>
      </c>
      <c r="K8" s="7" t="s">
        <v>1739</v>
      </c>
      <c r="L8" s="7">
        <v>16</v>
      </c>
      <c r="M8" s="7"/>
      <c r="N8" s="7"/>
      <c r="O8" s="7">
        <v>16</v>
      </c>
      <c r="P8" s="7"/>
      <c r="Q8" s="7">
        <v>8</v>
      </c>
      <c r="R8" s="7">
        <v>24</v>
      </c>
      <c r="S8" s="7">
        <v>32</v>
      </c>
      <c r="T8" s="7" t="s">
        <v>123</v>
      </c>
      <c r="U8" s="7" t="s">
        <v>419</v>
      </c>
    </row>
    <row r="9" spans="1:21" x14ac:dyDescent="0.3">
      <c r="A9" s="6" t="s">
        <v>1740</v>
      </c>
      <c r="B9" s="7" t="s">
        <v>139</v>
      </c>
      <c r="C9" s="7" t="s">
        <v>643</v>
      </c>
      <c r="D9" s="7" t="s">
        <v>12</v>
      </c>
      <c r="E9" s="7" t="s">
        <v>713</v>
      </c>
      <c r="F9" s="7" t="s">
        <v>714</v>
      </c>
      <c r="G9" s="7" t="s">
        <v>1741</v>
      </c>
      <c r="H9" s="7" t="s">
        <v>1742</v>
      </c>
      <c r="I9" s="7" t="s">
        <v>1743</v>
      </c>
      <c r="J9" s="7" t="s">
        <v>1744</v>
      </c>
      <c r="K9" s="7" t="s">
        <v>1745</v>
      </c>
      <c r="L9" s="7">
        <v>3</v>
      </c>
      <c r="M9" s="7"/>
      <c r="N9" s="7"/>
      <c r="O9" s="7">
        <v>3</v>
      </c>
      <c r="P9" s="7"/>
      <c r="Q9" s="7">
        <v>1</v>
      </c>
      <c r="R9" s="7">
        <v>2</v>
      </c>
      <c r="S9" s="7">
        <v>3</v>
      </c>
      <c r="T9" s="7" t="s">
        <v>1035</v>
      </c>
      <c r="U9" s="7" t="s">
        <v>1470</v>
      </c>
    </row>
    <row r="10" spans="1:21" x14ac:dyDescent="0.3">
      <c r="A10" s="6" t="s">
        <v>1746</v>
      </c>
      <c r="B10" s="7" t="s">
        <v>139</v>
      </c>
      <c r="C10" s="7" t="s">
        <v>643</v>
      </c>
      <c r="D10" s="7" t="s">
        <v>12</v>
      </c>
      <c r="E10" s="7" t="s">
        <v>1747</v>
      </c>
      <c r="F10" s="7" t="s">
        <v>1748</v>
      </c>
      <c r="G10" s="7" t="s">
        <v>1749</v>
      </c>
      <c r="H10" s="7" t="s">
        <v>1750</v>
      </c>
      <c r="I10" s="7" t="s">
        <v>1727</v>
      </c>
      <c r="J10" s="7" t="s">
        <v>2</v>
      </c>
      <c r="K10" s="7" t="s">
        <v>1729</v>
      </c>
      <c r="L10" s="7"/>
      <c r="M10" s="7"/>
      <c r="N10" s="7" t="s">
        <v>674</v>
      </c>
      <c r="O10" s="7">
        <v>10</v>
      </c>
      <c r="P10" s="7"/>
      <c r="Q10" s="7">
        <v>5</v>
      </c>
      <c r="R10" s="7">
        <v>5</v>
      </c>
      <c r="S10" s="7">
        <v>10</v>
      </c>
      <c r="T10" s="7" t="s">
        <v>1083</v>
      </c>
      <c r="U10" s="7" t="s">
        <v>1751</v>
      </c>
    </row>
    <row r="11" spans="1:21" x14ac:dyDescent="0.3">
      <c r="A11" s="6" t="s">
        <v>1752</v>
      </c>
      <c r="B11" s="7" t="s">
        <v>139</v>
      </c>
      <c r="C11" s="7" t="s">
        <v>643</v>
      </c>
      <c r="D11" s="7" t="s">
        <v>12</v>
      </c>
      <c r="E11" s="7" t="s">
        <v>1753</v>
      </c>
      <c r="F11" s="7" t="s">
        <v>1754</v>
      </c>
      <c r="G11" s="7" t="s">
        <v>1755</v>
      </c>
      <c r="H11" s="7" t="s">
        <v>1756</v>
      </c>
      <c r="I11" s="7" t="s">
        <v>1738</v>
      </c>
      <c r="J11" s="7" t="s">
        <v>2</v>
      </c>
      <c r="K11" s="7" t="s">
        <v>1707</v>
      </c>
      <c r="L11" s="7">
        <v>32</v>
      </c>
      <c r="M11" s="7"/>
      <c r="N11" s="7"/>
      <c r="O11" s="7">
        <v>32</v>
      </c>
      <c r="P11" s="7"/>
      <c r="Q11" s="7">
        <v>27</v>
      </c>
      <c r="R11" s="7">
        <v>11</v>
      </c>
      <c r="S11" s="7">
        <v>38</v>
      </c>
      <c r="T11" s="7" t="s">
        <v>87</v>
      </c>
      <c r="U11" s="7" t="s">
        <v>1757</v>
      </c>
    </row>
    <row r="12" spans="1:21" x14ac:dyDescent="0.3">
      <c r="A12" s="6" t="s">
        <v>1758</v>
      </c>
      <c r="B12" s="7" t="s">
        <v>139</v>
      </c>
      <c r="C12" s="7" t="s">
        <v>643</v>
      </c>
      <c r="D12" s="7" t="s">
        <v>12</v>
      </c>
      <c r="E12" s="7" t="s">
        <v>1759</v>
      </c>
      <c r="F12" s="7" t="s">
        <v>1760</v>
      </c>
      <c r="G12" s="7" t="s">
        <v>1761</v>
      </c>
      <c r="H12" s="7" t="s">
        <v>1762</v>
      </c>
      <c r="I12" s="7" t="s">
        <v>1763</v>
      </c>
      <c r="J12" s="7" t="s">
        <v>1764</v>
      </c>
      <c r="K12" s="7" t="s">
        <v>1707</v>
      </c>
      <c r="L12" s="7">
        <v>7</v>
      </c>
      <c r="M12" s="7"/>
      <c r="N12" s="7"/>
      <c r="O12" s="7">
        <v>7</v>
      </c>
      <c r="P12" s="7"/>
      <c r="Q12" s="7">
        <v>0</v>
      </c>
      <c r="R12" s="7">
        <v>7</v>
      </c>
      <c r="S12" s="7">
        <v>7</v>
      </c>
      <c r="T12" s="7" t="s">
        <v>1765</v>
      </c>
      <c r="U12" s="7" t="s">
        <v>174</v>
      </c>
    </row>
    <row r="13" spans="1:21" x14ac:dyDescent="0.3">
      <c r="A13" s="6" t="s">
        <v>1766</v>
      </c>
      <c r="B13" s="7" t="s">
        <v>139</v>
      </c>
      <c r="C13" s="7" t="s">
        <v>1767</v>
      </c>
      <c r="D13" s="7" t="s">
        <v>14</v>
      </c>
      <c r="E13" s="7" t="s">
        <v>576</v>
      </c>
      <c r="F13" s="7" t="s">
        <v>577</v>
      </c>
      <c r="G13" s="7" t="s">
        <v>1768</v>
      </c>
      <c r="H13" s="7" t="s">
        <v>1769</v>
      </c>
      <c r="I13" s="7" t="s">
        <v>1770</v>
      </c>
      <c r="J13" s="7" t="s">
        <v>1771</v>
      </c>
      <c r="K13" s="7" t="s">
        <v>1772</v>
      </c>
      <c r="L13" s="7">
        <v>1</v>
      </c>
      <c r="M13" s="7"/>
      <c r="N13" s="7"/>
      <c r="O13" s="7">
        <v>1</v>
      </c>
      <c r="P13" s="7"/>
      <c r="Q13" s="7">
        <v>1</v>
      </c>
      <c r="R13" s="7"/>
      <c r="S13" s="7"/>
      <c r="T13" s="7" t="s">
        <v>1773</v>
      </c>
      <c r="U13" s="7"/>
    </row>
    <row r="14" spans="1:21" x14ac:dyDescent="0.3">
      <c r="A14" s="6" t="s">
        <v>1774</v>
      </c>
      <c r="B14" s="7" t="s">
        <v>139</v>
      </c>
      <c r="C14" s="7" t="s">
        <v>1767</v>
      </c>
      <c r="D14" s="7" t="s">
        <v>14</v>
      </c>
      <c r="E14" s="7" t="s">
        <v>1141</v>
      </c>
      <c r="F14" s="7" t="s">
        <v>1142</v>
      </c>
      <c r="G14" s="7" t="s">
        <v>1775</v>
      </c>
      <c r="H14" s="7" t="s">
        <v>1776</v>
      </c>
      <c r="I14" s="7" t="s">
        <v>1705</v>
      </c>
      <c r="J14" s="7" t="s">
        <v>1771</v>
      </c>
      <c r="K14" s="7" t="s">
        <v>1707</v>
      </c>
      <c r="L14" s="7">
        <v>6</v>
      </c>
      <c r="M14" s="7"/>
      <c r="N14" s="7"/>
      <c r="O14" s="7">
        <v>6</v>
      </c>
      <c r="P14" s="7"/>
      <c r="Q14" s="7">
        <v>1</v>
      </c>
      <c r="R14" s="7">
        <v>5</v>
      </c>
      <c r="S14" s="7"/>
      <c r="T14" s="7" t="s">
        <v>1777</v>
      </c>
      <c r="U14" s="7" t="s">
        <v>1778</v>
      </c>
    </row>
    <row r="15" spans="1:21" x14ac:dyDescent="0.3">
      <c r="A15" s="6" t="s">
        <v>767</v>
      </c>
      <c r="B15" s="7" t="s">
        <v>139</v>
      </c>
      <c r="C15" s="7" t="s">
        <v>643</v>
      </c>
      <c r="D15" s="7" t="s">
        <v>15</v>
      </c>
      <c r="E15" s="7" t="s">
        <v>768</v>
      </c>
      <c r="F15" s="7" t="s">
        <v>769</v>
      </c>
      <c r="G15" s="7" t="s">
        <v>770</v>
      </c>
      <c r="H15" s="7" t="s">
        <v>1779</v>
      </c>
      <c r="I15" s="7" t="s">
        <v>1780</v>
      </c>
      <c r="J15" s="7" t="s">
        <v>1781</v>
      </c>
      <c r="K15" s="7" t="s">
        <v>1707</v>
      </c>
      <c r="L15" s="7">
        <v>3</v>
      </c>
      <c r="M15" s="7"/>
      <c r="N15" s="7"/>
      <c r="O15" s="7">
        <v>3</v>
      </c>
      <c r="P15" s="7"/>
      <c r="Q15" s="7"/>
      <c r="R15" s="7">
        <v>3</v>
      </c>
      <c r="S15" s="7"/>
      <c r="T15" s="7" t="s">
        <v>220</v>
      </c>
      <c r="U15" s="7" t="s">
        <v>771</v>
      </c>
    </row>
    <row r="16" spans="1:21" x14ac:dyDescent="0.3">
      <c r="A16" s="6" t="s">
        <v>1782</v>
      </c>
      <c r="B16" s="7" t="s">
        <v>139</v>
      </c>
      <c r="C16" s="7" t="s">
        <v>773</v>
      </c>
      <c r="D16" s="7" t="s">
        <v>16</v>
      </c>
      <c r="E16" s="7" t="s">
        <v>1783</v>
      </c>
      <c r="F16" s="7" t="s">
        <v>1784</v>
      </c>
      <c r="G16" s="7" t="s">
        <v>1785</v>
      </c>
      <c r="H16" s="7" t="s">
        <v>1786</v>
      </c>
      <c r="I16" s="7" t="s">
        <v>1787</v>
      </c>
      <c r="J16" s="7" t="s">
        <v>1788</v>
      </c>
      <c r="K16" s="7" t="s">
        <v>1707</v>
      </c>
      <c r="L16" s="7"/>
      <c r="M16" s="7">
        <v>27</v>
      </c>
      <c r="N16" s="7"/>
      <c r="O16" s="7">
        <v>27</v>
      </c>
      <c r="P16" s="7"/>
      <c r="Q16" s="7">
        <v>1</v>
      </c>
      <c r="R16" s="7">
        <v>26</v>
      </c>
      <c r="S16" s="7">
        <v>27</v>
      </c>
      <c r="T16" s="7" t="s">
        <v>1789</v>
      </c>
      <c r="U16" s="7" t="s">
        <v>184</v>
      </c>
    </row>
    <row r="17" spans="1:21" x14ac:dyDescent="0.3">
      <c r="A17" s="6" t="s">
        <v>1790</v>
      </c>
      <c r="B17" s="7" t="s">
        <v>139</v>
      </c>
      <c r="C17" s="7" t="s">
        <v>773</v>
      </c>
      <c r="D17" s="7" t="s">
        <v>16</v>
      </c>
      <c r="E17" s="7" t="s">
        <v>1791</v>
      </c>
      <c r="F17" s="7" t="s">
        <v>1792</v>
      </c>
      <c r="G17" s="7" t="s">
        <v>1793</v>
      </c>
      <c r="H17" s="7" t="s">
        <v>1794</v>
      </c>
      <c r="I17" s="7" t="s">
        <v>1795</v>
      </c>
      <c r="J17" s="7" t="s">
        <v>1795</v>
      </c>
      <c r="K17" s="7" t="s">
        <v>1707</v>
      </c>
      <c r="L17" s="7">
        <v>1</v>
      </c>
      <c r="M17" s="7"/>
      <c r="N17" s="7"/>
      <c r="O17" s="7">
        <v>1</v>
      </c>
      <c r="P17" s="7"/>
      <c r="Q17" s="7"/>
      <c r="R17" s="7">
        <v>1</v>
      </c>
      <c r="S17" s="7">
        <v>1</v>
      </c>
      <c r="T17" s="7" t="s">
        <v>876</v>
      </c>
      <c r="U17" s="7" t="s">
        <v>1122</v>
      </c>
    </row>
    <row r="18" spans="1:21" x14ac:dyDescent="0.3">
      <c r="A18" s="6" t="s">
        <v>1796</v>
      </c>
      <c r="B18" s="7" t="s">
        <v>139</v>
      </c>
      <c r="C18" s="7" t="s">
        <v>773</v>
      </c>
      <c r="D18" s="7" t="s">
        <v>16</v>
      </c>
      <c r="E18" s="7" t="s">
        <v>1797</v>
      </c>
      <c r="F18" s="7" t="s">
        <v>1798</v>
      </c>
      <c r="G18" s="7" t="s">
        <v>1799</v>
      </c>
      <c r="H18" s="7" t="s">
        <v>1800</v>
      </c>
      <c r="I18" s="7" t="s">
        <v>1801</v>
      </c>
      <c r="J18" s="7" t="s">
        <v>1802</v>
      </c>
      <c r="K18" s="7" t="s">
        <v>1707</v>
      </c>
      <c r="L18" s="7"/>
      <c r="M18" s="7">
        <v>0</v>
      </c>
      <c r="N18" s="7"/>
      <c r="O18" s="7">
        <v>0</v>
      </c>
      <c r="P18" s="7"/>
      <c r="Q18" s="7"/>
      <c r="R18" s="7"/>
      <c r="S18" s="7"/>
      <c r="T18" s="7" t="s">
        <v>207</v>
      </c>
      <c r="U18" s="7" t="s">
        <v>174</v>
      </c>
    </row>
    <row r="19" spans="1:21" x14ac:dyDescent="0.3">
      <c r="A19" s="6" t="s">
        <v>1803</v>
      </c>
      <c r="B19" s="7" t="s">
        <v>139</v>
      </c>
      <c r="C19" s="7" t="s">
        <v>773</v>
      </c>
      <c r="D19" s="7" t="s">
        <v>16</v>
      </c>
      <c r="E19" s="7" t="s">
        <v>791</v>
      </c>
      <c r="F19" s="7" t="s">
        <v>218</v>
      </c>
      <c r="G19" s="7" t="s">
        <v>1804</v>
      </c>
      <c r="H19" s="7" t="s">
        <v>1805</v>
      </c>
      <c r="I19" s="7" t="s">
        <v>1806</v>
      </c>
      <c r="J19" s="7" t="s">
        <v>1807</v>
      </c>
      <c r="K19" s="7" t="s">
        <v>1707</v>
      </c>
      <c r="L19" s="7">
        <v>17</v>
      </c>
      <c r="M19" s="7"/>
      <c r="N19" s="7"/>
      <c r="O19" s="7">
        <v>17</v>
      </c>
      <c r="P19" s="7"/>
      <c r="Q19" s="7">
        <v>17</v>
      </c>
      <c r="R19" s="7">
        <v>0</v>
      </c>
      <c r="S19" s="7">
        <v>17</v>
      </c>
      <c r="T19" s="7" t="s">
        <v>1808</v>
      </c>
      <c r="U19" s="7" t="s">
        <v>1809</v>
      </c>
    </row>
    <row r="20" spans="1:21" x14ac:dyDescent="0.3">
      <c r="A20" s="6" t="s">
        <v>1810</v>
      </c>
      <c r="B20" s="7" t="s">
        <v>139</v>
      </c>
      <c r="C20" s="7" t="s">
        <v>773</v>
      </c>
      <c r="D20" s="7" t="s">
        <v>16</v>
      </c>
      <c r="E20" s="7" t="s">
        <v>795</v>
      </c>
      <c r="F20" s="7" t="s">
        <v>796</v>
      </c>
      <c r="G20" s="7" t="s">
        <v>1811</v>
      </c>
      <c r="H20" s="7" t="s">
        <v>1812</v>
      </c>
      <c r="I20" s="7" t="s">
        <v>1787</v>
      </c>
      <c r="J20" s="7" t="s">
        <v>1813</v>
      </c>
      <c r="K20" s="7" t="s">
        <v>1707</v>
      </c>
      <c r="L20" s="7"/>
      <c r="M20" s="7">
        <v>17</v>
      </c>
      <c r="N20" s="7"/>
      <c r="O20" s="7">
        <v>17</v>
      </c>
      <c r="P20" s="7"/>
      <c r="Q20" s="7">
        <v>1</v>
      </c>
      <c r="R20" s="7">
        <v>16</v>
      </c>
      <c r="S20" s="7">
        <v>17</v>
      </c>
      <c r="T20" s="7" t="s">
        <v>1092</v>
      </c>
      <c r="U20" s="7" t="s">
        <v>144</v>
      </c>
    </row>
    <row r="21" spans="1:21" x14ac:dyDescent="0.3">
      <c r="A21" s="6" t="s">
        <v>1814</v>
      </c>
      <c r="B21" s="7" t="s">
        <v>139</v>
      </c>
      <c r="C21" s="7" t="s">
        <v>773</v>
      </c>
      <c r="D21" s="7" t="s">
        <v>16</v>
      </c>
      <c r="E21" s="7" t="s">
        <v>1815</v>
      </c>
      <c r="F21" s="7" t="s">
        <v>1816</v>
      </c>
      <c r="G21" s="7" t="s">
        <v>1817</v>
      </c>
      <c r="H21" s="7" t="s">
        <v>1818</v>
      </c>
      <c r="I21" s="7" t="s">
        <v>1819</v>
      </c>
      <c r="J21" s="7" t="s">
        <v>1820</v>
      </c>
      <c r="K21" s="7" t="s">
        <v>1707</v>
      </c>
      <c r="L21" s="7"/>
      <c r="M21" s="7">
        <v>3</v>
      </c>
      <c r="N21" s="7"/>
      <c r="O21" s="7">
        <v>3</v>
      </c>
      <c r="P21" s="7"/>
      <c r="Q21" s="7"/>
      <c r="R21" s="7">
        <v>3</v>
      </c>
      <c r="S21" s="7">
        <v>3</v>
      </c>
      <c r="T21" s="7" t="s">
        <v>1383</v>
      </c>
      <c r="U21" s="7" t="s">
        <v>1231</v>
      </c>
    </row>
    <row r="22" spans="1:21" x14ac:dyDescent="0.3">
      <c r="A22" s="6" t="s">
        <v>1821</v>
      </c>
      <c r="B22" s="7" t="s">
        <v>139</v>
      </c>
      <c r="C22" s="7" t="s">
        <v>773</v>
      </c>
      <c r="D22" s="7" t="s">
        <v>16</v>
      </c>
      <c r="E22" s="7" t="s">
        <v>1822</v>
      </c>
      <c r="F22" s="7" t="s">
        <v>1823</v>
      </c>
      <c r="G22" s="7" t="s">
        <v>1824</v>
      </c>
      <c r="H22" s="7" t="s">
        <v>1825</v>
      </c>
      <c r="I22" s="7" t="s">
        <v>1826</v>
      </c>
      <c r="J22" s="7" t="s">
        <v>1827</v>
      </c>
      <c r="K22" s="7" t="s">
        <v>1772</v>
      </c>
      <c r="L22" s="7">
        <v>5</v>
      </c>
      <c r="M22" s="7"/>
      <c r="N22" s="7"/>
      <c r="O22" s="7">
        <v>5</v>
      </c>
      <c r="P22" s="7"/>
      <c r="Q22" s="7">
        <v>1</v>
      </c>
      <c r="R22" s="7">
        <v>4</v>
      </c>
      <c r="S22" s="7">
        <v>5</v>
      </c>
      <c r="T22" s="7" t="s">
        <v>647</v>
      </c>
      <c r="U22" s="7" t="s">
        <v>1828</v>
      </c>
    </row>
    <row r="23" spans="1:21" x14ac:dyDescent="0.3">
      <c r="A23" s="6" t="s">
        <v>1829</v>
      </c>
      <c r="B23" s="7" t="s">
        <v>139</v>
      </c>
      <c r="C23" s="7" t="s">
        <v>773</v>
      </c>
      <c r="D23" s="7" t="s">
        <v>16</v>
      </c>
      <c r="E23" s="7" t="s">
        <v>1830</v>
      </c>
      <c r="F23" s="7" t="s">
        <v>394</v>
      </c>
      <c r="G23" s="7" t="s">
        <v>1831</v>
      </c>
      <c r="H23" s="7" t="s">
        <v>1832</v>
      </c>
      <c r="I23" s="7" t="s">
        <v>1833</v>
      </c>
      <c r="J23" s="7" t="s">
        <v>1834</v>
      </c>
      <c r="K23" s="7" t="s">
        <v>1745</v>
      </c>
      <c r="L23" s="7"/>
      <c r="M23" s="7">
        <v>2</v>
      </c>
      <c r="N23" s="7"/>
      <c r="O23" s="7">
        <v>2</v>
      </c>
      <c r="P23" s="7"/>
      <c r="Q23" s="7"/>
      <c r="R23" s="7">
        <v>2</v>
      </c>
      <c r="S23" s="7">
        <v>2</v>
      </c>
      <c r="T23" s="7" t="s">
        <v>190</v>
      </c>
      <c r="U23" s="7" t="s">
        <v>422</v>
      </c>
    </row>
    <row r="24" spans="1:21" x14ac:dyDescent="0.3">
      <c r="A24" s="6" t="s">
        <v>1835</v>
      </c>
      <c r="B24" s="7" t="s">
        <v>139</v>
      </c>
      <c r="C24" s="7" t="s">
        <v>773</v>
      </c>
      <c r="D24" s="7" t="s">
        <v>16</v>
      </c>
      <c r="E24" s="7" t="s">
        <v>902</v>
      </c>
      <c r="F24" s="7" t="s">
        <v>903</v>
      </c>
      <c r="G24" s="7" t="s">
        <v>1836</v>
      </c>
      <c r="H24" s="7" t="s">
        <v>1837</v>
      </c>
      <c r="I24" s="7" t="s">
        <v>1838</v>
      </c>
      <c r="J24" s="7" t="s">
        <v>1839</v>
      </c>
      <c r="K24" s="7" t="s">
        <v>1707</v>
      </c>
      <c r="L24" s="7">
        <v>18</v>
      </c>
      <c r="M24" s="7"/>
      <c r="N24" s="7"/>
      <c r="O24" s="7">
        <v>18</v>
      </c>
      <c r="P24" s="7"/>
      <c r="Q24" s="7">
        <v>1</v>
      </c>
      <c r="R24" s="7">
        <v>17</v>
      </c>
      <c r="S24" s="7">
        <v>18</v>
      </c>
      <c r="T24" s="7" t="s">
        <v>207</v>
      </c>
      <c r="U24" s="7" t="s">
        <v>169</v>
      </c>
    </row>
    <row r="25" spans="1:21" x14ac:dyDescent="0.3">
      <c r="A25" s="6" t="s">
        <v>1840</v>
      </c>
      <c r="B25" s="7" t="s">
        <v>139</v>
      </c>
      <c r="C25" s="7" t="s">
        <v>773</v>
      </c>
      <c r="D25" s="7" t="s">
        <v>16</v>
      </c>
      <c r="E25" s="7" t="s">
        <v>1841</v>
      </c>
      <c r="F25" s="7" t="s">
        <v>1842</v>
      </c>
      <c r="G25" s="7" t="s">
        <v>1843</v>
      </c>
      <c r="H25" s="7" t="s">
        <v>1844</v>
      </c>
      <c r="I25" s="7" t="s">
        <v>1787</v>
      </c>
      <c r="J25" s="7" t="s">
        <v>1845</v>
      </c>
      <c r="K25" s="7" t="s">
        <v>1707</v>
      </c>
      <c r="L25" s="7"/>
      <c r="M25" s="7">
        <v>18</v>
      </c>
      <c r="N25" s="7"/>
      <c r="O25" s="7">
        <v>18</v>
      </c>
      <c r="P25" s="7"/>
      <c r="Q25" s="7">
        <v>0</v>
      </c>
      <c r="R25" s="7">
        <v>18</v>
      </c>
      <c r="S25" s="7">
        <v>18</v>
      </c>
      <c r="T25" s="7" t="s">
        <v>163</v>
      </c>
      <c r="U25" s="7" t="s">
        <v>1846</v>
      </c>
    </row>
    <row r="26" spans="1:21" x14ac:dyDescent="0.3">
      <c r="A26" s="6" t="s">
        <v>1847</v>
      </c>
      <c r="B26" s="7" t="s">
        <v>139</v>
      </c>
      <c r="C26" s="7" t="s">
        <v>773</v>
      </c>
      <c r="D26" s="7" t="s">
        <v>16</v>
      </c>
      <c r="E26" s="7" t="s">
        <v>1027</v>
      </c>
      <c r="F26" s="7" t="s">
        <v>1028</v>
      </c>
      <c r="G26" s="7" t="s">
        <v>1848</v>
      </c>
      <c r="H26" s="7" t="s">
        <v>1849</v>
      </c>
      <c r="I26" s="7" t="s">
        <v>1738</v>
      </c>
      <c r="J26" s="7" t="s">
        <v>1850</v>
      </c>
      <c r="K26" s="7" t="s">
        <v>1738</v>
      </c>
      <c r="L26" s="7">
        <v>2</v>
      </c>
      <c r="M26" s="7"/>
      <c r="N26" s="7"/>
      <c r="O26" s="7">
        <v>2</v>
      </c>
      <c r="P26" s="7"/>
      <c r="Q26" s="7">
        <v>2</v>
      </c>
      <c r="R26" s="7"/>
      <c r="S26" s="7">
        <v>2</v>
      </c>
      <c r="T26" s="7" t="s">
        <v>1851</v>
      </c>
      <c r="U26" s="7" t="s">
        <v>174</v>
      </c>
    </row>
    <row r="27" spans="1:21" x14ac:dyDescent="0.3">
      <c r="A27" s="6" t="s">
        <v>1852</v>
      </c>
      <c r="B27" s="7" t="s">
        <v>139</v>
      </c>
      <c r="C27" s="7" t="s">
        <v>773</v>
      </c>
      <c r="D27" s="7" t="s">
        <v>16</v>
      </c>
      <c r="E27" s="7" t="s">
        <v>1853</v>
      </c>
      <c r="F27" s="7" t="s">
        <v>528</v>
      </c>
      <c r="G27" s="7" t="s">
        <v>1854</v>
      </c>
      <c r="H27" s="7" t="s">
        <v>1855</v>
      </c>
      <c r="I27" s="7" t="s">
        <v>1838</v>
      </c>
      <c r="J27" s="7" t="s">
        <v>1856</v>
      </c>
      <c r="K27" s="7" t="s">
        <v>1707</v>
      </c>
      <c r="L27" s="7"/>
      <c r="M27" s="7">
        <v>0</v>
      </c>
      <c r="N27" s="7"/>
      <c r="O27" s="7">
        <v>0</v>
      </c>
      <c r="P27" s="7"/>
      <c r="Q27" s="7"/>
      <c r="R27" s="7"/>
      <c r="S27" s="7"/>
      <c r="T27" s="7" t="s">
        <v>805</v>
      </c>
      <c r="U27" s="7" t="s">
        <v>197</v>
      </c>
    </row>
    <row r="28" spans="1:21" x14ac:dyDescent="0.3">
      <c r="A28" s="6" t="s">
        <v>1857</v>
      </c>
      <c r="B28" s="7" t="s">
        <v>139</v>
      </c>
      <c r="C28" s="7" t="s">
        <v>773</v>
      </c>
      <c r="D28" s="7" t="s">
        <v>16</v>
      </c>
      <c r="E28" s="7" t="s">
        <v>1032</v>
      </c>
      <c r="F28" s="7" t="s">
        <v>1033</v>
      </c>
      <c r="G28" s="7" t="s">
        <v>1858</v>
      </c>
      <c r="H28" s="7" t="s">
        <v>1859</v>
      </c>
      <c r="I28" s="7" t="s">
        <v>1860</v>
      </c>
      <c r="J28" s="7" t="s">
        <v>1861</v>
      </c>
      <c r="K28" s="7" t="s">
        <v>1707</v>
      </c>
      <c r="L28" s="7">
        <v>10</v>
      </c>
      <c r="M28" s="7"/>
      <c r="N28" s="7"/>
      <c r="O28" s="7">
        <v>10</v>
      </c>
      <c r="P28" s="7"/>
      <c r="Q28" s="7">
        <v>2</v>
      </c>
      <c r="R28" s="7">
        <v>8</v>
      </c>
      <c r="S28" s="7">
        <v>10</v>
      </c>
      <c r="T28" s="7" t="s">
        <v>955</v>
      </c>
      <c r="U28" s="7" t="s">
        <v>391</v>
      </c>
    </row>
    <row r="29" spans="1:21" x14ac:dyDescent="0.3">
      <c r="A29" s="6" t="s">
        <v>1862</v>
      </c>
      <c r="B29" s="7" t="s">
        <v>139</v>
      </c>
      <c r="C29" s="7" t="s">
        <v>773</v>
      </c>
      <c r="D29" s="7" t="s">
        <v>16</v>
      </c>
      <c r="E29" s="7" t="s">
        <v>1053</v>
      </c>
      <c r="F29" s="7" t="s">
        <v>1054</v>
      </c>
      <c r="G29" s="7" t="s">
        <v>1863</v>
      </c>
      <c r="H29" s="7" t="s">
        <v>1864</v>
      </c>
      <c r="I29" s="7" t="s">
        <v>1806</v>
      </c>
      <c r="J29" s="7" t="s">
        <v>1865</v>
      </c>
      <c r="K29" s="7" t="s">
        <v>1707</v>
      </c>
      <c r="L29" s="7">
        <v>1</v>
      </c>
      <c r="M29" s="7"/>
      <c r="N29" s="7"/>
      <c r="O29" s="7">
        <v>1</v>
      </c>
      <c r="P29" s="7"/>
      <c r="Q29" s="7"/>
      <c r="R29" s="7">
        <v>1</v>
      </c>
      <c r="S29" s="7">
        <v>1</v>
      </c>
      <c r="T29" s="7" t="s">
        <v>411</v>
      </c>
      <c r="U29" s="7" t="s">
        <v>191</v>
      </c>
    </row>
    <row r="30" spans="1:21" x14ac:dyDescent="0.3">
      <c r="A30" s="6" t="s">
        <v>1866</v>
      </c>
      <c r="B30" s="7" t="s">
        <v>139</v>
      </c>
      <c r="C30" s="7" t="s">
        <v>773</v>
      </c>
      <c r="D30" s="7" t="s">
        <v>16</v>
      </c>
      <c r="E30" s="7" t="s">
        <v>1060</v>
      </c>
      <c r="F30" s="7" t="s">
        <v>1061</v>
      </c>
      <c r="G30" s="7" t="s">
        <v>1867</v>
      </c>
      <c r="H30" s="7" t="s">
        <v>1868</v>
      </c>
      <c r="I30" s="7" t="s">
        <v>1869</v>
      </c>
      <c r="J30" s="7" t="s">
        <v>1870</v>
      </c>
      <c r="K30" s="7" t="s">
        <v>1772</v>
      </c>
      <c r="L30" s="7"/>
      <c r="M30" s="7">
        <v>0</v>
      </c>
      <c r="N30" s="7"/>
      <c r="O30" s="7">
        <v>0</v>
      </c>
      <c r="P30" s="7"/>
      <c r="Q30" s="7"/>
      <c r="R30" s="7"/>
      <c r="S30" s="7"/>
      <c r="T30" s="7" t="s">
        <v>1871</v>
      </c>
      <c r="U30" s="7" t="s">
        <v>1872</v>
      </c>
    </row>
    <row r="31" spans="1:21" x14ac:dyDescent="0.3">
      <c r="A31" s="6" t="s">
        <v>1873</v>
      </c>
      <c r="B31" s="7" t="s">
        <v>139</v>
      </c>
      <c r="C31" s="7" t="s">
        <v>773</v>
      </c>
      <c r="D31" s="7" t="s">
        <v>16</v>
      </c>
      <c r="E31" s="7" t="s">
        <v>1086</v>
      </c>
      <c r="F31" s="7" t="s">
        <v>1087</v>
      </c>
      <c r="G31" s="7" t="s">
        <v>1874</v>
      </c>
      <c r="H31" s="7" t="s">
        <v>1875</v>
      </c>
      <c r="I31" s="7" t="s">
        <v>1787</v>
      </c>
      <c r="J31" s="7" t="s">
        <v>1876</v>
      </c>
      <c r="K31" s="7" t="s">
        <v>1707</v>
      </c>
      <c r="L31" s="7"/>
      <c r="M31" s="7">
        <v>0</v>
      </c>
      <c r="N31" s="7"/>
      <c r="O31" s="7">
        <v>0</v>
      </c>
      <c r="P31" s="7"/>
      <c r="Q31" s="7"/>
      <c r="R31" s="7"/>
      <c r="S31" s="7"/>
      <c r="T31" s="7" t="s">
        <v>777</v>
      </c>
      <c r="U31" s="7" t="s">
        <v>144</v>
      </c>
    </row>
    <row r="32" spans="1:21" x14ac:dyDescent="0.3">
      <c r="A32" s="6" t="s">
        <v>1877</v>
      </c>
      <c r="B32" s="7" t="s">
        <v>139</v>
      </c>
      <c r="C32" s="7" t="s">
        <v>773</v>
      </c>
      <c r="D32" s="7" t="s">
        <v>16</v>
      </c>
      <c r="E32" s="7" t="s">
        <v>1128</v>
      </c>
      <c r="F32" s="7" t="s">
        <v>1129</v>
      </c>
      <c r="G32" s="7" t="s">
        <v>1878</v>
      </c>
      <c r="H32" s="7" t="s">
        <v>1879</v>
      </c>
      <c r="I32" s="7" t="s">
        <v>1806</v>
      </c>
      <c r="J32" s="7" t="s">
        <v>1880</v>
      </c>
      <c r="K32" s="7" t="s">
        <v>1772</v>
      </c>
      <c r="L32" s="7">
        <v>1</v>
      </c>
      <c r="M32" s="7"/>
      <c r="N32" s="7"/>
      <c r="O32" s="7">
        <v>1</v>
      </c>
      <c r="P32" s="7"/>
      <c r="Q32" s="7"/>
      <c r="R32" s="7">
        <v>1</v>
      </c>
      <c r="S32" s="7">
        <v>1</v>
      </c>
      <c r="T32" s="7" t="s">
        <v>1309</v>
      </c>
      <c r="U32" s="7" t="s">
        <v>1881</v>
      </c>
    </row>
    <row r="33" spans="1:21" x14ac:dyDescent="0.3">
      <c r="A33" s="6" t="s">
        <v>1882</v>
      </c>
      <c r="B33" s="7" t="s">
        <v>139</v>
      </c>
      <c r="C33" s="7" t="s">
        <v>773</v>
      </c>
      <c r="D33" s="7" t="s">
        <v>16</v>
      </c>
      <c r="E33" s="7" t="s">
        <v>1141</v>
      </c>
      <c r="F33" s="7" t="s">
        <v>1142</v>
      </c>
      <c r="G33" s="7" t="s">
        <v>1883</v>
      </c>
      <c r="H33" s="7" t="s">
        <v>1884</v>
      </c>
      <c r="I33" s="7" t="s">
        <v>1885</v>
      </c>
      <c r="J33" s="7" t="s">
        <v>1886</v>
      </c>
      <c r="K33" s="7" t="s">
        <v>1707</v>
      </c>
      <c r="L33" s="7">
        <v>42</v>
      </c>
      <c r="M33" s="7"/>
      <c r="N33" s="7"/>
      <c r="O33" s="7">
        <v>42</v>
      </c>
      <c r="P33" s="7"/>
      <c r="Q33" s="7"/>
      <c r="R33" s="7">
        <v>42</v>
      </c>
      <c r="S33" s="7">
        <v>42</v>
      </c>
      <c r="T33" s="7" t="s">
        <v>1030</v>
      </c>
      <c r="U33" s="7" t="s">
        <v>1887</v>
      </c>
    </row>
    <row r="34" spans="1:21" x14ac:dyDescent="0.3">
      <c r="A34" s="6" t="s">
        <v>1888</v>
      </c>
      <c r="B34" s="7" t="s">
        <v>139</v>
      </c>
      <c r="C34" s="7" t="s">
        <v>1156</v>
      </c>
      <c r="D34" s="7" t="s">
        <v>18</v>
      </c>
      <c r="E34" s="7" t="s">
        <v>1889</v>
      </c>
      <c r="F34" s="7" t="s">
        <v>1890</v>
      </c>
      <c r="G34" s="7" t="s">
        <v>1891</v>
      </c>
      <c r="H34" s="7" t="s">
        <v>1892</v>
      </c>
      <c r="I34" s="7" t="s">
        <v>1893</v>
      </c>
      <c r="J34" s="7" t="s">
        <v>1894</v>
      </c>
      <c r="K34" s="7" t="s">
        <v>1893</v>
      </c>
      <c r="L34" s="7">
        <v>1</v>
      </c>
      <c r="M34" s="7"/>
      <c r="N34" s="7"/>
      <c r="O34" s="7">
        <v>1</v>
      </c>
      <c r="P34" s="7"/>
      <c r="Q34" s="7">
        <v>0</v>
      </c>
      <c r="R34" s="7">
        <v>1</v>
      </c>
      <c r="S34" s="7">
        <v>1</v>
      </c>
      <c r="T34" s="7" t="s">
        <v>1895</v>
      </c>
      <c r="U34" s="7" t="s">
        <v>174</v>
      </c>
    </row>
    <row r="35" spans="1:21" x14ac:dyDescent="0.3">
      <c r="A35" s="6" t="s">
        <v>1896</v>
      </c>
      <c r="B35" s="7" t="s">
        <v>139</v>
      </c>
      <c r="C35" s="7" t="s">
        <v>1156</v>
      </c>
      <c r="D35" s="7" t="s">
        <v>18</v>
      </c>
      <c r="E35" s="7" t="s">
        <v>1897</v>
      </c>
      <c r="F35" s="7" t="s">
        <v>228</v>
      </c>
      <c r="G35" s="7" t="s">
        <v>1898</v>
      </c>
      <c r="H35" s="7" t="s">
        <v>1899</v>
      </c>
      <c r="I35" s="7" t="s">
        <v>1900</v>
      </c>
      <c r="J35" s="7" t="s">
        <v>1901</v>
      </c>
      <c r="K35" s="7" t="s">
        <v>1707</v>
      </c>
      <c r="L35" s="7"/>
      <c r="M35" s="7">
        <v>17</v>
      </c>
      <c r="N35" s="7"/>
      <c r="O35" s="7">
        <v>17</v>
      </c>
      <c r="P35" s="7"/>
      <c r="Q35" s="7">
        <v>1</v>
      </c>
      <c r="R35" s="7">
        <v>16</v>
      </c>
      <c r="S35" s="7">
        <v>17</v>
      </c>
      <c r="T35" s="7" t="s">
        <v>607</v>
      </c>
      <c r="U35" s="7" t="s">
        <v>847</v>
      </c>
    </row>
    <row r="36" spans="1:21" x14ac:dyDescent="0.3">
      <c r="A36" s="6" t="s">
        <v>1902</v>
      </c>
      <c r="B36" s="7" t="s">
        <v>139</v>
      </c>
      <c r="C36" s="7" t="s">
        <v>1156</v>
      </c>
      <c r="D36" s="7" t="s">
        <v>18</v>
      </c>
      <c r="E36" s="7" t="s">
        <v>808</v>
      </c>
      <c r="F36" s="7" t="s">
        <v>809</v>
      </c>
      <c r="G36" s="7" t="s">
        <v>1903</v>
      </c>
      <c r="H36" s="7" t="s">
        <v>1904</v>
      </c>
      <c r="I36" s="7" t="s">
        <v>1900</v>
      </c>
      <c r="J36" s="7" t="s">
        <v>1893</v>
      </c>
      <c r="K36" s="7" t="s">
        <v>1893</v>
      </c>
      <c r="L36" s="7"/>
      <c r="M36" s="7">
        <v>24</v>
      </c>
      <c r="N36" s="7"/>
      <c r="O36" s="7">
        <v>24</v>
      </c>
      <c r="P36" s="7"/>
      <c r="Q36" s="7">
        <v>0</v>
      </c>
      <c r="R36" s="7">
        <v>24</v>
      </c>
      <c r="S36" s="7">
        <v>24</v>
      </c>
      <c r="T36" s="7" t="s">
        <v>1905</v>
      </c>
      <c r="U36" s="7" t="s">
        <v>149</v>
      </c>
    </row>
    <row r="37" spans="1:21" x14ac:dyDescent="0.3">
      <c r="A37" s="6" t="s">
        <v>1906</v>
      </c>
      <c r="B37" s="7" t="s">
        <v>139</v>
      </c>
      <c r="C37" s="7" t="s">
        <v>1156</v>
      </c>
      <c r="D37" s="7" t="s">
        <v>18</v>
      </c>
      <c r="E37" s="7" t="s">
        <v>1907</v>
      </c>
      <c r="F37" s="7" t="s">
        <v>1908</v>
      </c>
      <c r="G37" s="7" t="s">
        <v>1909</v>
      </c>
      <c r="H37" s="7" t="s">
        <v>1910</v>
      </c>
      <c r="I37" s="7" t="s">
        <v>1714</v>
      </c>
      <c r="J37" s="7" t="s">
        <v>1911</v>
      </c>
      <c r="K37" s="7" t="s">
        <v>1707</v>
      </c>
      <c r="L37" s="7"/>
      <c r="M37" s="7">
        <v>4</v>
      </c>
      <c r="N37" s="7"/>
      <c r="O37" s="7">
        <v>4</v>
      </c>
      <c r="P37" s="7"/>
      <c r="Q37" s="7">
        <v>0</v>
      </c>
      <c r="R37" s="7">
        <v>4</v>
      </c>
      <c r="S37" s="7">
        <v>4</v>
      </c>
      <c r="T37" s="7" t="s">
        <v>1912</v>
      </c>
      <c r="U37" s="7" t="s">
        <v>360</v>
      </c>
    </row>
    <row r="38" spans="1:21" x14ac:dyDescent="0.3">
      <c r="A38" s="6" t="s">
        <v>1913</v>
      </c>
      <c r="B38" s="7" t="s">
        <v>139</v>
      </c>
      <c r="C38" s="7" t="s">
        <v>1156</v>
      </c>
      <c r="D38" s="7" t="s">
        <v>18</v>
      </c>
      <c r="E38" s="7" t="s">
        <v>1914</v>
      </c>
      <c r="F38" s="7" t="s">
        <v>1915</v>
      </c>
      <c r="G38" s="7" t="s">
        <v>1916</v>
      </c>
      <c r="H38" s="7" t="s">
        <v>1917</v>
      </c>
      <c r="I38" s="7" t="s">
        <v>1893</v>
      </c>
      <c r="J38" s="7" t="s">
        <v>1918</v>
      </c>
      <c r="K38" s="7" t="s">
        <v>1707</v>
      </c>
      <c r="L38" s="7"/>
      <c r="M38" s="7">
        <v>15</v>
      </c>
      <c r="N38" s="7"/>
      <c r="O38" s="7">
        <v>15</v>
      </c>
      <c r="P38" s="7"/>
      <c r="Q38" s="7">
        <v>0</v>
      </c>
      <c r="R38" s="7">
        <v>15</v>
      </c>
      <c r="S38" s="7">
        <v>15</v>
      </c>
      <c r="T38" s="7" t="s">
        <v>1919</v>
      </c>
      <c r="U38" s="7" t="s">
        <v>337</v>
      </c>
    </row>
    <row r="39" spans="1:21" x14ac:dyDescent="0.3">
      <c r="A39" s="6" t="s">
        <v>1920</v>
      </c>
      <c r="B39" s="7" t="s">
        <v>139</v>
      </c>
      <c r="C39" s="7" t="s">
        <v>1156</v>
      </c>
      <c r="D39" s="7" t="s">
        <v>18</v>
      </c>
      <c r="E39" s="7" t="s">
        <v>1921</v>
      </c>
      <c r="F39" s="7"/>
      <c r="G39" s="7" t="s">
        <v>1922</v>
      </c>
      <c r="H39" s="7" t="s">
        <v>1923</v>
      </c>
      <c r="I39" s="7" t="s">
        <v>1924</v>
      </c>
      <c r="J39" s="7" t="s">
        <v>1924</v>
      </c>
      <c r="K39" s="7" t="s">
        <v>1707</v>
      </c>
      <c r="L39" s="7"/>
      <c r="M39" s="7">
        <v>2</v>
      </c>
      <c r="N39" s="7"/>
      <c r="O39" s="7">
        <v>2</v>
      </c>
      <c r="P39" s="7"/>
      <c r="Q39" s="7">
        <v>0</v>
      </c>
      <c r="R39" s="7">
        <v>2</v>
      </c>
      <c r="S39" s="7">
        <v>2</v>
      </c>
      <c r="T39" s="7" t="s">
        <v>1925</v>
      </c>
      <c r="U39" s="7"/>
    </row>
    <row r="40" spans="1:21" x14ac:dyDescent="0.3">
      <c r="A40" s="6" t="s">
        <v>1926</v>
      </c>
      <c r="B40" s="7" t="s">
        <v>139</v>
      </c>
      <c r="C40" s="7" t="s">
        <v>1156</v>
      </c>
      <c r="D40" s="7" t="s">
        <v>18</v>
      </c>
      <c r="E40" s="7" t="s">
        <v>1204</v>
      </c>
      <c r="F40" s="7" t="s">
        <v>1002</v>
      </c>
      <c r="G40" s="7" t="s">
        <v>1927</v>
      </c>
      <c r="H40" s="7" t="s">
        <v>1928</v>
      </c>
      <c r="I40" s="7" t="s">
        <v>1893</v>
      </c>
      <c r="J40" s="7" t="s">
        <v>1893</v>
      </c>
      <c r="K40" s="7" t="s">
        <v>1893</v>
      </c>
      <c r="L40" s="7"/>
      <c r="M40" s="7">
        <v>20</v>
      </c>
      <c r="N40" s="7"/>
      <c r="O40" s="7">
        <v>20</v>
      </c>
      <c r="P40" s="7"/>
      <c r="Q40" s="7">
        <v>0</v>
      </c>
      <c r="R40" s="7">
        <v>20</v>
      </c>
      <c r="S40" s="7">
        <v>20</v>
      </c>
      <c r="T40" s="7" t="s">
        <v>1929</v>
      </c>
      <c r="U40" s="7" t="s">
        <v>1930</v>
      </c>
    </row>
    <row r="41" spans="1:21" x14ac:dyDescent="0.3">
      <c r="A41" s="6" t="s">
        <v>1931</v>
      </c>
      <c r="B41" s="7" t="s">
        <v>139</v>
      </c>
      <c r="C41" s="7" t="s">
        <v>1156</v>
      </c>
      <c r="D41" s="7" t="s">
        <v>18</v>
      </c>
      <c r="E41" s="7" t="s">
        <v>1932</v>
      </c>
      <c r="F41" s="7" t="s">
        <v>329</v>
      </c>
      <c r="G41" s="7" t="s">
        <v>1933</v>
      </c>
      <c r="H41" s="7" t="s">
        <v>1934</v>
      </c>
      <c r="I41" s="7" t="s">
        <v>1893</v>
      </c>
      <c r="J41" s="7" t="s">
        <v>1893</v>
      </c>
      <c r="K41" s="7" t="s">
        <v>1707</v>
      </c>
      <c r="L41" s="7"/>
      <c r="M41" s="7">
        <v>5</v>
      </c>
      <c r="N41" s="7"/>
      <c r="O41" s="7">
        <v>5</v>
      </c>
      <c r="P41" s="7"/>
      <c r="Q41" s="7">
        <v>1</v>
      </c>
      <c r="R41" s="7">
        <v>4</v>
      </c>
      <c r="S41" s="7">
        <v>5</v>
      </c>
      <c r="T41" s="7" t="s">
        <v>411</v>
      </c>
      <c r="U41" s="7" t="s">
        <v>174</v>
      </c>
    </row>
    <row r="42" spans="1:21" x14ac:dyDescent="0.3">
      <c r="A42" s="6" t="s">
        <v>1935</v>
      </c>
      <c r="B42" s="7" t="s">
        <v>139</v>
      </c>
      <c r="C42" s="7" t="s">
        <v>1156</v>
      </c>
      <c r="D42" s="7" t="s">
        <v>18</v>
      </c>
      <c r="E42" s="7" t="s">
        <v>1936</v>
      </c>
      <c r="F42" s="7" t="s">
        <v>1937</v>
      </c>
      <c r="G42" s="7" t="s">
        <v>1938</v>
      </c>
      <c r="H42" s="7" t="s">
        <v>1939</v>
      </c>
      <c r="I42" s="7" t="s">
        <v>1714</v>
      </c>
      <c r="J42" s="7" t="s">
        <v>1714</v>
      </c>
      <c r="K42" s="7" t="s">
        <v>1707</v>
      </c>
      <c r="L42" s="7"/>
      <c r="M42" s="7">
        <v>14</v>
      </c>
      <c r="N42" s="7"/>
      <c r="O42" s="7">
        <v>14</v>
      </c>
      <c r="P42" s="7"/>
      <c r="Q42" s="7">
        <v>0</v>
      </c>
      <c r="R42" s="7">
        <v>14</v>
      </c>
      <c r="S42" s="7">
        <v>14</v>
      </c>
      <c r="T42" s="7" t="s">
        <v>1940</v>
      </c>
      <c r="U42" s="7" t="s">
        <v>962</v>
      </c>
    </row>
    <row r="43" spans="1:21" x14ac:dyDescent="0.3">
      <c r="A43" s="6" t="s">
        <v>1941</v>
      </c>
      <c r="B43" s="7" t="s">
        <v>139</v>
      </c>
      <c r="C43" s="7" t="s">
        <v>1156</v>
      </c>
      <c r="D43" s="7" t="s">
        <v>18</v>
      </c>
      <c r="E43" s="7" t="s">
        <v>1224</v>
      </c>
      <c r="F43" s="7" t="s">
        <v>1225</v>
      </c>
      <c r="G43" s="7" t="s">
        <v>1942</v>
      </c>
      <c r="H43" s="7" t="s">
        <v>1943</v>
      </c>
      <c r="I43" s="7" t="s">
        <v>1924</v>
      </c>
      <c r="J43" s="7" t="s">
        <v>1924</v>
      </c>
      <c r="K43" s="7" t="s">
        <v>1924</v>
      </c>
      <c r="L43" s="7"/>
      <c r="M43" s="7">
        <v>2</v>
      </c>
      <c r="N43" s="7"/>
      <c r="O43" s="7">
        <v>2</v>
      </c>
      <c r="P43" s="7"/>
      <c r="Q43" s="7">
        <v>0</v>
      </c>
      <c r="R43" s="7">
        <v>2</v>
      </c>
      <c r="S43" s="7">
        <v>2</v>
      </c>
      <c r="T43" s="7" t="s">
        <v>411</v>
      </c>
      <c r="U43" s="7" t="s">
        <v>326</v>
      </c>
    </row>
    <row r="44" spans="1:21" x14ac:dyDescent="0.3">
      <c r="A44" s="6" t="s">
        <v>1944</v>
      </c>
      <c r="B44" s="7" t="s">
        <v>139</v>
      </c>
      <c r="C44" s="7" t="s">
        <v>1156</v>
      </c>
      <c r="D44" s="7" t="s">
        <v>18</v>
      </c>
      <c r="E44" s="7" t="s">
        <v>1224</v>
      </c>
      <c r="F44" s="7" t="s">
        <v>1225</v>
      </c>
      <c r="G44" s="7" t="s">
        <v>1945</v>
      </c>
      <c r="H44" s="7" t="s">
        <v>1946</v>
      </c>
      <c r="I44" s="7" t="s">
        <v>1893</v>
      </c>
      <c r="J44" s="7" t="s">
        <v>1893</v>
      </c>
      <c r="K44" s="7" t="s">
        <v>1707</v>
      </c>
      <c r="L44" s="7"/>
      <c r="M44" s="7">
        <v>10</v>
      </c>
      <c r="N44" s="7"/>
      <c r="O44" s="7">
        <v>10</v>
      </c>
      <c r="P44" s="7"/>
      <c r="Q44" s="7">
        <v>0</v>
      </c>
      <c r="R44" s="7">
        <v>10</v>
      </c>
      <c r="S44" s="7">
        <v>10</v>
      </c>
      <c r="T44" s="7" t="s">
        <v>1947</v>
      </c>
      <c r="U44" s="7" t="s">
        <v>1948</v>
      </c>
    </row>
    <row r="45" spans="1:21" x14ac:dyDescent="0.3">
      <c r="A45" s="6" t="s">
        <v>1227</v>
      </c>
      <c r="B45" s="7" t="s">
        <v>139</v>
      </c>
      <c r="C45" s="7" t="s">
        <v>1156</v>
      </c>
      <c r="D45" s="7" t="s">
        <v>18</v>
      </c>
      <c r="E45" s="7" t="s">
        <v>1224</v>
      </c>
      <c r="F45" s="7" t="s">
        <v>1225</v>
      </c>
      <c r="G45" s="7" t="s">
        <v>111</v>
      </c>
      <c r="H45" s="7" t="s">
        <v>1949</v>
      </c>
      <c r="I45" s="7" t="s">
        <v>1893</v>
      </c>
      <c r="J45" s="7" t="s">
        <v>1893</v>
      </c>
      <c r="K45" s="7" t="s">
        <v>1707</v>
      </c>
      <c r="L45" s="7"/>
      <c r="M45" s="7">
        <v>24</v>
      </c>
      <c r="N45" s="7"/>
      <c r="O45" s="7">
        <v>24</v>
      </c>
      <c r="P45" s="7"/>
      <c r="Q45" s="7">
        <v>2</v>
      </c>
      <c r="R45" s="7">
        <v>22</v>
      </c>
      <c r="S45" s="7">
        <v>24</v>
      </c>
      <c r="T45" s="7" t="s">
        <v>163</v>
      </c>
      <c r="U45" s="7" t="s">
        <v>1228</v>
      </c>
    </row>
    <row r="46" spans="1:21" x14ac:dyDescent="0.3">
      <c r="A46" s="6" t="s">
        <v>1950</v>
      </c>
      <c r="B46" s="7" t="s">
        <v>139</v>
      </c>
      <c r="C46" s="7" t="s">
        <v>1156</v>
      </c>
      <c r="D46" s="7" t="s">
        <v>18</v>
      </c>
      <c r="E46" s="7" t="s">
        <v>1951</v>
      </c>
      <c r="F46" s="7" t="s">
        <v>1952</v>
      </c>
      <c r="G46" s="7" t="s">
        <v>1953</v>
      </c>
      <c r="H46" s="7" t="s">
        <v>1954</v>
      </c>
      <c r="I46" s="7" t="s">
        <v>1955</v>
      </c>
      <c r="J46" s="7" t="s">
        <v>1955</v>
      </c>
      <c r="K46" s="7" t="s">
        <v>1772</v>
      </c>
      <c r="L46" s="7"/>
      <c r="M46" s="7">
        <v>27</v>
      </c>
      <c r="N46" s="7"/>
      <c r="O46" s="7">
        <v>27</v>
      </c>
      <c r="P46" s="7"/>
      <c r="Q46" s="7">
        <v>4</v>
      </c>
      <c r="R46" s="7">
        <v>23</v>
      </c>
      <c r="S46" s="7">
        <v>27</v>
      </c>
      <c r="T46" s="7" t="s">
        <v>233</v>
      </c>
      <c r="U46" s="7" t="s">
        <v>1956</v>
      </c>
    </row>
    <row r="47" spans="1:21" x14ac:dyDescent="0.3">
      <c r="A47" s="6" t="s">
        <v>1957</v>
      </c>
      <c r="B47" s="7" t="s">
        <v>139</v>
      </c>
      <c r="C47" s="7" t="s">
        <v>1156</v>
      </c>
      <c r="D47" s="7" t="s">
        <v>18</v>
      </c>
      <c r="E47" s="7" t="s">
        <v>1233</v>
      </c>
      <c r="F47" s="7" t="s">
        <v>1234</v>
      </c>
      <c r="G47" s="7" t="s">
        <v>1958</v>
      </c>
      <c r="H47" s="7" t="s">
        <v>1959</v>
      </c>
      <c r="I47" s="7" t="s">
        <v>1714</v>
      </c>
      <c r="J47" s="7" t="s">
        <v>1714</v>
      </c>
      <c r="K47" s="7" t="s">
        <v>1707</v>
      </c>
      <c r="L47" s="7"/>
      <c r="M47" s="7">
        <v>4</v>
      </c>
      <c r="N47" s="7"/>
      <c r="O47" s="7">
        <v>4</v>
      </c>
      <c r="P47" s="7"/>
      <c r="Q47" s="7">
        <v>0</v>
      </c>
      <c r="R47" s="7">
        <v>4</v>
      </c>
      <c r="S47" s="7">
        <v>4</v>
      </c>
      <c r="T47" s="7" t="s">
        <v>1139</v>
      </c>
      <c r="U47" s="7" t="s">
        <v>174</v>
      </c>
    </row>
    <row r="48" spans="1:21" x14ac:dyDescent="0.3">
      <c r="A48" s="6" t="s">
        <v>1960</v>
      </c>
      <c r="B48" s="7" t="s">
        <v>139</v>
      </c>
      <c r="C48" s="7" t="s">
        <v>1156</v>
      </c>
      <c r="D48" s="7" t="s">
        <v>18</v>
      </c>
      <c r="E48" s="7" t="s">
        <v>1961</v>
      </c>
      <c r="F48" s="7" t="s">
        <v>394</v>
      </c>
      <c r="G48" s="7" t="s">
        <v>1962</v>
      </c>
      <c r="H48" s="7" t="s">
        <v>1963</v>
      </c>
      <c r="I48" s="7" t="s">
        <v>1964</v>
      </c>
      <c r="J48" s="7" t="s">
        <v>1965</v>
      </c>
      <c r="K48" s="7" t="s">
        <v>1745</v>
      </c>
      <c r="L48" s="7">
        <v>2</v>
      </c>
      <c r="M48" s="7"/>
      <c r="N48" s="7"/>
      <c r="O48" s="7">
        <v>2</v>
      </c>
      <c r="P48" s="7"/>
      <c r="Q48" s="7">
        <v>0</v>
      </c>
      <c r="R48" s="7">
        <v>2</v>
      </c>
      <c r="S48" s="7">
        <v>2</v>
      </c>
      <c r="T48" s="7" t="s">
        <v>1600</v>
      </c>
      <c r="U48" s="7" t="s">
        <v>422</v>
      </c>
    </row>
    <row r="49" spans="1:21" x14ac:dyDescent="0.3">
      <c r="A49" s="6" t="s">
        <v>1966</v>
      </c>
      <c r="B49" s="7" t="s">
        <v>139</v>
      </c>
      <c r="C49" s="7" t="s">
        <v>1156</v>
      </c>
      <c r="D49" s="7" t="s">
        <v>18</v>
      </c>
      <c r="E49" s="7" t="s">
        <v>74</v>
      </c>
      <c r="F49" s="7" t="s">
        <v>447</v>
      </c>
      <c r="G49" s="7" t="s">
        <v>1967</v>
      </c>
      <c r="H49" s="7" t="s">
        <v>1968</v>
      </c>
      <c r="I49" s="7" t="s">
        <v>1969</v>
      </c>
      <c r="J49" s="7" t="s">
        <v>1969</v>
      </c>
      <c r="K49" s="7" t="s">
        <v>1707</v>
      </c>
      <c r="L49" s="7"/>
      <c r="M49" s="7">
        <v>25</v>
      </c>
      <c r="N49" s="7"/>
      <c r="O49" s="7">
        <v>25</v>
      </c>
      <c r="P49" s="7"/>
      <c r="Q49" s="7">
        <v>1</v>
      </c>
      <c r="R49" s="7">
        <v>24</v>
      </c>
      <c r="S49" s="7">
        <v>25</v>
      </c>
      <c r="T49" s="7" t="s">
        <v>163</v>
      </c>
      <c r="U49" s="7" t="s">
        <v>1970</v>
      </c>
    </row>
    <row r="50" spans="1:21" x14ac:dyDescent="0.3">
      <c r="A50" s="6" t="s">
        <v>1971</v>
      </c>
      <c r="B50" s="7" t="s">
        <v>139</v>
      </c>
      <c r="C50" s="7" t="s">
        <v>1156</v>
      </c>
      <c r="D50" s="7" t="s">
        <v>18</v>
      </c>
      <c r="E50" s="7" t="s">
        <v>1972</v>
      </c>
      <c r="F50" s="7" t="s">
        <v>998</v>
      </c>
      <c r="G50" s="7" t="s">
        <v>1973</v>
      </c>
      <c r="H50" s="7" t="s">
        <v>1974</v>
      </c>
      <c r="I50" s="7" t="s">
        <v>1893</v>
      </c>
      <c r="J50" s="7" t="s">
        <v>1893</v>
      </c>
      <c r="K50" s="7" t="s">
        <v>1707</v>
      </c>
      <c r="L50" s="7"/>
      <c r="M50" s="7">
        <v>20</v>
      </c>
      <c r="N50" s="7"/>
      <c r="O50" s="7">
        <v>20</v>
      </c>
      <c r="P50" s="7"/>
      <c r="Q50" s="7">
        <v>1</v>
      </c>
      <c r="R50" s="7">
        <v>19</v>
      </c>
      <c r="S50" s="7">
        <v>20</v>
      </c>
      <c r="T50" s="7" t="s">
        <v>1975</v>
      </c>
      <c r="U50" s="7" t="s">
        <v>1601</v>
      </c>
    </row>
    <row r="51" spans="1:21" x14ac:dyDescent="0.3">
      <c r="A51" s="6" t="s">
        <v>1976</v>
      </c>
      <c r="B51" s="7" t="s">
        <v>139</v>
      </c>
      <c r="C51" s="7" t="s">
        <v>1156</v>
      </c>
      <c r="D51" s="7" t="s">
        <v>18</v>
      </c>
      <c r="E51" s="7" t="s">
        <v>1977</v>
      </c>
      <c r="F51" s="7" t="s">
        <v>507</v>
      </c>
      <c r="G51" s="7" t="s">
        <v>103</v>
      </c>
      <c r="H51" s="7" t="s">
        <v>1978</v>
      </c>
      <c r="I51" s="7" t="s">
        <v>1714</v>
      </c>
      <c r="J51" s="7" t="s">
        <v>1714</v>
      </c>
      <c r="K51" s="7" t="s">
        <v>1707</v>
      </c>
      <c r="L51" s="7">
        <v>61</v>
      </c>
      <c r="M51" s="7"/>
      <c r="N51" s="7"/>
      <c r="O51" s="7">
        <v>61</v>
      </c>
      <c r="P51" s="7"/>
      <c r="Q51" s="7">
        <v>0</v>
      </c>
      <c r="R51" s="7">
        <v>61</v>
      </c>
      <c r="S51" s="7">
        <v>61</v>
      </c>
      <c r="T51" s="7" t="s">
        <v>105</v>
      </c>
      <c r="U51" s="7"/>
    </row>
    <row r="52" spans="1:21" x14ac:dyDescent="0.3">
      <c r="A52" s="6" t="s">
        <v>1979</v>
      </c>
      <c r="B52" s="7" t="s">
        <v>139</v>
      </c>
      <c r="C52" s="7" t="s">
        <v>1156</v>
      </c>
      <c r="D52" s="7" t="s">
        <v>18</v>
      </c>
      <c r="E52" s="7" t="s">
        <v>1980</v>
      </c>
      <c r="F52" s="7" t="s">
        <v>510</v>
      </c>
      <c r="G52" s="7" t="s">
        <v>103</v>
      </c>
      <c r="H52" s="7" t="s">
        <v>1978</v>
      </c>
      <c r="I52" s="7" t="s">
        <v>1714</v>
      </c>
      <c r="J52" s="7" t="s">
        <v>1714</v>
      </c>
      <c r="K52" s="7" t="s">
        <v>1707</v>
      </c>
      <c r="L52" s="7">
        <v>22</v>
      </c>
      <c r="M52" s="7"/>
      <c r="N52" s="7"/>
      <c r="O52" s="7">
        <v>22</v>
      </c>
      <c r="P52" s="7"/>
      <c r="Q52" s="7">
        <v>0</v>
      </c>
      <c r="R52" s="7">
        <v>22</v>
      </c>
      <c r="S52" s="7">
        <v>22</v>
      </c>
      <c r="T52" s="7" t="s">
        <v>105</v>
      </c>
      <c r="U52" s="7"/>
    </row>
    <row r="53" spans="1:21" x14ac:dyDescent="0.3">
      <c r="A53" s="6" t="s">
        <v>1981</v>
      </c>
      <c r="B53" s="7" t="s">
        <v>139</v>
      </c>
      <c r="C53" s="7" t="s">
        <v>1156</v>
      </c>
      <c r="D53" s="7" t="s">
        <v>18</v>
      </c>
      <c r="E53" s="7" t="s">
        <v>1982</v>
      </c>
      <c r="F53" s="7" t="s">
        <v>1983</v>
      </c>
      <c r="G53" s="7" t="s">
        <v>1984</v>
      </c>
      <c r="H53" s="7" t="s">
        <v>1985</v>
      </c>
      <c r="I53" s="7" t="s">
        <v>1986</v>
      </c>
      <c r="J53" s="7" t="s">
        <v>1987</v>
      </c>
      <c r="K53" s="7" t="s">
        <v>1707</v>
      </c>
      <c r="L53" s="7"/>
      <c r="M53" s="7"/>
      <c r="N53" s="7" t="s">
        <v>728</v>
      </c>
      <c r="O53" s="7">
        <v>27</v>
      </c>
      <c r="P53" s="7"/>
      <c r="Q53" s="7">
        <v>3</v>
      </c>
      <c r="R53" s="7">
        <v>24</v>
      </c>
      <c r="S53" s="7">
        <v>27</v>
      </c>
      <c r="T53" s="7" t="s">
        <v>1083</v>
      </c>
      <c r="U53" s="7" t="s">
        <v>1751</v>
      </c>
    </row>
    <row r="54" spans="1:21" x14ac:dyDescent="0.3">
      <c r="A54" s="6" t="s">
        <v>1988</v>
      </c>
      <c r="B54" s="7" t="s">
        <v>139</v>
      </c>
      <c r="C54" s="7" t="s">
        <v>1156</v>
      </c>
      <c r="D54" s="7" t="s">
        <v>18</v>
      </c>
      <c r="E54" s="7" t="s">
        <v>97</v>
      </c>
      <c r="F54" s="7" t="s">
        <v>1989</v>
      </c>
      <c r="G54" s="7" t="s">
        <v>96</v>
      </c>
      <c r="H54" s="7" t="s">
        <v>1990</v>
      </c>
      <c r="I54" s="7" t="s">
        <v>1986</v>
      </c>
      <c r="J54" s="7" t="s">
        <v>1987</v>
      </c>
      <c r="K54" s="7" t="s">
        <v>1729</v>
      </c>
      <c r="L54" s="7"/>
      <c r="M54" s="7">
        <v>12</v>
      </c>
      <c r="N54" s="7"/>
      <c r="O54" s="7">
        <v>12</v>
      </c>
      <c r="P54" s="7"/>
      <c r="Q54" s="7">
        <v>2</v>
      </c>
      <c r="R54" s="7">
        <v>10</v>
      </c>
      <c r="S54" s="7">
        <v>12</v>
      </c>
      <c r="T54" s="7" t="s">
        <v>98</v>
      </c>
      <c r="U54" s="7" t="s">
        <v>184</v>
      </c>
    </row>
    <row r="55" spans="1:21" x14ac:dyDescent="0.3">
      <c r="A55" s="6" t="s">
        <v>1991</v>
      </c>
      <c r="B55" s="7" t="s">
        <v>139</v>
      </c>
      <c r="C55" s="7" t="s">
        <v>1156</v>
      </c>
      <c r="D55" s="7" t="s">
        <v>18</v>
      </c>
      <c r="E55" s="7" t="s">
        <v>97</v>
      </c>
      <c r="F55" s="7" t="s">
        <v>1989</v>
      </c>
      <c r="G55" s="7" t="s">
        <v>96</v>
      </c>
      <c r="H55" s="7" t="s">
        <v>1990</v>
      </c>
      <c r="I55" s="7" t="s">
        <v>1986</v>
      </c>
      <c r="J55" s="7" t="s">
        <v>1987</v>
      </c>
      <c r="K55" s="7" t="s">
        <v>1729</v>
      </c>
      <c r="L55" s="7"/>
      <c r="M55" s="7">
        <v>2</v>
      </c>
      <c r="N55" s="7"/>
      <c r="O55" s="7">
        <v>2</v>
      </c>
      <c r="P55" s="7"/>
      <c r="Q55" s="7">
        <v>0</v>
      </c>
      <c r="R55" s="7">
        <v>2</v>
      </c>
      <c r="S55" s="7">
        <v>2</v>
      </c>
      <c r="T55" s="7" t="s">
        <v>98</v>
      </c>
      <c r="U55" s="7" t="s">
        <v>184</v>
      </c>
    </row>
    <row r="56" spans="1:21" x14ac:dyDescent="0.3">
      <c r="A56" s="6" t="s">
        <v>1992</v>
      </c>
      <c r="B56" s="7" t="s">
        <v>139</v>
      </c>
      <c r="C56" s="7" t="s">
        <v>1156</v>
      </c>
      <c r="D56" s="7" t="s">
        <v>18</v>
      </c>
      <c r="E56" s="7" t="s">
        <v>1993</v>
      </c>
      <c r="F56" s="7" t="s">
        <v>540</v>
      </c>
      <c r="G56" s="7" t="s">
        <v>1994</v>
      </c>
      <c r="H56" s="7" t="s">
        <v>1995</v>
      </c>
      <c r="I56" s="7" t="s">
        <v>1893</v>
      </c>
      <c r="J56" s="7" t="s">
        <v>1894</v>
      </c>
      <c r="K56" s="7" t="s">
        <v>1893</v>
      </c>
      <c r="L56" s="7"/>
      <c r="M56" s="7">
        <v>1</v>
      </c>
      <c r="N56" s="7"/>
      <c r="O56" s="7">
        <v>1</v>
      </c>
      <c r="P56" s="7"/>
      <c r="Q56" s="7">
        <v>0</v>
      </c>
      <c r="R56" s="7">
        <v>1</v>
      </c>
      <c r="S56" s="7">
        <v>1</v>
      </c>
      <c r="T56" s="7" t="s">
        <v>1996</v>
      </c>
      <c r="U56" s="7" t="s">
        <v>174</v>
      </c>
    </row>
    <row r="57" spans="1:21" x14ac:dyDescent="0.3">
      <c r="A57" s="6" t="s">
        <v>1997</v>
      </c>
      <c r="B57" s="7" t="s">
        <v>139</v>
      </c>
      <c r="C57" s="7" t="s">
        <v>1156</v>
      </c>
      <c r="D57" s="7" t="s">
        <v>18</v>
      </c>
      <c r="E57" s="7" t="s">
        <v>1998</v>
      </c>
      <c r="F57" s="7" t="s">
        <v>1999</v>
      </c>
      <c r="G57" s="7" t="s">
        <v>2000</v>
      </c>
      <c r="H57" s="7" t="s">
        <v>2001</v>
      </c>
      <c r="I57" s="7" t="s">
        <v>1893</v>
      </c>
      <c r="J57" s="7" t="s">
        <v>1894</v>
      </c>
      <c r="K57" s="7" t="s">
        <v>1707</v>
      </c>
      <c r="L57" s="7"/>
      <c r="M57" s="7">
        <v>1</v>
      </c>
      <c r="N57" s="7"/>
      <c r="O57" s="7">
        <v>1</v>
      </c>
      <c r="P57" s="7"/>
      <c r="Q57" s="7">
        <v>1</v>
      </c>
      <c r="R57" s="7">
        <v>0</v>
      </c>
      <c r="S57" s="7">
        <v>1</v>
      </c>
      <c r="T57" s="7" t="s">
        <v>1996</v>
      </c>
      <c r="U57" s="7" t="s">
        <v>174</v>
      </c>
    </row>
    <row r="58" spans="1:21" x14ac:dyDescent="0.3">
      <c r="A58" s="6" t="s">
        <v>2002</v>
      </c>
      <c r="B58" s="7" t="s">
        <v>139</v>
      </c>
      <c r="C58" s="7" t="s">
        <v>1156</v>
      </c>
      <c r="D58" s="7" t="s">
        <v>18</v>
      </c>
      <c r="E58" s="7" t="s">
        <v>2003</v>
      </c>
      <c r="F58" s="7" t="s">
        <v>2004</v>
      </c>
      <c r="G58" s="7" t="s">
        <v>2005</v>
      </c>
      <c r="H58" s="7" t="s">
        <v>2006</v>
      </c>
      <c r="I58" s="7" t="s">
        <v>2007</v>
      </c>
      <c r="J58" s="7" t="s">
        <v>2008</v>
      </c>
      <c r="K58" s="7" t="s">
        <v>1707</v>
      </c>
      <c r="L58" s="7"/>
      <c r="M58" s="7">
        <v>7</v>
      </c>
      <c r="N58" s="7"/>
      <c r="O58" s="7">
        <v>7</v>
      </c>
      <c r="P58" s="7"/>
      <c r="Q58" s="7">
        <v>0</v>
      </c>
      <c r="R58" s="7">
        <v>7</v>
      </c>
      <c r="S58" s="7">
        <v>7</v>
      </c>
      <c r="T58" s="7" t="s">
        <v>2009</v>
      </c>
      <c r="U58" s="7" t="s">
        <v>2010</v>
      </c>
    </row>
    <row r="59" spans="1:21" x14ac:dyDescent="0.3">
      <c r="A59" s="6" t="s">
        <v>2011</v>
      </c>
      <c r="B59" s="7" t="s">
        <v>139</v>
      </c>
      <c r="C59" s="7" t="s">
        <v>1156</v>
      </c>
      <c r="D59" s="7" t="s">
        <v>18</v>
      </c>
      <c r="E59" s="7" t="s">
        <v>1306</v>
      </c>
      <c r="F59" s="7" t="s">
        <v>1307</v>
      </c>
      <c r="G59" s="7" t="s">
        <v>2012</v>
      </c>
      <c r="H59" s="7" t="s">
        <v>2013</v>
      </c>
      <c r="I59" s="7" t="s">
        <v>2014</v>
      </c>
      <c r="J59" s="7" t="s">
        <v>1714</v>
      </c>
      <c r="K59" s="7" t="s">
        <v>1707</v>
      </c>
      <c r="L59" s="7"/>
      <c r="M59" s="7">
        <v>26</v>
      </c>
      <c r="N59" s="7"/>
      <c r="O59" s="7">
        <v>26</v>
      </c>
      <c r="P59" s="7"/>
      <c r="Q59" s="7">
        <v>3</v>
      </c>
      <c r="R59" s="7">
        <v>49</v>
      </c>
      <c r="S59" s="7">
        <v>52</v>
      </c>
      <c r="T59" s="7" t="s">
        <v>411</v>
      </c>
      <c r="U59" s="7" t="s">
        <v>617</v>
      </c>
    </row>
    <row r="60" spans="1:21" x14ac:dyDescent="0.3">
      <c r="A60" s="6" t="s">
        <v>2015</v>
      </c>
      <c r="B60" s="7" t="s">
        <v>139</v>
      </c>
      <c r="C60" s="7" t="s">
        <v>1156</v>
      </c>
      <c r="D60" s="7" t="s">
        <v>18</v>
      </c>
      <c r="E60" s="7" t="s">
        <v>1306</v>
      </c>
      <c r="F60" s="7" t="s">
        <v>1307</v>
      </c>
      <c r="G60" s="7" t="s">
        <v>2016</v>
      </c>
      <c r="H60" s="7" t="s">
        <v>2017</v>
      </c>
      <c r="I60" s="7" t="s">
        <v>2014</v>
      </c>
      <c r="J60" s="7" t="s">
        <v>1911</v>
      </c>
      <c r="K60" s="7" t="s">
        <v>1707</v>
      </c>
      <c r="L60" s="7"/>
      <c r="M60" s="7">
        <v>27</v>
      </c>
      <c r="N60" s="7"/>
      <c r="O60" s="7">
        <v>27</v>
      </c>
      <c r="P60" s="7"/>
      <c r="Q60" s="7">
        <v>2</v>
      </c>
      <c r="R60" s="7">
        <v>52</v>
      </c>
      <c r="S60" s="7">
        <v>54</v>
      </c>
      <c r="T60" s="7" t="s">
        <v>2018</v>
      </c>
      <c r="U60" s="7" t="s">
        <v>2019</v>
      </c>
    </row>
    <row r="61" spans="1:21" x14ac:dyDescent="0.3">
      <c r="A61" s="6" t="s">
        <v>2020</v>
      </c>
      <c r="B61" s="7" t="s">
        <v>139</v>
      </c>
      <c r="C61" s="7" t="s">
        <v>1156</v>
      </c>
      <c r="D61" s="7" t="s">
        <v>18</v>
      </c>
      <c r="E61" s="7" t="s">
        <v>2021</v>
      </c>
      <c r="F61" s="7" t="s">
        <v>2022</v>
      </c>
      <c r="G61" s="7" t="s">
        <v>2023</v>
      </c>
      <c r="H61" s="7" t="s">
        <v>2024</v>
      </c>
      <c r="I61" s="7" t="s">
        <v>1986</v>
      </c>
      <c r="J61" s="7" t="s">
        <v>1924</v>
      </c>
      <c r="K61" s="7" t="s">
        <v>1729</v>
      </c>
      <c r="L61" s="7"/>
      <c r="M61" s="7">
        <v>11</v>
      </c>
      <c r="N61" s="7"/>
      <c r="O61" s="7">
        <v>11</v>
      </c>
      <c r="P61" s="7"/>
      <c r="Q61" s="7">
        <v>1</v>
      </c>
      <c r="R61" s="7">
        <v>10</v>
      </c>
      <c r="S61" s="7">
        <v>11</v>
      </c>
      <c r="T61" s="7" t="s">
        <v>2025</v>
      </c>
      <c r="U61" s="7" t="s">
        <v>1601</v>
      </c>
    </row>
    <row r="62" spans="1:21" x14ac:dyDescent="0.3">
      <c r="A62" s="6" t="s">
        <v>2026</v>
      </c>
      <c r="B62" s="7" t="s">
        <v>139</v>
      </c>
      <c r="C62" s="7" t="s">
        <v>1156</v>
      </c>
      <c r="D62" s="7" t="s">
        <v>18</v>
      </c>
      <c r="E62" s="7" t="s">
        <v>2027</v>
      </c>
      <c r="F62" s="7" t="s">
        <v>2028</v>
      </c>
      <c r="G62" s="7" t="s">
        <v>2029</v>
      </c>
      <c r="H62" s="7" t="s">
        <v>2030</v>
      </c>
      <c r="I62" s="7" t="s">
        <v>2031</v>
      </c>
      <c r="J62" s="7" t="s">
        <v>1893</v>
      </c>
      <c r="K62" s="7" t="s">
        <v>1707</v>
      </c>
      <c r="L62" s="7"/>
      <c r="M62" s="7">
        <v>10</v>
      </c>
      <c r="N62" s="7"/>
      <c r="O62" s="7">
        <v>10</v>
      </c>
      <c r="P62" s="7"/>
      <c r="Q62" s="7">
        <v>0</v>
      </c>
      <c r="R62" s="7">
        <v>10</v>
      </c>
      <c r="S62" s="7">
        <v>10</v>
      </c>
      <c r="T62" s="7" t="s">
        <v>105</v>
      </c>
      <c r="U62" s="7" t="s">
        <v>174</v>
      </c>
    </row>
    <row r="63" spans="1:21" x14ac:dyDescent="0.3">
      <c r="A63" s="6" t="s">
        <v>2032</v>
      </c>
      <c r="B63" s="7" t="s">
        <v>139</v>
      </c>
      <c r="C63" s="7" t="s">
        <v>643</v>
      </c>
      <c r="D63" s="7" t="s">
        <v>20</v>
      </c>
      <c r="E63" s="7" t="s">
        <v>2033</v>
      </c>
      <c r="F63" s="7" t="s">
        <v>2034</v>
      </c>
      <c r="G63" s="7" t="s">
        <v>2035</v>
      </c>
      <c r="H63" s="7" t="s">
        <v>2036</v>
      </c>
      <c r="I63" s="7" t="s">
        <v>2037</v>
      </c>
      <c r="J63" s="7" t="s">
        <v>2038</v>
      </c>
      <c r="K63" s="7" t="s">
        <v>1739</v>
      </c>
      <c r="L63" s="7">
        <v>15</v>
      </c>
      <c r="M63" s="7">
        <v>0</v>
      </c>
      <c r="N63" s="7" t="s">
        <v>2039</v>
      </c>
      <c r="O63" s="7">
        <v>15</v>
      </c>
      <c r="P63" s="7"/>
      <c r="Q63" s="7">
        <v>0</v>
      </c>
      <c r="R63" s="7">
        <v>36</v>
      </c>
      <c r="S63" s="7">
        <v>36</v>
      </c>
      <c r="T63" s="7" t="s">
        <v>961</v>
      </c>
      <c r="U63" s="7" t="s">
        <v>2040</v>
      </c>
    </row>
    <row r="64" spans="1:21" x14ac:dyDescent="0.3">
      <c r="A64" s="6" t="s">
        <v>2041</v>
      </c>
      <c r="B64" s="7" t="s">
        <v>139</v>
      </c>
      <c r="C64" s="7" t="s">
        <v>643</v>
      </c>
      <c r="D64" s="7" t="s">
        <v>20</v>
      </c>
      <c r="E64" s="7" t="s">
        <v>2042</v>
      </c>
      <c r="F64" s="7" t="s">
        <v>2043</v>
      </c>
      <c r="G64" s="7" t="s">
        <v>2044</v>
      </c>
      <c r="H64" s="7" t="s">
        <v>2045</v>
      </c>
      <c r="I64" s="7" t="s">
        <v>1969</v>
      </c>
      <c r="J64" s="7" t="s">
        <v>2046</v>
      </c>
      <c r="K64" s="7" t="s">
        <v>1707</v>
      </c>
      <c r="L64" s="7">
        <v>10</v>
      </c>
      <c r="M64" s="7">
        <v>0</v>
      </c>
      <c r="N64" s="7" t="s">
        <v>2039</v>
      </c>
      <c r="O64" s="7">
        <v>10</v>
      </c>
      <c r="P64" s="7"/>
      <c r="Q64" s="7">
        <v>0</v>
      </c>
      <c r="R64" s="7">
        <v>9</v>
      </c>
      <c r="S64" s="7">
        <v>9</v>
      </c>
      <c r="T64" s="7" t="s">
        <v>814</v>
      </c>
      <c r="U64" s="7" t="s">
        <v>2047</v>
      </c>
    </row>
    <row r="65" spans="1:21" x14ac:dyDescent="0.3">
      <c r="A65" s="6" t="s">
        <v>2048</v>
      </c>
      <c r="B65" s="7" t="s">
        <v>139</v>
      </c>
      <c r="C65" s="7" t="s">
        <v>2049</v>
      </c>
      <c r="D65" s="7" t="s">
        <v>21</v>
      </c>
      <c r="E65" s="7" t="s">
        <v>2050</v>
      </c>
      <c r="F65" s="7" t="s">
        <v>2051</v>
      </c>
      <c r="G65" s="7" t="s">
        <v>2052</v>
      </c>
      <c r="H65" s="7" t="s">
        <v>2053</v>
      </c>
      <c r="I65" s="7" t="s">
        <v>2054</v>
      </c>
      <c r="J65" s="7" t="s">
        <v>2055</v>
      </c>
      <c r="K65" s="7" t="s">
        <v>1729</v>
      </c>
      <c r="L65" s="7"/>
      <c r="M65" s="7"/>
      <c r="N65" s="7" t="s">
        <v>667</v>
      </c>
      <c r="O65" s="7">
        <v>7</v>
      </c>
      <c r="P65" s="7"/>
      <c r="Q65" s="7"/>
      <c r="R65" s="7">
        <v>7</v>
      </c>
      <c r="S65" s="7">
        <v>7</v>
      </c>
      <c r="T65" s="7" t="s">
        <v>384</v>
      </c>
      <c r="U65" s="7" t="s">
        <v>422</v>
      </c>
    </row>
    <row r="66" spans="1:21" x14ac:dyDescent="0.3">
      <c r="A66" s="6" t="s">
        <v>2056</v>
      </c>
      <c r="B66" s="7" t="s">
        <v>139</v>
      </c>
      <c r="C66" s="7" t="s">
        <v>2049</v>
      </c>
      <c r="D66" s="7" t="s">
        <v>21</v>
      </c>
      <c r="E66" s="7" t="s">
        <v>2057</v>
      </c>
      <c r="F66" s="7" t="s">
        <v>2058</v>
      </c>
      <c r="G66" s="7" t="s">
        <v>2059</v>
      </c>
      <c r="H66" s="7" t="s">
        <v>2060</v>
      </c>
      <c r="I66" s="7" t="s">
        <v>2054</v>
      </c>
      <c r="J66" s="7" t="s">
        <v>2061</v>
      </c>
      <c r="K66" s="7" t="s">
        <v>1729</v>
      </c>
      <c r="L66" s="7"/>
      <c r="M66" s="7"/>
      <c r="N66" s="7" t="s">
        <v>734</v>
      </c>
      <c r="O66" s="7">
        <v>28</v>
      </c>
      <c r="P66" s="7"/>
      <c r="Q66" s="7">
        <v>0</v>
      </c>
      <c r="R66" s="7">
        <v>28</v>
      </c>
      <c r="S66" s="7">
        <v>28</v>
      </c>
      <c r="T66" s="7" t="s">
        <v>994</v>
      </c>
      <c r="U66" s="7" t="s">
        <v>355</v>
      </c>
    </row>
    <row r="67" spans="1:21" x14ac:dyDescent="0.3">
      <c r="A67" s="6" t="s">
        <v>2062</v>
      </c>
      <c r="B67" s="7" t="s">
        <v>139</v>
      </c>
      <c r="C67" s="7" t="s">
        <v>2049</v>
      </c>
      <c r="D67" s="7" t="s">
        <v>21</v>
      </c>
      <c r="E67" s="7" t="s">
        <v>2063</v>
      </c>
      <c r="F67" s="7" t="s">
        <v>2064</v>
      </c>
      <c r="G67" s="7" t="s">
        <v>2065</v>
      </c>
      <c r="H67" s="7" t="s">
        <v>2066</v>
      </c>
      <c r="I67" s="7" t="s">
        <v>2054</v>
      </c>
      <c r="J67" s="7" t="s">
        <v>2055</v>
      </c>
      <c r="K67" s="7" t="s">
        <v>1729</v>
      </c>
      <c r="L67" s="7"/>
      <c r="M67" s="7"/>
      <c r="N67" s="7" t="s">
        <v>659</v>
      </c>
      <c r="O67" s="7">
        <v>4</v>
      </c>
      <c r="P67" s="7"/>
      <c r="Q67" s="7"/>
      <c r="R67" s="7">
        <v>4</v>
      </c>
      <c r="S67" s="7">
        <v>4</v>
      </c>
      <c r="T67" s="7"/>
      <c r="U67" s="7" t="s">
        <v>174</v>
      </c>
    </row>
    <row r="68" spans="1:21" x14ac:dyDescent="0.3">
      <c r="A68" s="6" t="s">
        <v>2067</v>
      </c>
      <c r="B68" s="7" t="s">
        <v>139</v>
      </c>
      <c r="C68" s="7" t="s">
        <v>2049</v>
      </c>
      <c r="D68" s="7" t="s">
        <v>21</v>
      </c>
      <c r="E68" s="7" t="s">
        <v>2068</v>
      </c>
      <c r="F68" s="7" t="s">
        <v>242</v>
      </c>
      <c r="G68" s="7" t="s">
        <v>2069</v>
      </c>
      <c r="H68" s="7" t="s">
        <v>2070</v>
      </c>
      <c r="I68" s="7" t="s">
        <v>2054</v>
      </c>
      <c r="J68" s="7" t="s">
        <v>2055</v>
      </c>
      <c r="K68" s="7" t="s">
        <v>1729</v>
      </c>
      <c r="L68" s="7"/>
      <c r="M68" s="7"/>
      <c r="N68" s="7" t="s">
        <v>674</v>
      </c>
      <c r="O68" s="7">
        <v>10</v>
      </c>
      <c r="P68" s="7"/>
      <c r="Q68" s="7"/>
      <c r="R68" s="7">
        <v>10</v>
      </c>
      <c r="S68" s="7">
        <v>10</v>
      </c>
      <c r="T68" s="7" t="s">
        <v>2071</v>
      </c>
      <c r="U68" s="7" t="s">
        <v>2072</v>
      </c>
    </row>
    <row r="69" spans="1:21" x14ac:dyDescent="0.3">
      <c r="A69" s="6" t="s">
        <v>2073</v>
      </c>
      <c r="B69" s="7" t="s">
        <v>139</v>
      </c>
      <c r="C69" s="7" t="s">
        <v>2049</v>
      </c>
      <c r="D69" s="7" t="s">
        <v>21</v>
      </c>
      <c r="E69" s="7" t="s">
        <v>2074</v>
      </c>
      <c r="F69" s="7" t="s">
        <v>809</v>
      </c>
      <c r="G69" s="7" t="s">
        <v>2075</v>
      </c>
      <c r="H69" s="7" t="s">
        <v>2076</v>
      </c>
      <c r="I69" s="7" t="s">
        <v>2054</v>
      </c>
      <c r="J69" s="7" t="s">
        <v>2077</v>
      </c>
      <c r="K69" s="7" t="s">
        <v>1729</v>
      </c>
      <c r="L69" s="7"/>
      <c r="M69" s="7"/>
      <c r="N69" s="7" t="s">
        <v>743</v>
      </c>
      <c r="O69" s="7">
        <v>30</v>
      </c>
      <c r="P69" s="7"/>
      <c r="Q69" s="7">
        <v>3</v>
      </c>
      <c r="R69" s="7">
        <v>27</v>
      </c>
      <c r="S69" s="7">
        <v>30</v>
      </c>
      <c r="T69" s="7" t="s">
        <v>626</v>
      </c>
      <c r="U69" s="7" t="s">
        <v>1097</v>
      </c>
    </row>
    <row r="70" spans="1:21" x14ac:dyDescent="0.3">
      <c r="A70" s="6" t="s">
        <v>2078</v>
      </c>
      <c r="B70" s="7" t="s">
        <v>139</v>
      </c>
      <c r="C70" s="7" t="s">
        <v>2049</v>
      </c>
      <c r="D70" s="7" t="s">
        <v>21</v>
      </c>
      <c r="E70" s="7" t="s">
        <v>2079</v>
      </c>
      <c r="F70" s="7" t="s">
        <v>1915</v>
      </c>
      <c r="G70" s="7" t="s">
        <v>2080</v>
      </c>
      <c r="H70" s="7" t="s">
        <v>2081</v>
      </c>
      <c r="I70" s="7" t="s">
        <v>2054</v>
      </c>
      <c r="J70" s="7" t="s">
        <v>2082</v>
      </c>
      <c r="K70" s="7" t="s">
        <v>1729</v>
      </c>
      <c r="L70" s="7"/>
      <c r="M70" s="7"/>
      <c r="N70" s="7" t="s">
        <v>693</v>
      </c>
      <c r="O70" s="7">
        <v>14</v>
      </c>
      <c r="P70" s="7"/>
      <c r="Q70" s="7">
        <v>1</v>
      </c>
      <c r="R70" s="7">
        <v>13</v>
      </c>
      <c r="S70" s="7">
        <v>14</v>
      </c>
      <c r="T70" s="7" t="s">
        <v>345</v>
      </c>
      <c r="U70" s="7" t="s">
        <v>962</v>
      </c>
    </row>
    <row r="71" spans="1:21" x14ac:dyDescent="0.3">
      <c r="A71" s="6" t="s">
        <v>2083</v>
      </c>
      <c r="B71" s="7" t="s">
        <v>139</v>
      </c>
      <c r="C71" s="7" t="s">
        <v>2049</v>
      </c>
      <c r="D71" s="7" t="s">
        <v>21</v>
      </c>
      <c r="E71" s="7" t="s">
        <v>2079</v>
      </c>
      <c r="F71" s="7" t="s">
        <v>1915</v>
      </c>
      <c r="G71" s="7" t="s">
        <v>2084</v>
      </c>
      <c r="H71" s="7" t="s">
        <v>2085</v>
      </c>
      <c r="I71" s="7" t="s">
        <v>2054</v>
      </c>
      <c r="J71" s="7" t="s">
        <v>2086</v>
      </c>
      <c r="K71" s="7" t="s">
        <v>1729</v>
      </c>
      <c r="L71" s="7"/>
      <c r="M71" s="7"/>
      <c r="N71" s="7" t="s">
        <v>724</v>
      </c>
      <c r="O71" s="7">
        <v>26</v>
      </c>
      <c r="P71" s="7"/>
      <c r="Q71" s="7">
        <v>3</v>
      </c>
      <c r="R71" s="7">
        <v>23</v>
      </c>
      <c r="S71" s="7">
        <v>26</v>
      </c>
      <c r="T71" s="7" t="s">
        <v>607</v>
      </c>
      <c r="U71" s="7" t="s">
        <v>1757</v>
      </c>
    </row>
    <row r="72" spans="1:21" x14ac:dyDescent="0.3">
      <c r="A72" s="6" t="s">
        <v>2087</v>
      </c>
      <c r="B72" s="7" t="s">
        <v>139</v>
      </c>
      <c r="C72" s="7" t="s">
        <v>2049</v>
      </c>
      <c r="D72" s="7" t="s">
        <v>21</v>
      </c>
      <c r="E72" s="7" t="s">
        <v>2088</v>
      </c>
      <c r="F72" s="7"/>
      <c r="G72" s="7" t="s">
        <v>2089</v>
      </c>
      <c r="H72" s="7" t="s">
        <v>2090</v>
      </c>
      <c r="I72" s="7" t="s">
        <v>2054</v>
      </c>
      <c r="J72" s="7" t="s">
        <v>2091</v>
      </c>
      <c r="K72" s="7" t="s">
        <v>1729</v>
      </c>
      <c r="L72" s="7"/>
      <c r="M72" s="7"/>
      <c r="N72" s="7" t="s">
        <v>683</v>
      </c>
      <c r="O72" s="7">
        <v>11</v>
      </c>
      <c r="P72" s="7"/>
      <c r="Q72" s="7"/>
      <c r="R72" s="7">
        <v>11</v>
      </c>
      <c r="S72" s="7">
        <v>11</v>
      </c>
      <c r="T72" s="7" t="s">
        <v>2092</v>
      </c>
      <c r="U72" s="7" t="s">
        <v>1708</v>
      </c>
    </row>
    <row r="73" spans="1:21" x14ac:dyDescent="0.3">
      <c r="A73" s="6" t="s">
        <v>2093</v>
      </c>
      <c r="B73" s="7" t="s">
        <v>139</v>
      </c>
      <c r="C73" s="7" t="s">
        <v>2049</v>
      </c>
      <c r="D73" s="7" t="s">
        <v>21</v>
      </c>
      <c r="E73" s="7" t="s">
        <v>2094</v>
      </c>
      <c r="F73" s="7" t="s">
        <v>2095</v>
      </c>
      <c r="G73" s="7" t="s">
        <v>2096</v>
      </c>
      <c r="H73" s="7" t="s">
        <v>2097</v>
      </c>
      <c r="I73" s="7" t="s">
        <v>2054</v>
      </c>
      <c r="J73" s="7" t="s">
        <v>2082</v>
      </c>
      <c r="K73" s="7" t="s">
        <v>1729</v>
      </c>
      <c r="L73" s="7"/>
      <c r="M73" s="7"/>
      <c r="N73" s="7" t="s">
        <v>659</v>
      </c>
      <c r="O73" s="7">
        <v>4</v>
      </c>
      <c r="P73" s="7"/>
      <c r="Q73" s="7">
        <v>1</v>
      </c>
      <c r="R73" s="7">
        <v>3</v>
      </c>
      <c r="S73" s="7">
        <v>4</v>
      </c>
      <c r="T73" s="7" t="s">
        <v>2098</v>
      </c>
      <c r="U73" s="7" t="s">
        <v>771</v>
      </c>
    </row>
    <row r="74" spans="1:21" x14ac:dyDescent="0.3">
      <c r="A74" s="6" t="s">
        <v>2099</v>
      </c>
      <c r="B74" s="7" t="s">
        <v>139</v>
      </c>
      <c r="C74" s="7" t="s">
        <v>2049</v>
      </c>
      <c r="D74" s="7" t="s">
        <v>21</v>
      </c>
      <c r="E74" s="7" t="s">
        <v>2100</v>
      </c>
      <c r="F74" s="7" t="s">
        <v>2101</v>
      </c>
      <c r="G74" s="7" t="s">
        <v>2102</v>
      </c>
      <c r="H74" s="7" t="s">
        <v>2103</v>
      </c>
      <c r="I74" s="7" t="s">
        <v>2054</v>
      </c>
      <c r="J74" s="7" t="s">
        <v>2055</v>
      </c>
      <c r="K74" s="7" t="s">
        <v>1729</v>
      </c>
      <c r="L74" s="7"/>
      <c r="M74" s="7"/>
      <c r="N74" s="7" t="s">
        <v>1740</v>
      </c>
      <c r="O74" s="7">
        <v>20</v>
      </c>
      <c r="P74" s="7"/>
      <c r="Q74" s="7"/>
      <c r="R74" s="7">
        <v>20</v>
      </c>
      <c r="S74" s="7">
        <v>20</v>
      </c>
      <c r="T74" s="7" t="s">
        <v>678</v>
      </c>
      <c r="U74" s="7" t="s">
        <v>519</v>
      </c>
    </row>
    <row r="75" spans="1:21" x14ac:dyDescent="0.3">
      <c r="A75" s="6" t="s">
        <v>2104</v>
      </c>
      <c r="B75" s="7" t="s">
        <v>139</v>
      </c>
      <c r="C75" s="7" t="s">
        <v>2049</v>
      </c>
      <c r="D75" s="7" t="s">
        <v>21</v>
      </c>
      <c r="E75" s="7" t="s">
        <v>2105</v>
      </c>
      <c r="F75" s="7" t="s">
        <v>1215</v>
      </c>
      <c r="G75" s="7" t="s">
        <v>2106</v>
      </c>
      <c r="H75" s="7" t="s">
        <v>2107</v>
      </c>
      <c r="I75" s="7" t="s">
        <v>2054</v>
      </c>
      <c r="J75" s="7" t="s">
        <v>2108</v>
      </c>
      <c r="K75" s="7" t="s">
        <v>1729</v>
      </c>
      <c r="L75" s="7"/>
      <c r="M75" s="7"/>
      <c r="N75" s="7" t="s">
        <v>691</v>
      </c>
      <c r="O75" s="7">
        <v>13</v>
      </c>
      <c r="P75" s="7"/>
      <c r="Q75" s="7"/>
      <c r="R75" s="7">
        <v>13</v>
      </c>
      <c r="S75" s="7">
        <v>13</v>
      </c>
      <c r="T75" s="7" t="s">
        <v>462</v>
      </c>
      <c r="U75" s="7" t="s">
        <v>1100</v>
      </c>
    </row>
    <row r="76" spans="1:21" x14ac:dyDescent="0.3">
      <c r="A76" s="6" t="s">
        <v>2109</v>
      </c>
      <c r="B76" s="7" t="s">
        <v>139</v>
      </c>
      <c r="C76" s="7" t="s">
        <v>2049</v>
      </c>
      <c r="D76" s="7" t="s">
        <v>21</v>
      </c>
      <c r="E76" s="7" t="s">
        <v>2105</v>
      </c>
      <c r="F76" s="7" t="s">
        <v>1215</v>
      </c>
      <c r="G76" s="7" t="s">
        <v>2110</v>
      </c>
      <c r="H76" s="7" t="s">
        <v>2111</v>
      </c>
      <c r="I76" s="7" t="s">
        <v>2054</v>
      </c>
      <c r="J76" s="7" t="s">
        <v>2108</v>
      </c>
      <c r="K76" s="7" t="s">
        <v>1729</v>
      </c>
      <c r="L76" s="7"/>
      <c r="M76" s="7"/>
      <c r="N76" s="7" t="s">
        <v>648</v>
      </c>
      <c r="O76" s="7">
        <v>1</v>
      </c>
      <c r="P76" s="7"/>
      <c r="Q76" s="7"/>
      <c r="R76" s="7">
        <v>1</v>
      </c>
      <c r="S76" s="7">
        <v>1</v>
      </c>
      <c r="T76" s="7" t="s">
        <v>2112</v>
      </c>
      <c r="U76" s="7" t="s">
        <v>1708</v>
      </c>
    </row>
    <row r="77" spans="1:21" x14ac:dyDescent="0.3">
      <c r="A77" s="6" t="s">
        <v>2113</v>
      </c>
      <c r="B77" s="7" t="s">
        <v>139</v>
      </c>
      <c r="C77" s="7" t="s">
        <v>2049</v>
      </c>
      <c r="D77" s="7" t="s">
        <v>21</v>
      </c>
      <c r="E77" s="7" t="s">
        <v>57</v>
      </c>
      <c r="F77" s="7"/>
      <c r="G77" s="7" t="s">
        <v>2114</v>
      </c>
      <c r="H77" s="7" t="s">
        <v>2115</v>
      </c>
      <c r="I77" s="7" t="s">
        <v>2054</v>
      </c>
      <c r="J77" s="7" t="s">
        <v>2061</v>
      </c>
      <c r="K77" s="7" t="s">
        <v>1729</v>
      </c>
      <c r="L77" s="7"/>
      <c r="M77" s="7"/>
      <c r="N77" s="7" t="s">
        <v>659</v>
      </c>
      <c r="O77" s="7">
        <v>4</v>
      </c>
      <c r="P77" s="7"/>
      <c r="Q77" s="7"/>
      <c r="R77" s="7">
        <v>4</v>
      </c>
      <c r="S77" s="7">
        <v>4</v>
      </c>
      <c r="T77" s="7" t="s">
        <v>58</v>
      </c>
      <c r="U77" s="7" t="s">
        <v>2116</v>
      </c>
    </row>
    <row r="78" spans="1:21" x14ac:dyDescent="0.3">
      <c r="A78" s="6" t="s">
        <v>2117</v>
      </c>
      <c r="B78" s="7" t="s">
        <v>139</v>
      </c>
      <c r="C78" s="7" t="s">
        <v>2049</v>
      </c>
      <c r="D78" s="7" t="s">
        <v>21</v>
      </c>
      <c r="E78" s="7" t="s">
        <v>57</v>
      </c>
      <c r="F78" s="7" t="s">
        <v>2118</v>
      </c>
      <c r="G78" s="7" t="s">
        <v>2119</v>
      </c>
      <c r="H78" s="7" t="s">
        <v>2120</v>
      </c>
      <c r="I78" s="7" t="s">
        <v>2054</v>
      </c>
      <c r="J78" s="7" t="s">
        <v>2055</v>
      </c>
      <c r="K78" s="7" t="s">
        <v>1729</v>
      </c>
      <c r="L78" s="7"/>
      <c r="M78" s="7"/>
      <c r="N78" s="7" t="s">
        <v>1023</v>
      </c>
      <c r="O78" s="7">
        <v>124</v>
      </c>
      <c r="P78" s="7"/>
      <c r="Q78" s="7">
        <v>7</v>
      </c>
      <c r="R78" s="7">
        <v>117</v>
      </c>
      <c r="S78" s="7">
        <v>124</v>
      </c>
      <c r="T78" s="7" t="s">
        <v>1682</v>
      </c>
      <c r="U78" s="7" t="s">
        <v>658</v>
      </c>
    </row>
    <row r="79" spans="1:21" x14ac:dyDescent="0.3">
      <c r="A79" s="6" t="s">
        <v>2121</v>
      </c>
      <c r="B79" s="7" t="s">
        <v>139</v>
      </c>
      <c r="C79" s="7" t="s">
        <v>2049</v>
      </c>
      <c r="D79" s="7" t="s">
        <v>21</v>
      </c>
      <c r="E79" s="7" t="s">
        <v>57</v>
      </c>
      <c r="F79" s="7" t="s">
        <v>2118</v>
      </c>
      <c r="G79" s="7" t="s">
        <v>56</v>
      </c>
      <c r="H79" s="7" t="s">
        <v>2122</v>
      </c>
      <c r="I79" s="7" t="s">
        <v>2054</v>
      </c>
      <c r="J79" s="7" t="s">
        <v>2061</v>
      </c>
      <c r="K79" s="7" t="s">
        <v>1729</v>
      </c>
      <c r="L79" s="7"/>
      <c r="M79" s="7"/>
      <c r="N79" s="7" t="s">
        <v>1113</v>
      </c>
      <c r="O79" s="7">
        <v>156</v>
      </c>
      <c r="P79" s="7"/>
      <c r="Q79" s="7">
        <v>13</v>
      </c>
      <c r="R79" s="7">
        <v>143</v>
      </c>
      <c r="S79" s="7">
        <v>156</v>
      </c>
      <c r="T79" s="7" t="s">
        <v>58</v>
      </c>
      <c r="U79" s="7" t="s">
        <v>2116</v>
      </c>
    </row>
    <row r="80" spans="1:21" x14ac:dyDescent="0.3">
      <c r="A80" s="6" t="s">
        <v>2123</v>
      </c>
      <c r="B80" s="7" t="s">
        <v>139</v>
      </c>
      <c r="C80" s="7" t="s">
        <v>2049</v>
      </c>
      <c r="D80" s="7" t="s">
        <v>21</v>
      </c>
      <c r="E80" s="7" t="s">
        <v>57</v>
      </c>
      <c r="F80" s="7"/>
      <c r="G80" s="7" t="s">
        <v>56</v>
      </c>
      <c r="H80" s="7" t="s">
        <v>2115</v>
      </c>
      <c r="I80" s="7" t="s">
        <v>2054</v>
      </c>
      <c r="J80" s="7" t="s">
        <v>2061</v>
      </c>
      <c r="K80" s="7" t="s">
        <v>1729</v>
      </c>
      <c r="L80" s="7"/>
      <c r="M80" s="7"/>
      <c r="N80" s="7" t="s">
        <v>663</v>
      </c>
      <c r="O80" s="7">
        <v>5</v>
      </c>
      <c r="P80" s="7"/>
      <c r="Q80" s="7"/>
      <c r="R80" s="7">
        <v>5</v>
      </c>
      <c r="S80" s="7">
        <v>5</v>
      </c>
      <c r="T80" s="7" t="s">
        <v>58</v>
      </c>
      <c r="U80" s="7" t="s">
        <v>2116</v>
      </c>
    </row>
    <row r="81" spans="1:21" x14ac:dyDescent="0.3">
      <c r="A81" s="6" t="s">
        <v>2124</v>
      </c>
      <c r="B81" s="7" t="s">
        <v>139</v>
      </c>
      <c r="C81" s="7" t="s">
        <v>2049</v>
      </c>
      <c r="D81" s="7" t="s">
        <v>21</v>
      </c>
      <c r="E81" s="7" t="s">
        <v>57</v>
      </c>
      <c r="F81" s="7"/>
      <c r="G81" s="7" t="s">
        <v>56</v>
      </c>
      <c r="H81" s="7" t="s">
        <v>2115</v>
      </c>
      <c r="I81" s="7" t="s">
        <v>2054</v>
      </c>
      <c r="J81" s="7" t="s">
        <v>2061</v>
      </c>
      <c r="K81" s="7" t="s">
        <v>1729</v>
      </c>
      <c r="L81" s="7"/>
      <c r="M81" s="7"/>
      <c r="N81" s="7" t="s">
        <v>654</v>
      </c>
      <c r="O81" s="7">
        <v>2</v>
      </c>
      <c r="P81" s="7"/>
      <c r="Q81" s="7"/>
      <c r="R81" s="7">
        <v>2</v>
      </c>
      <c r="S81" s="7">
        <v>2</v>
      </c>
      <c r="T81" s="7" t="s">
        <v>58</v>
      </c>
      <c r="U81" s="7" t="s">
        <v>2116</v>
      </c>
    </row>
    <row r="82" spans="1:21" x14ac:dyDescent="0.3">
      <c r="A82" s="6" t="s">
        <v>2125</v>
      </c>
      <c r="B82" s="7" t="s">
        <v>139</v>
      </c>
      <c r="C82" s="7" t="s">
        <v>2049</v>
      </c>
      <c r="D82" s="7" t="s">
        <v>21</v>
      </c>
      <c r="E82" s="7" t="s">
        <v>57</v>
      </c>
      <c r="F82" s="7"/>
      <c r="G82" s="7" t="s">
        <v>56</v>
      </c>
      <c r="H82" s="7" t="s">
        <v>2115</v>
      </c>
      <c r="I82" s="7" t="s">
        <v>2054</v>
      </c>
      <c r="J82" s="7" t="s">
        <v>2061</v>
      </c>
      <c r="K82" s="7" t="s">
        <v>1729</v>
      </c>
      <c r="L82" s="7"/>
      <c r="M82" s="7"/>
      <c r="N82" s="7" t="s">
        <v>659</v>
      </c>
      <c r="O82" s="7">
        <v>4</v>
      </c>
      <c r="P82" s="7"/>
      <c r="Q82" s="7"/>
      <c r="R82" s="7">
        <v>4</v>
      </c>
      <c r="S82" s="7">
        <v>4</v>
      </c>
      <c r="T82" s="7" t="s">
        <v>58</v>
      </c>
      <c r="U82" s="7" t="s">
        <v>2116</v>
      </c>
    </row>
    <row r="83" spans="1:21" x14ac:dyDescent="0.3">
      <c r="A83" s="6" t="s">
        <v>2126</v>
      </c>
      <c r="B83" s="7" t="s">
        <v>139</v>
      </c>
      <c r="C83" s="7" t="s">
        <v>2049</v>
      </c>
      <c r="D83" s="7" t="s">
        <v>21</v>
      </c>
      <c r="E83" s="7" t="s">
        <v>57</v>
      </c>
      <c r="F83" s="7"/>
      <c r="G83" s="7" t="s">
        <v>56</v>
      </c>
      <c r="H83" s="7" t="s">
        <v>2115</v>
      </c>
      <c r="I83" s="7" t="s">
        <v>2054</v>
      </c>
      <c r="J83" s="7" t="s">
        <v>2061</v>
      </c>
      <c r="K83" s="7" t="s">
        <v>1729</v>
      </c>
      <c r="L83" s="7"/>
      <c r="M83" s="7"/>
      <c r="N83" s="7" t="s">
        <v>667</v>
      </c>
      <c r="O83" s="7">
        <v>7</v>
      </c>
      <c r="P83" s="7"/>
      <c r="Q83" s="7"/>
      <c r="R83" s="7">
        <v>7</v>
      </c>
      <c r="S83" s="7">
        <v>7</v>
      </c>
      <c r="T83" s="7" t="s">
        <v>58</v>
      </c>
      <c r="U83" s="7" t="s">
        <v>2116</v>
      </c>
    </row>
    <row r="84" spans="1:21" x14ac:dyDescent="0.3">
      <c r="A84" s="6" t="s">
        <v>2127</v>
      </c>
      <c r="B84" s="7" t="s">
        <v>139</v>
      </c>
      <c r="C84" s="7" t="s">
        <v>2049</v>
      </c>
      <c r="D84" s="7" t="s">
        <v>21</v>
      </c>
      <c r="E84" s="7" t="s">
        <v>57</v>
      </c>
      <c r="F84" s="7"/>
      <c r="G84" s="7" t="s">
        <v>56</v>
      </c>
      <c r="H84" s="7" t="s">
        <v>2115</v>
      </c>
      <c r="I84" s="7" t="s">
        <v>2054</v>
      </c>
      <c r="J84" s="7" t="s">
        <v>2061</v>
      </c>
      <c r="K84" s="7" t="s">
        <v>1729</v>
      </c>
      <c r="L84" s="7"/>
      <c r="M84" s="7"/>
      <c r="N84" s="7" t="s">
        <v>667</v>
      </c>
      <c r="O84" s="7">
        <v>7</v>
      </c>
      <c r="P84" s="7"/>
      <c r="Q84" s="7"/>
      <c r="R84" s="7">
        <v>7</v>
      </c>
      <c r="S84" s="7">
        <v>7</v>
      </c>
      <c r="T84" s="7" t="s">
        <v>58</v>
      </c>
      <c r="U84" s="7" t="s">
        <v>2116</v>
      </c>
    </row>
    <row r="85" spans="1:21" x14ac:dyDescent="0.3">
      <c r="A85" s="6" t="s">
        <v>2128</v>
      </c>
      <c r="B85" s="7" t="s">
        <v>139</v>
      </c>
      <c r="C85" s="7" t="s">
        <v>2049</v>
      </c>
      <c r="D85" s="7" t="s">
        <v>21</v>
      </c>
      <c r="E85" s="7" t="s">
        <v>57</v>
      </c>
      <c r="F85" s="7"/>
      <c r="G85" s="7" t="s">
        <v>56</v>
      </c>
      <c r="H85" s="7" t="s">
        <v>2115</v>
      </c>
      <c r="I85" s="7" t="s">
        <v>2054</v>
      </c>
      <c r="J85" s="7" t="s">
        <v>2061</v>
      </c>
      <c r="K85" s="7" t="s">
        <v>1729</v>
      </c>
      <c r="L85" s="7"/>
      <c r="M85" s="7"/>
      <c r="N85" s="7" t="s">
        <v>654</v>
      </c>
      <c r="O85" s="7">
        <v>2</v>
      </c>
      <c r="P85" s="7"/>
      <c r="Q85" s="7"/>
      <c r="R85" s="7">
        <v>2</v>
      </c>
      <c r="S85" s="7">
        <v>2</v>
      </c>
      <c r="T85" s="7" t="s">
        <v>58</v>
      </c>
      <c r="U85" s="7" t="s">
        <v>2116</v>
      </c>
    </row>
    <row r="86" spans="1:21" x14ac:dyDescent="0.3">
      <c r="A86" s="6" t="s">
        <v>2129</v>
      </c>
      <c r="B86" s="7" t="s">
        <v>139</v>
      </c>
      <c r="C86" s="7" t="s">
        <v>2049</v>
      </c>
      <c r="D86" s="7" t="s">
        <v>21</v>
      </c>
      <c r="E86" s="7" t="s">
        <v>57</v>
      </c>
      <c r="F86" s="7" t="s">
        <v>2130</v>
      </c>
      <c r="G86" s="7" t="s">
        <v>56</v>
      </c>
      <c r="H86" s="7" t="s">
        <v>2115</v>
      </c>
      <c r="I86" s="7" t="s">
        <v>2054</v>
      </c>
      <c r="J86" s="7" t="s">
        <v>2061</v>
      </c>
      <c r="K86" s="7" t="s">
        <v>1729</v>
      </c>
      <c r="L86" s="7"/>
      <c r="M86" s="7"/>
      <c r="N86" s="7" t="s">
        <v>642</v>
      </c>
      <c r="O86" s="7">
        <v>3</v>
      </c>
      <c r="P86" s="7"/>
      <c r="Q86" s="7"/>
      <c r="R86" s="7">
        <v>3</v>
      </c>
      <c r="S86" s="7">
        <v>3</v>
      </c>
      <c r="T86" s="7" t="s">
        <v>58</v>
      </c>
      <c r="U86" s="7" t="s">
        <v>2116</v>
      </c>
    </row>
    <row r="87" spans="1:21" x14ac:dyDescent="0.3">
      <c r="A87" s="6" t="s">
        <v>2131</v>
      </c>
      <c r="B87" s="7" t="s">
        <v>139</v>
      </c>
      <c r="C87" s="7" t="s">
        <v>2049</v>
      </c>
      <c r="D87" s="7" t="s">
        <v>21</v>
      </c>
      <c r="E87" s="7" t="s">
        <v>66</v>
      </c>
      <c r="F87" s="7" t="s">
        <v>358</v>
      </c>
      <c r="G87" s="7" t="s">
        <v>2132</v>
      </c>
      <c r="H87" s="7" t="s">
        <v>2133</v>
      </c>
      <c r="I87" s="7" t="s">
        <v>2054</v>
      </c>
      <c r="J87" s="7" t="s">
        <v>2134</v>
      </c>
      <c r="K87" s="7" t="s">
        <v>1729</v>
      </c>
      <c r="L87" s="7"/>
      <c r="M87" s="7"/>
      <c r="N87" s="7" t="s">
        <v>816</v>
      </c>
      <c r="O87" s="7">
        <v>70</v>
      </c>
      <c r="P87" s="7"/>
      <c r="Q87" s="7">
        <v>5</v>
      </c>
      <c r="R87" s="7">
        <v>65</v>
      </c>
      <c r="S87" s="7">
        <v>70</v>
      </c>
      <c r="T87" s="7" t="s">
        <v>67</v>
      </c>
      <c r="U87" s="7" t="s">
        <v>617</v>
      </c>
    </row>
    <row r="88" spans="1:21" x14ac:dyDescent="0.3">
      <c r="A88" s="6" t="s">
        <v>2135</v>
      </c>
      <c r="B88" s="7" t="s">
        <v>139</v>
      </c>
      <c r="C88" s="7" t="s">
        <v>2049</v>
      </c>
      <c r="D88" s="7" t="s">
        <v>21</v>
      </c>
      <c r="E88" s="7" t="s">
        <v>66</v>
      </c>
      <c r="F88" s="7" t="s">
        <v>358</v>
      </c>
      <c r="G88" s="7" t="s">
        <v>2136</v>
      </c>
      <c r="H88" s="7" t="s">
        <v>2137</v>
      </c>
      <c r="I88" s="7" t="s">
        <v>2054</v>
      </c>
      <c r="J88" s="7" t="s">
        <v>2082</v>
      </c>
      <c r="K88" s="7" t="s">
        <v>1729</v>
      </c>
      <c r="L88" s="7"/>
      <c r="M88" s="7"/>
      <c r="N88" s="7" t="s">
        <v>728</v>
      </c>
      <c r="O88" s="7">
        <v>27</v>
      </c>
      <c r="P88" s="7"/>
      <c r="Q88" s="7"/>
      <c r="R88" s="7">
        <v>27</v>
      </c>
      <c r="S88" s="7">
        <v>27</v>
      </c>
      <c r="T88" s="7" t="s">
        <v>2138</v>
      </c>
      <c r="U88" s="7" t="s">
        <v>2139</v>
      </c>
    </row>
    <row r="89" spans="1:21" x14ac:dyDescent="0.3">
      <c r="A89" s="6" t="s">
        <v>2140</v>
      </c>
      <c r="B89" s="7" t="s">
        <v>139</v>
      </c>
      <c r="C89" s="7" t="s">
        <v>2049</v>
      </c>
      <c r="D89" s="7" t="s">
        <v>21</v>
      </c>
      <c r="E89" s="7" t="s">
        <v>66</v>
      </c>
      <c r="F89" s="7" t="s">
        <v>358</v>
      </c>
      <c r="G89" s="7" t="s">
        <v>2141</v>
      </c>
      <c r="H89" s="7" t="s">
        <v>2142</v>
      </c>
      <c r="I89" s="7" t="s">
        <v>2054</v>
      </c>
      <c r="J89" s="7" t="s">
        <v>2143</v>
      </c>
      <c r="K89" s="7" t="s">
        <v>1729</v>
      </c>
      <c r="L89" s="7"/>
      <c r="M89" s="7"/>
      <c r="N89" s="7" t="s">
        <v>683</v>
      </c>
      <c r="O89" s="7">
        <v>11</v>
      </c>
      <c r="P89" s="7"/>
      <c r="Q89" s="7"/>
      <c r="R89" s="7">
        <v>11</v>
      </c>
      <c r="S89" s="7">
        <v>11</v>
      </c>
      <c r="T89" s="7" t="s">
        <v>315</v>
      </c>
      <c r="U89" s="7" t="s">
        <v>1097</v>
      </c>
    </row>
    <row r="90" spans="1:21" x14ac:dyDescent="0.3">
      <c r="A90" s="6" t="s">
        <v>2144</v>
      </c>
      <c r="B90" s="7" t="s">
        <v>139</v>
      </c>
      <c r="C90" s="7" t="s">
        <v>2049</v>
      </c>
      <c r="D90" s="7" t="s">
        <v>21</v>
      </c>
      <c r="E90" s="7" t="s">
        <v>66</v>
      </c>
      <c r="F90" s="7" t="s">
        <v>358</v>
      </c>
      <c r="G90" s="7" t="s">
        <v>65</v>
      </c>
      <c r="H90" s="7" t="s">
        <v>2115</v>
      </c>
      <c r="I90" s="7" t="s">
        <v>2054</v>
      </c>
      <c r="J90" s="7" t="s">
        <v>2134</v>
      </c>
      <c r="K90" s="7" t="s">
        <v>1729</v>
      </c>
      <c r="L90" s="7"/>
      <c r="M90" s="7"/>
      <c r="N90" s="7" t="s">
        <v>659</v>
      </c>
      <c r="O90" s="7">
        <v>4</v>
      </c>
      <c r="P90" s="7"/>
      <c r="Q90" s="7"/>
      <c r="R90" s="7">
        <v>4</v>
      </c>
      <c r="S90" s="7">
        <v>4</v>
      </c>
      <c r="T90" s="7" t="s">
        <v>67</v>
      </c>
      <c r="U90" s="7" t="s">
        <v>617</v>
      </c>
    </row>
    <row r="91" spans="1:21" x14ac:dyDescent="0.3">
      <c r="A91" s="6" t="s">
        <v>2145</v>
      </c>
      <c r="B91" s="7" t="s">
        <v>139</v>
      </c>
      <c r="C91" s="7" t="s">
        <v>2049</v>
      </c>
      <c r="D91" s="7" t="s">
        <v>21</v>
      </c>
      <c r="E91" s="7" t="s">
        <v>66</v>
      </c>
      <c r="F91" s="7" t="s">
        <v>358</v>
      </c>
      <c r="G91" s="7" t="s">
        <v>65</v>
      </c>
      <c r="H91" s="7" t="s">
        <v>2115</v>
      </c>
      <c r="I91" s="7" t="s">
        <v>2054</v>
      </c>
      <c r="J91" s="7" t="s">
        <v>2134</v>
      </c>
      <c r="K91" s="7" t="s">
        <v>1729</v>
      </c>
      <c r="L91" s="7"/>
      <c r="M91" s="7"/>
      <c r="N91" s="7" t="s">
        <v>654</v>
      </c>
      <c r="O91" s="7">
        <v>2</v>
      </c>
      <c r="P91" s="7"/>
      <c r="Q91" s="7"/>
      <c r="R91" s="7">
        <v>2</v>
      </c>
      <c r="S91" s="7">
        <v>2</v>
      </c>
      <c r="T91" s="7" t="s">
        <v>67</v>
      </c>
      <c r="U91" s="7" t="s">
        <v>617</v>
      </c>
    </row>
    <row r="92" spans="1:21" x14ac:dyDescent="0.3">
      <c r="A92" s="6" t="s">
        <v>2146</v>
      </c>
      <c r="B92" s="7" t="s">
        <v>139</v>
      </c>
      <c r="C92" s="7" t="s">
        <v>2049</v>
      </c>
      <c r="D92" s="7" t="s">
        <v>21</v>
      </c>
      <c r="E92" s="7" t="s">
        <v>66</v>
      </c>
      <c r="F92" s="7" t="s">
        <v>358</v>
      </c>
      <c r="G92" s="7" t="s">
        <v>65</v>
      </c>
      <c r="H92" s="7" t="s">
        <v>2115</v>
      </c>
      <c r="I92" s="7" t="s">
        <v>2054</v>
      </c>
      <c r="J92" s="7" t="s">
        <v>2134</v>
      </c>
      <c r="K92" s="7" t="s">
        <v>1729</v>
      </c>
      <c r="L92" s="7"/>
      <c r="M92" s="7"/>
      <c r="N92" s="7" t="s">
        <v>648</v>
      </c>
      <c r="O92" s="7">
        <v>1</v>
      </c>
      <c r="P92" s="7"/>
      <c r="Q92" s="7"/>
      <c r="R92" s="7">
        <v>1</v>
      </c>
      <c r="S92" s="7">
        <v>1</v>
      </c>
      <c r="T92" s="7" t="s">
        <v>67</v>
      </c>
      <c r="U92" s="7" t="s">
        <v>617</v>
      </c>
    </row>
    <row r="93" spans="1:21" x14ac:dyDescent="0.3">
      <c r="A93" s="6" t="s">
        <v>2147</v>
      </c>
      <c r="B93" s="7" t="s">
        <v>139</v>
      </c>
      <c r="C93" s="7" t="s">
        <v>2049</v>
      </c>
      <c r="D93" s="7" t="s">
        <v>21</v>
      </c>
      <c r="E93" s="7" t="s">
        <v>2148</v>
      </c>
      <c r="F93" s="7" t="s">
        <v>366</v>
      </c>
      <c r="G93" s="7" t="s">
        <v>2149</v>
      </c>
      <c r="H93" s="7" t="s">
        <v>2150</v>
      </c>
      <c r="I93" s="7" t="s">
        <v>2054</v>
      </c>
      <c r="J93" s="7" t="s">
        <v>2108</v>
      </c>
      <c r="K93" s="7" t="s">
        <v>1729</v>
      </c>
      <c r="L93" s="7"/>
      <c r="M93" s="7"/>
      <c r="N93" s="7" t="s">
        <v>758</v>
      </c>
      <c r="O93" s="7">
        <v>35</v>
      </c>
      <c r="P93" s="7"/>
      <c r="Q93" s="7">
        <v>10</v>
      </c>
      <c r="R93" s="7">
        <v>25</v>
      </c>
      <c r="S93" s="7">
        <v>35</v>
      </c>
      <c r="T93" s="7" t="s">
        <v>1154</v>
      </c>
      <c r="U93" s="7"/>
    </row>
    <row r="94" spans="1:21" x14ac:dyDescent="0.3">
      <c r="A94" s="6" t="s">
        <v>2151</v>
      </c>
      <c r="B94" s="7" t="s">
        <v>139</v>
      </c>
      <c r="C94" s="7" t="s">
        <v>2049</v>
      </c>
      <c r="D94" s="7" t="s">
        <v>21</v>
      </c>
      <c r="E94" s="7" t="s">
        <v>2152</v>
      </c>
      <c r="F94" s="7" t="s">
        <v>2153</v>
      </c>
      <c r="G94" s="7" t="s">
        <v>2154</v>
      </c>
      <c r="H94" s="7" t="s">
        <v>2155</v>
      </c>
      <c r="I94" s="7" t="s">
        <v>2054</v>
      </c>
      <c r="J94" s="7" t="s">
        <v>2077</v>
      </c>
      <c r="K94" s="7" t="s">
        <v>1729</v>
      </c>
      <c r="L94" s="7"/>
      <c r="M94" s="7"/>
      <c r="N94" s="7" t="s">
        <v>667</v>
      </c>
      <c r="O94" s="7">
        <v>7</v>
      </c>
      <c r="P94" s="7"/>
      <c r="Q94" s="7">
        <v>1</v>
      </c>
      <c r="R94" s="7">
        <v>6</v>
      </c>
      <c r="S94" s="7">
        <v>7</v>
      </c>
      <c r="T94" s="7" t="s">
        <v>607</v>
      </c>
      <c r="U94" s="7" t="s">
        <v>1097</v>
      </c>
    </row>
    <row r="95" spans="1:21" x14ac:dyDescent="0.3">
      <c r="A95" s="6" t="s">
        <v>2156</v>
      </c>
      <c r="B95" s="7" t="s">
        <v>139</v>
      </c>
      <c r="C95" s="7" t="s">
        <v>2049</v>
      </c>
      <c r="D95" s="7" t="s">
        <v>21</v>
      </c>
      <c r="E95" s="7" t="s">
        <v>2157</v>
      </c>
      <c r="F95" s="7" t="s">
        <v>2158</v>
      </c>
      <c r="G95" s="7" t="s">
        <v>2159</v>
      </c>
      <c r="H95" s="7" t="s">
        <v>2160</v>
      </c>
      <c r="I95" s="7" t="s">
        <v>2054</v>
      </c>
      <c r="J95" s="7" t="s">
        <v>2091</v>
      </c>
      <c r="K95" s="7" t="s">
        <v>1729</v>
      </c>
      <c r="L95" s="7"/>
      <c r="M95" s="7"/>
      <c r="N95" s="7" t="s">
        <v>683</v>
      </c>
      <c r="O95" s="7">
        <v>11</v>
      </c>
      <c r="P95" s="7"/>
      <c r="Q95" s="7"/>
      <c r="R95" s="7">
        <v>11</v>
      </c>
      <c r="S95" s="7">
        <v>11</v>
      </c>
      <c r="T95" s="7" t="s">
        <v>2161</v>
      </c>
      <c r="U95" s="7" t="s">
        <v>961</v>
      </c>
    </row>
    <row r="96" spans="1:21" x14ac:dyDescent="0.3">
      <c r="A96" s="6" t="s">
        <v>2162</v>
      </c>
      <c r="B96" s="7" t="s">
        <v>139</v>
      </c>
      <c r="C96" s="7" t="s">
        <v>2049</v>
      </c>
      <c r="D96" s="7" t="s">
        <v>21</v>
      </c>
      <c r="E96" s="7" t="s">
        <v>70</v>
      </c>
      <c r="F96" s="7" t="s">
        <v>2163</v>
      </c>
      <c r="G96" s="7" t="s">
        <v>2164</v>
      </c>
      <c r="H96" s="7" t="s">
        <v>2165</v>
      </c>
      <c r="I96" s="7" t="s">
        <v>2054</v>
      </c>
      <c r="J96" s="7" t="s">
        <v>2166</v>
      </c>
      <c r="K96" s="7" t="s">
        <v>1729</v>
      </c>
      <c r="L96" s="7"/>
      <c r="M96" s="7"/>
      <c r="N96" s="7" t="s">
        <v>716</v>
      </c>
      <c r="O96" s="7">
        <v>18</v>
      </c>
      <c r="P96" s="7"/>
      <c r="Q96" s="7">
        <v>1</v>
      </c>
      <c r="R96" s="7">
        <v>17</v>
      </c>
      <c r="S96" s="7">
        <v>18</v>
      </c>
      <c r="T96" s="7" t="s">
        <v>94</v>
      </c>
      <c r="U96" s="7" t="s">
        <v>262</v>
      </c>
    </row>
    <row r="97" spans="1:21" x14ac:dyDescent="0.3">
      <c r="A97" s="6" t="s">
        <v>2167</v>
      </c>
      <c r="B97" s="7" t="s">
        <v>139</v>
      </c>
      <c r="C97" s="7" t="s">
        <v>2049</v>
      </c>
      <c r="D97" s="7" t="s">
        <v>21</v>
      </c>
      <c r="E97" s="7" t="s">
        <v>70</v>
      </c>
      <c r="F97" s="7" t="s">
        <v>2163</v>
      </c>
      <c r="G97" s="7" t="s">
        <v>2168</v>
      </c>
      <c r="H97" s="7" t="s">
        <v>2169</v>
      </c>
      <c r="I97" s="7" t="s">
        <v>2054</v>
      </c>
      <c r="J97" s="7" t="s">
        <v>2055</v>
      </c>
      <c r="K97" s="7" t="s">
        <v>1729</v>
      </c>
      <c r="L97" s="7"/>
      <c r="M97" s="7"/>
      <c r="N97" s="7" t="s">
        <v>1019</v>
      </c>
      <c r="O97" s="7">
        <v>125</v>
      </c>
      <c r="P97" s="7"/>
      <c r="Q97" s="7">
        <v>2</v>
      </c>
      <c r="R97" s="7">
        <v>123</v>
      </c>
      <c r="S97" s="7">
        <v>125</v>
      </c>
      <c r="T97" s="7" t="s">
        <v>94</v>
      </c>
      <c r="U97" s="7" t="s">
        <v>262</v>
      </c>
    </row>
    <row r="98" spans="1:21" x14ac:dyDescent="0.3">
      <c r="A98" s="6" t="s">
        <v>2170</v>
      </c>
      <c r="B98" s="7" t="s">
        <v>139</v>
      </c>
      <c r="C98" s="7" t="s">
        <v>2049</v>
      </c>
      <c r="D98" s="7" t="s">
        <v>21</v>
      </c>
      <c r="E98" s="7" t="s">
        <v>70</v>
      </c>
      <c r="F98" s="7" t="s">
        <v>2163</v>
      </c>
      <c r="G98" s="7" t="s">
        <v>2171</v>
      </c>
      <c r="H98" s="7" t="s">
        <v>2172</v>
      </c>
      <c r="I98" s="7" t="s">
        <v>2054</v>
      </c>
      <c r="J98" s="7" t="s">
        <v>2061</v>
      </c>
      <c r="K98" s="7" t="s">
        <v>1729</v>
      </c>
      <c r="L98" s="7"/>
      <c r="M98" s="7"/>
      <c r="N98" s="7" t="s">
        <v>674</v>
      </c>
      <c r="O98" s="7">
        <v>10</v>
      </c>
      <c r="P98" s="7"/>
      <c r="Q98" s="7">
        <v>0</v>
      </c>
      <c r="R98" s="7">
        <v>10</v>
      </c>
      <c r="S98" s="7">
        <v>10</v>
      </c>
      <c r="T98" s="7" t="s">
        <v>94</v>
      </c>
      <c r="U98" s="7" t="s">
        <v>262</v>
      </c>
    </row>
    <row r="99" spans="1:21" x14ac:dyDescent="0.3">
      <c r="A99" s="6" t="s">
        <v>2173</v>
      </c>
      <c r="B99" s="7" t="s">
        <v>139</v>
      </c>
      <c r="C99" s="7" t="s">
        <v>2049</v>
      </c>
      <c r="D99" s="7" t="s">
        <v>21</v>
      </c>
      <c r="E99" s="7" t="s">
        <v>70</v>
      </c>
      <c r="F99" s="7" t="s">
        <v>2163</v>
      </c>
      <c r="G99" s="7" t="s">
        <v>69</v>
      </c>
      <c r="H99" s="7" t="s">
        <v>2174</v>
      </c>
      <c r="I99" s="7" t="s">
        <v>2054</v>
      </c>
      <c r="J99" s="7" t="s">
        <v>2061</v>
      </c>
      <c r="K99" s="7" t="s">
        <v>1729</v>
      </c>
      <c r="L99" s="7"/>
      <c r="M99" s="7"/>
      <c r="N99" s="7" t="s">
        <v>887</v>
      </c>
      <c r="O99" s="7">
        <v>91</v>
      </c>
      <c r="P99" s="7"/>
      <c r="Q99" s="7">
        <v>5</v>
      </c>
      <c r="R99" s="7">
        <v>86</v>
      </c>
      <c r="S99" s="7">
        <v>91</v>
      </c>
      <c r="T99" s="7" t="s">
        <v>1682</v>
      </c>
      <c r="U99" s="7" t="s">
        <v>2175</v>
      </c>
    </row>
    <row r="100" spans="1:21" x14ac:dyDescent="0.3">
      <c r="A100" s="6" t="s">
        <v>2176</v>
      </c>
      <c r="B100" s="7" t="s">
        <v>139</v>
      </c>
      <c r="C100" s="7" t="s">
        <v>2049</v>
      </c>
      <c r="D100" s="7" t="s">
        <v>21</v>
      </c>
      <c r="E100" s="7" t="s">
        <v>70</v>
      </c>
      <c r="F100" s="7" t="s">
        <v>2177</v>
      </c>
      <c r="G100" s="7" t="s">
        <v>69</v>
      </c>
      <c r="H100" s="7" t="s">
        <v>2115</v>
      </c>
      <c r="I100" s="7" t="s">
        <v>2054</v>
      </c>
      <c r="J100" s="7" t="s">
        <v>2166</v>
      </c>
      <c r="K100" s="7" t="s">
        <v>1729</v>
      </c>
      <c r="L100" s="7"/>
      <c r="M100" s="7"/>
      <c r="N100" s="7" t="s">
        <v>642</v>
      </c>
      <c r="O100" s="7">
        <v>3</v>
      </c>
      <c r="P100" s="7"/>
      <c r="Q100" s="7">
        <v>0</v>
      </c>
      <c r="R100" s="7">
        <v>3</v>
      </c>
      <c r="S100" s="7">
        <v>3</v>
      </c>
      <c r="T100" s="7" t="s">
        <v>94</v>
      </c>
      <c r="U100" s="7" t="s">
        <v>262</v>
      </c>
    </row>
    <row r="101" spans="1:21" x14ac:dyDescent="0.3">
      <c r="A101" s="6" t="s">
        <v>2178</v>
      </c>
      <c r="B101" s="7" t="s">
        <v>139</v>
      </c>
      <c r="C101" s="7" t="s">
        <v>2049</v>
      </c>
      <c r="D101" s="7" t="s">
        <v>21</v>
      </c>
      <c r="E101" s="7" t="s">
        <v>70</v>
      </c>
      <c r="F101" s="7"/>
      <c r="G101" s="7" t="s">
        <v>69</v>
      </c>
      <c r="H101" s="7" t="s">
        <v>2115</v>
      </c>
      <c r="I101" s="7" t="s">
        <v>2054</v>
      </c>
      <c r="J101" s="7" t="s">
        <v>2166</v>
      </c>
      <c r="K101" s="7" t="s">
        <v>1729</v>
      </c>
      <c r="L101" s="7"/>
      <c r="M101" s="7"/>
      <c r="N101" s="7" t="s">
        <v>654</v>
      </c>
      <c r="O101" s="7">
        <v>2</v>
      </c>
      <c r="P101" s="7"/>
      <c r="Q101" s="7">
        <v>1</v>
      </c>
      <c r="R101" s="7">
        <v>1</v>
      </c>
      <c r="S101" s="7">
        <v>2</v>
      </c>
      <c r="T101" s="7" t="s">
        <v>94</v>
      </c>
      <c r="U101" s="7" t="s">
        <v>262</v>
      </c>
    </row>
    <row r="102" spans="1:21" x14ac:dyDescent="0.3">
      <c r="A102" s="6" t="s">
        <v>2179</v>
      </c>
      <c r="B102" s="7" t="s">
        <v>139</v>
      </c>
      <c r="C102" s="7" t="s">
        <v>2049</v>
      </c>
      <c r="D102" s="7" t="s">
        <v>21</v>
      </c>
      <c r="E102" s="7" t="s">
        <v>2180</v>
      </c>
      <c r="F102" s="7"/>
      <c r="G102" s="7" t="s">
        <v>2181</v>
      </c>
      <c r="H102" s="7" t="s">
        <v>2182</v>
      </c>
      <c r="I102" s="7" t="s">
        <v>2054</v>
      </c>
      <c r="J102" s="7" t="s">
        <v>2091</v>
      </c>
      <c r="K102" s="7" t="s">
        <v>1729</v>
      </c>
      <c r="L102" s="7"/>
      <c r="M102" s="7"/>
      <c r="N102" s="7" t="s">
        <v>674</v>
      </c>
      <c r="O102" s="7">
        <v>10</v>
      </c>
      <c r="P102" s="7"/>
      <c r="Q102" s="7"/>
      <c r="R102" s="7">
        <v>10</v>
      </c>
      <c r="S102" s="7">
        <v>10</v>
      </c>
      <c r="T102" s="7" t="s">
        <v>2092</v>
      </c>
      <c r="U102" s="7" t="s">
        <v>1161</v>
      </c>
    </row>
    <row r="103" spans="1:21" x14ac:dyDescent="0.3">
      <c r="A103" s="6" t="s">
        <v>2183</v>
      </c>
      <c r="B103" s="7" t="s">
        <v>139</v>
      </c>
      <c r="C103" s="7" t="s">
        <v>2049</v>
      </c>
      <c r="D103" s="7" t="s">
        <v>21</v>
      </c>
      <c r="E103" s="7" t="s">
        <v>2184</v>
      </c>
      <c r="F103" s="7" t="s">
        <v>2185</v>
      </c>
      <c r="G103" s="7" t="s">
        <v>2186</v>
      </c>
      <c r="H103" s="7" t="s">
        <v>2187</v>
      </c>
      <c r="I103" s="7" t="s">
        <v>2054</v>
      </c>
      <c r="J103" s="7" t="s">
        <v>2188</v>
      </c>
      <c r="K103" s="7" t="s">
        <v>1729</v>
      </c>
      <c r="L103" s="7"/>
      <c r="M103" s="7"/>
      <c r="N103" s="7" t="s">
        <v>648</v>
      </c>
      <c r="O103" s="7">
        <v>1</v>
      </c>
      <c r="P103" s="7"/>
      <c r="Q103" s="7"/>
      <c r="R103" s="7">
        <v>1</v>
      </c>
      <c r="S103" s="7">
        <v>1</v>
      </c>
      <c r="T103" s="7"/>
      <c r="U103" s="7"/>
    </row>
    <row r="104" spans="1:21" x14ac:dyDescent="0.3">
      <c r="A104" s="6" t="s">
        <v>2189</v>
      </c>
      <c r="B104" s="7" t="s">
        <v>139</v>
      </c>
      <c r="C104" s="7" t="s">
        <v>2049</v>
      </c>
      <c r="D104" s="7" t="s">
        <v>21</v>
      </c>
      <c r="E104" s="7" t="s">
        <v>2190</v>
      </c>
      <c r="F104" s="7" t="s">
        <v>2191</v>
      </c>
      <c r="G104" s="7" t="s">
        <v>2192</v>
      </c>
      <c r="H104" s="7" t="s">
        <v>2193</v>
      </c>
      <c r="I104" s="7" t="s">
        <v>2054</v>
      </c>
      <c r="J104" s="7" t="s">
        <v>27</v>
      </c>
      <c r="K104" s="7" t="s">
        <v>1729</v>
      </c>
      <c r="L104" s="7"/>
      <c r="M104" s="7"/>
      <c r="N104" s="7" t="s">
        <v>648</v>
      </c>
      <c r="O104" s="7">
        <v>1</v>
      </c>
      <c r="P104" s="7"/>
      <c r="Q104" s="7">
        <v>1</v>
      </c>
      <c r="R104" s="7"/>
      <c r="S104" s="7">
        <v>1</v>
      </c>
      <c r="T104" s="7" t="s">
        <v>363</v>
      </c>
      <c r="U104" s="7" t="s">
        <v>174</v>
      </c>
    </row>
    <row r="105" spans="1:21" x14ac:dyDescent="0.3">
      <c r="A105" s="6" t="s">
        <v>2194</v>
      </c>
      <c r="B105" s="7" t="s">
        <v>139</v>
      </c>
      <c r="C105" s="7" t="s">
        <v>2049</v>
      </c>
      <c r="D105" s="7" t="s">
        <v>21</v>
      </c>
      <c r="E105" s="7" t="s">
        <v>2190</v>
      </c>
      <c r="F105" s="7" t="s">
        <v>2191</v>
      </c>
      <c r="G105" s="7" t="s">
        <v>2195</v>
      </c>
      <c r="H105" s="7" t="s">
        <v>2196</v>
      </c>
      <c r="I105" s="7" t="s">
        <v>2054</v>
      </c>
      <c r="J105" s="7" t="s">
        <v>2197</v>
      </c>
      <c r="K105" s="7" t="s">
        <v>1729</v>
      </c>
      <c r="L105" s="7"/>
      <c r="M105" s="7"/>
      <c r="N105" s="7" t="s">
        <v>648</v>
      </c>
      <c r="O105" s="7">
        <v>1</v>
      </c>
      <c r="P105" s="7"/>
      <c r="Q105" s="7">
        <v>1</v>
      </c>
      <c r="R105" s="7"/>
      <c r="S105" s="7">
        <v>1</v>
      </c>
      <c r="T105" s="7" t="s">
        <v>349</v>
      </c>
      <c r="U105" s="7" t="s">
        <v>406</v>
      </c>
    </row>
    <row r="106" spans="1:21" x14ac:dyDescent="0.3">
      <c r="A106" s="6" t="s">
        <v>2198</v>
      </c>
      <c r="B106" s="7" t="s">
        <v>139</v>
      </c>
      <c r="C106" s="7" t="s">
        <v>2049</v>
      </c>
      <c r="D106" s="7" t="s">
        <v>21</v>
      </c>
      <c r="E106" s="7" t="s">
        <v>1637</v>
      </c>
      <c r="F106" s="7" t="s">
        <v>1638</v>
      </c>
      <c r="G106" s="7" t="s">
        <v>2199</v>
      </c>
      <c r="H106" s="7" t="s">
        <v>2200</v>
      </c>
      <c r="I106" s="7" t="s">
        <v>2054</v>
      </c>
      <c r="J106" s="7" t="s">
        <v>2108</v>
      </c>
      <c r="K106" s="7" t="s">
        <v>1729</v>
      </c>
      <c r="L106" s="7"/>
      <c r="M106" s="7"/>
      <c r="N106" s="7" t="s">
        <v>642</v>
      </c>
      <c r="O106" s="7">
        <v>3</v>
      </c>
      <c r="P106" s="7"/>
      <c r="Q106" s="7">
        <v>1</v>
      </c>
      <c r="R106" s="7">
        <v>2</v>
      </c>
      <c r="S106" s="7">
        <v>3</v>
      </c>
      <c r="T106" s="7" t="s">
        <v>2201</v>
      </c>
      <c r="U106" s="7" t="s">
        <v>174</v>
      </c>
    </row>
    <row r="107" spans="1:21" x14ac:dyDescent="0.3">
      <c r="A107" s="6" t="s">
        <v>2202</v>
      </c>
      <c r="B107" s="7" t="s">
        <v>139</v>
      </c>
      <c r="C107" s="7" t="s">
        <v>2049</v>
      </c>
      <c r="D107" s="7" t="s">
        <v>21</v>
      </c>
      <c r="E107" s="7" t="s">
        <v>62</v>
      </c>
      <c r="F107" s="7" t="s">
        <v>1983</v>
      </c>
      <c r="G107" s="7" t="s">
        <v>61</v>
      </c>
      <c r="H107" s="7" t="s">
        <v>2203</v>
      </c>
      <c r="I107" s="7" t="s">
        <v>2054</v>
      </c>
      <c r="J107" s="7" t="s">
        <v>2204</v>
      </c>
      <c r="K107" s="7" t="s">
        <v>1729</v>
      </c>
      <c r="L107" s="7"/>
      <c r="M107" s="7"/>
      <c r="N107" s="7" t="s">
        <v>307</v>
      </c>
      <c r="O107" s="7">
        <v>291</v>
      </c>
      <c r="P107" s="7"/>
      <c r="Q107" s="7">
        <v>27</v>
      </c>
      <c r="R107" s="7">
        <v>264</v>
      </c>
      <c r="S107" s="7">
        <v>291</v>
      </c>
      <c r="T107" s="7" t="s">
        <v>63</v>
      </c>
      <c r="U107" s="7" t="s">
        <v>2205</v>
      </c>
    </row>
    <row r="108" spans="1:21" x14ac:dyDescent="0.3">
      <c r="A108" s="6" t="s">
        <v>2206</v>
      </c>
      <c r="B108" s="7" t="s">
        <v>139</v>
      </c>
      <c r="C108" s="7" t="s">
        <v>2049</v>
      </c>
      <c r="D108" s="7" t="s">
        <v>21</v>
      </c>
      <c r="E108" s="7" t="s">
        <v>62</v>
      </c>
      <c r="F108" s="7" t="s">
        <v>2177</v>
      </c>
      <c r="G108" s="7" t="s">
        <v>61</v>
      </c>
      <c r="H108" s="7" t="s">
        <v>2115</v>
      </c>
      <c r="I108" s="7" t="s">
        <v>2054</v>
      </c>
      <c r="J108" s="7" t="s">
        <v>2055</v>
      </c>
      <c r="K108" s="7" t="s">
        <v>1729</v>
      </c>
      <c r="L108" s="7"/>
      <c r="M108" s="7"/>
      <c r="N108" s="7" t="s">
        <v>1723</v>
      </c>
      <c r="O108" s="7">
        <v>8</v>
      </c>
      <c r="P108" s="7"/>
      <c r="Q108" s="7"/>
      <c r="R108" s="7">
        <v>8</v>
      </c>
      <c r="S108" s="7">
        <v>8</v>
      </c>
      <c r="T108" s="7" t="s">
        <v>63</v>
      </c>
      <c r="U108" s="7" t="s">
        <v>2205</v>
      </c>
    </row>
    <row r="109" spans="1:21" x14ac:dyDescent="0.3">
      <c r="A109" s="6" t="s">
        <v>2207</v>
      </c>
      <c r="B109" s="7" t="s">
        <v>139</v>
      </c>
      <c r="C109" s="7" t="s">
        <v>2049</v>
      </c>
      <c r="D109" s="7" t="s">
        <v>21</v>
      </c>
      <c r="E109" s="7" t="s">
        <v>62</v>
      </c>
      <c r="F109" s="7"/>
      <c r="G109" s="7" t="s">
        <v>61</v>
      </c>
      <c r="H109" s="7" t="s">
        <v>2115</v>
      </c>
      <c r="I109" s="7" t="s">
        <v>2054</v>
      </c>
      <c r="J109" s="7" t="s">
        <v>2055</v>
      </c>
      <c r="K109" s="7" t="s">
        <v>1729</v>
      </c>
      <c r="L109" s="7"/>
      <c r="M109" s="7"/>
      <c r="N109" s="7" t="s">
        <v>674</v>
      </c>
      <c r="O109" s="7">
        <v>10</v>
      </c>
      <c r="P109" s="7"/>
      <c r="Q109" s="7"/>
      <c r="R109" s="7">
        <v>10</v>
      </c>
      <c r="S109" s="7">
        <v>10</v>
      </c>
      <c r="T109" s="7" t="s">
        <v>63</v>
      </c>
      <c r="U109" s="7" t="s">
        <v>2205</v>
      </c>
    </row>
    <row r="110" spans="1:21" x14ac:dyDescent="0.3">
      <c r="A110" s="6" t="s">
        <v>2208</v>
      </c>
      <c r="B110" s="7" t="s">
        <v>139</v>
      </c>
      <c r="C110" s="7" t="s">
        <v>2049</v>
      </c>
      <c r="D110" s="7" t="s">
        <v>21</v>
      </c>
      <c r="E110" s="7" t="s">
        <v>62</v>
      </c>
      <c r="F110" s="7" t="s">
        <v>965</v>
      </c>
      <c r="G110" s="7" t="s">
        <v>61</v>
      </c>
      <c r="H110" s="7" t="s">
        <v>2115</v>
      </c>
      <c r="I110" s="7" t="s">
        <v>2054</v>
      </c>
      <c r="J110" s="7" t="s">
        <v>2055</v>
      </c>
      <c r="K110" s="7" t="s">
        <v>1729</v>
      </c>
      <c r="L110" s="7"/>
      <c r="M110" s="7"/>
      <c r="N110" s="7" t="s">
        <v>654</v>
      </c>
      <c r="O110" s="7">
        <v>2</v>
      </c>
      <c r="P110" s="7"/>
      <c r="Q110" s="7"/>
      <c r="R110" s="7">
        <v>2</v>
      </c>
      <c r="S110" s="7">
        <v>2</v>
      </c>
      <c r="T110" s="7" t="s">
        <v>63</v>
      </c>
      <c r="U110" s="7" t="s">
        <v>2205</v>
      </c>
    </row>
    <row r="111" spans="1:21" x14ac:dyDescent="0.3">
      <c r="A111" s="6" t="s">
        <v>2209</v>
      </c>
      <c r="B111" s="7" t="s">
        <v>139</v>
      </c>
      <c r="C111" s="7" t="s">
        <v>2049</v>
      </c>
      <c r="D111" s="7" t="s">
        <v>21</v>
      </c>
      <c r="E111" s="7" t="s">
        <v>62</v>
      </c>
      <c r="F111" s="7"/>
      <c r="G111" s="7" t="s">
        <v>61</v>
      </c>
      <c r="H111" s="7" t="s">
        <v>2115</v>
      </c>
      <c r="I111" s="7" t="s">
        <v>2054</v>
      </c>
      <c r="J111" s="7" t="s">
        <v>2055</v>
      </c>
      <c r="K111" s="7" t="s">
        <v>1729</v>
      </c>
      <c r="L111" s="7"/>
      <c r="M111" s="7"/>
      <c r="N111" s="7" t="s">
        <v>654</v>
      </c>
      <c r="O111" s="7">
        <v>2</v>
      </c>
      <c r="P111" s="7"/>
      <c r="Q111" s="7"/>
      <c r="R111" s="7">
        <v>2</v>
      </c>
      <c r="S111" s="7">
        <v>2</v>
      </c>
      <c r="T111" s="7" t="s">
        <v>63</v>
      </c>
      <c r="U111" s="7" t="s">
        <v>2205</v>
      </c>
    </row>
    <row r="112" spans="1:21" x14ac:dyDescent="0.3">
      <c r="A112" s="6" t="s">
        <v>2210</v>
      </c>
      <c r="B112" s="7" t="s">
        <v>139</v>
      </c>
      <c r="C112" s="7" t="s">
        <v>2049</v>
      </c>
      <c r="D112" s="7" t="s">
        <v>21</v>
      </c>
      <c r="E112" s="7" t="s">
        <v>62</v>
      </c>
      <c r="F112" s="7" t="s">
        <v>2211</v>
      </c>
      <c r="G112" s="7" t="s">
        <v>61</v>
      </c>
      <c r="H112" s="7" t="s">
        <v>2115</v>
      </c>
      <c r="I112" s="7" t="s">
        <v>2054</v>
      </c>
      <c r="J112" s="7" t="s">
        <v>2055</v>
      </c>
      <c r="K112" s="7" t="s">
        <v>1729</v>
      </c>
      <c r="L112" s="7"/>
      <c r="M112" s="7"/>
      <c r="N112" s="7" t="s">
        <v>659</v>
      </c>
      <c r="O112" s="7">
        <v>4</v>
      </c>
      <c r="P112" s="7"/>
      <c r="Q112" s="7">
        <v>4</v>
      </c>
      <c r="R112" s="7"/>
      <c r="S112" s="7">
        <v>4</v>
      </c>
      <c r="T112" s="7" t="s">
        <v>63</v>
      </c>
      <c r="U112" s="7" t="s">
        <v>2205</v>
      </c>
    </row>
    <row r="113" spans="1:21" x14ac:dyDescent="0.3">
      <c r="A113" s="6" t="s">
        <v>2212</v>
      </c>
      <c r="B113" s="7" t="s">
        <v>139</v>
      </c>
      <c r="C113" s="7" t="s">
        <v>2049</v>
      </c>
      <c r="D113" s="7" t="s">
        <v>21</v>
      </c>
      <c r="E113" s="7" t="s">
        <v>62</v>
      </c>
      <c r="F113" s="7" t="s">
        <v>2213</v>
      </c>
      <c r="G113" s="7" t="s">
        <v>61</v>
      </c>
      <c r="H113" s="7" t="s">
        <v>2115</v>
      </c>
      <c r="I113" s="7" t="s">
        <v>2054</v>
      </c>
      <c r="J113" s="7" t="s">
        <v>2055</v>
      </c>
      <c r="K113" s="7" t="s">
        <v>1729</v>
      </c>
      <c r="L113" s="7"/>
      <c r="M113" s="7"/>
      <c r="N113" s="7" t="s">
        <v>691</v>
      </c>
      <c r="O113" s="7">
        <v>13</v>
      </c>
      <c r="P113" s="7"/>
      <c r="Q113" s="7"/>
      <c r="R113" s="7">
        <v>13</v>
      </c>
      <c r="S113" s="7">
        <v>13</v>
      </c>
      <c r="T113" s="7" t="s">
        <v>63</v>
      </c>
      <c r="U113" s="7" t="s">
        <v>2205</v>
      </c>
    </row>
    <row r="114" spans="1:21" x14ac:dyDescent="0.3">
      <c r="A114" s="6" t="s">
        <v>2214</v>
      </c>
      <c r="B114" s="7" t="s">
        <v>139</v>
      </c>
      <c r="C114" s="7" t="s">
        <v>2049</v>
      </c>
      <c r="D114" s="7" t="s">
        <v>21</v>
      </c>
      <c r="E114" s="7" t="s">
        <v>2215</v>
      </c>
      <c r="F114" s="7" t="s">
        <v>2216</v>
      </c>
      <c r="G114" s="7" t="s">
        <v>2217</v>
      </c>
      <c r="H114" s="7" t="s">
        <v>2218</v>
      </c>
      <c r="I114" s="7" t="s">
        <v>2054</v>
      </c>
      <c r="J114" s="7" t="s">
        <v>2082</v>
      </c>
      <c r="K114" s="7" t="s">
        <v>1729</v>
      </c>
      <c r="L114" s="7"/>
      <c r="M114" s="7"/>
      <c r="N114" s="7" t="s">
        <v>716</v>
      </c>
      <c r="O114" s="7">
        <v>18</v>
      </c>
      <c r="P114" s="7"/>
      <c r="Q114" s="7">
        <v>4</v>
      </c>
      <c r="R114" s="7">
        <v>14</v>
      </c>
      <c r="S114" s="7">
        <v>18</v>
      </c>
      <c r="T114" s="7" t="s">
        <v>498</v>
      </c>
      <c r="U114" s="7" t="s">
        <v>144</v>
      </c>
    </row>
    <row r="115" spans="1:21" x14ac:dyDescent="0.3">
      <c r="A115" s="6" t="s">
        <v>2219</v>
      </c>
      <c r="B115" s="7" t="s">
        <v>139</v>
      </c>
      <c r="C115" s="7" t="s">
        <v>2049</v>
      </c>
      <c r="D115" s="7" t="s">
        <v>21</v>
      </c>
      <c r="E115" s="7" t="s">
        <v>2215</v>
      </c>
      <c r="F115" s="7" t="s">
        <v>2216</v>
      </c>
      <c r="G115" s="7" t="s">
        <v>125</v>
      </c>
      <c r="H115" s="7" t="s">
        <v>2220</v>
      </c>
      <c r="I115" s="7" t="s">
        <v>2054</v>
      </c>
      <c r="J115" s="7" t="s">
        <v>2221</v>
      </c>
      <c r="K115" s="7" t="s">
        <v>1729</v>
      </c>
      <c r="L115" s="7"/>
      <c r="M115" s="7"/>
      <c r="N115" s="7" t="s">
        <v>642</v>
      </c>
      <c r="O115" s="7">
        <v>3</v>
      </c>
      <c r="P115" s="7"/>
      <c r="Q115" s="7">
        <v>2</v>
      </c>
      <c r="R115" s="7">
        <v>1</v>
      </c>
      <c r="S115" s="7">
        <v>3</v>
      </c>
      <c r="T115" s="7" t="s">
        <v>647</v>
      </c>
      <c r="U115" s="7" t="s">
        <v>174</v>
      </c>
    </row>
    <row r="116" spans="1:21" x14ac:dyDescent="0.3">
      <c r="A116" s="6" t="s">
        <v>2222</v>
      </c>
      <c r="B116" s="7" t="s">
        <v>139</v>
      </c>
      <c r="C116" s="7" t="s">
        <v>2049</v>
      </c>
      <c r="D116" s="7" t="s">
        <v>21</v>
      </c>
      <c r="E116" s="7" t="s">
        <v>2223</v>
      </c>
      <c r="F116" s="7" t="s">
        <v>2224</v>
      </c>
      <c r="G116" s="7" t="s">
        <v>2225</v>
      </c>
      <c r="H116" s="7" t="s">
        <v>2226</v>
      </c>
      <c r="I116" s="7" t="s">
        <v>2054</v>
      </c>
      <c r="J116" s="7" t="s">
        <v>2061</v>
      </c>
      <c r="K116" s="7" t="s">
        <v>1729</v>
      </c>
      <c r="L116" s="7"/>
      <c r="M116" s="7"/>
      <c r="N116" s="7" t="s">
        <v>683</v>
      </c>
      <c r="O116" s="7">
        <v>11</v>
      </c>
      <c r="P116" s="7"/>
      <c r="Q116" s="7"/>
      <c r="R116" s="7">
        <v>11</v>
      </c>
      <c r="S116" s="7">
        <v>11</v>
      </c>
      <c r="T116" s="7" t="s">
        <v>2227</v>
      </c>
      <c r="U116" s="7" t="s">
        <v>1436</v>
      </c>
    </row>
    <row r="117" spans="1:21" x14ac:dyDescent="0.3">
      <c r="A117" s="6" t="s">
        <v>2228</v>
      </c>
      <c r="B117" s="7" t="s">
        <v>139</v>
      </c>
      <c r="C117" s="7" t="s">
        <v>2049</v>
      </c>
      <c r="D117" s="7" t="s">
        <v>21</v>
      </c>
      <c r="E117" s="7" t="s">
        <v>2229</v>
      </c>
      <c r="F117" s="7" t="s">
        <v>2224</v>
      </c>
      <c r="G117" s="7" t="s">
        <v>2230</v>
      </c>
      <c r="H117" s="7" t="s">
        <v>2231</v>
      </c>
      <c r="I117" s="7" t="s">
        <v>2054</v>
      </c>
      <c r="J117" s="7" t="s">
        <v>2204</v>
      </c>
      <c r="K117" s="7" t="s">
        <v>1729</v>
      </c>
      <c r="L117" s="7"/>
      <c r="M117" s="7"/>
      <c r="N117" s="7" t="s">
        <v>716</v>
      </c>
      <c r="O117" s="7">
        <v>18</v>
      </c>
      <c r="P117" s="7"/>
      <c r="Q117" s="7">
        <v>2</v>
      </c>
      <c r="R117" s="7">
        <v>16</v>
      </c>
      <c r="S117" s="7">
        <v>18</v>
      </c>
      <c r="T117" s="7" t="s">
        <v>1018</v>
      </c>
      <c r="U117" s="7" t="s">
        <v>422</v>
      </c>
    </row>
    <row r="118" spans="1:21" x14ac:dyDescent="0.3">
      <c r="A118" s="6" t="s">
        <v>2232</v>
      </c>
      <c r="B118" s="7" t="s">
        <v>139</v>
      </c>
      <c r="C118" s="7" t="s">
        <v>2049</v>
      </c>
      <c r="D118" s="7" t="s">
        <v>21</v>
      </c>
      <c r="E118" s="7" t="s">
        <v>90</v>
      </c>
      <c r="F118" s="7" t="s">
        <v>1989</v>
      </c>
      <c r="G118" s="7" t="s">
        <v>2233</v>
      </c>
      <c r="H118" s="7" t="s">
        <v>2234</v>
      </c>
      <c r="I118" s="7" t="s">
        <v>2054</v>
      </c>
      <c r="J118" s="7" t="s">
        <v>2061</v>
      </c>
      <c r="K118" s="7" t="s">
        <v>1729</v>
      </c>
      <c r="L118" s="7"/>
      <c r="M118" s="7"/>
      <c r="N118" s="7" t="s">
        <v>794</v>
      </c>
      <c r="O118" s="7">
        <v>66</v>
      </c>
      <c r="P118" s="7"/>
      <c r="Q118" s="7">
        <v>5</v>
      </c>
      <c r="R118" s="7">
        <v>61</v>
      </c>
      <c r="S118" s="7">
        <v>66</v>
      </c>
      <c r="T118" s="7" t="s">
        <v>415</v>
      </c>
      <c r="U118" s="7"/>
    </row>
    <row r="119" spans="1:21" x14ac:dyDescent="0.3">
      <c r="A119" s="6" t="s">
        <v>2235</v>
      </c>
      <c r="B119" s="7" t="s">
        <v>139</v>
      </c>
      <c r="C119" s="7" t="s">
        <v>2049</v>
      </c>
      <c r="D119" s="7" t="s">
        <v>21</v>
      </c>
      <c r="E119" s="7" t="s">
        <v>90</v>
      </c>
      <c r="F119" s="7" t="s">
        <v>1989</v>
      </c>
      <c r="G119" s="7" t="s">
        <v>89</v>
      </c>
      <c r="H119" s="7" t="s">
        <v>2236</v>
      </c>
      <c r="I119" s="7" t="s">
        <v>2054</v>
      </c>
      <c r="J119" s="7" t="s">
        <v>2237</v>
      </c>
      <c r="K119" s="7" t="s">
        <v>1729</v>
      </c>
      <c r="L119" s="7"/>
      <c r="M119" s="7"/>
      <c r="N119" s="7" t="s">
        <v>779</v>
      </c>
      <c r="O119" s="7">
        <v>59</v>
      </c>
      <c r="P119" s="7"/>
      <c r="Q119" s="7">
        <v>4</v>
      </c>
      <c r="R119" s="7">
        <v>55</v>
      </c>
      <c r="S119" s="7">
        <v>59</v>
      </c>
      <c r="T119" s="7" t="s">
        <v>91</v>
      </c>
      <c r="U119" s="7" t="s">
        <v>144</v>
      </c>
    </row>
    <row r="120" spans="1:21" x14ac:dyDescent="0.3">
      <c r="A120" s="6" t="s">
        <v>2238</v>
      </c>
      <c r="B120" s="7" t="s">
        <v>139</v>
      </c>
      <c r="C120" s="7" t="s">
        <v>2049</v>
      </c>
      <c r="D120" s="7" t="s">
        <v>21</v>
      </c>
      <c r="E120" s="7" t="s">
        <v>90</v>
      </c>
      <c r="F120" s="7" t="s">
        <v>2239</v>
      </c>
      <c r="G120" s="7" t="s">
        <v>89</v>
      </c>
      <c r="H120" s="7" t="s">
        <v>2115</v>
      </c>
      <c r="I120" s="7" t="s">
        <v>2054</v>
      </c>
      <c r="J120" s="7" t="s">
        <v>2237</v>
      </c>
      <c r="K120" s="7" t="s">
        <v>1729</v>
      </c>
      <c r="L120" s="7"/>
      <c r="M120" s="7"/>
      <c r="N120" s="7" t="s">
        <v>642</v>
      </c>
      <c r="O120" s="7">
        <v>3</v>
      </c>
      <c r="P120" s="7"/>
      <c r="Q120" s="7"/>
      <c r="R120" s="7">
        <v>3</v>
      </c>
      <c r="S120" s="7">
        <v>3</v>
      </c>
      <c r="T120" s="7" t="s">
        <v>91</v>
      </c>
      <c r="U120" s="7" t="s">
        <v>144</v>
      </c>
    </row>
    <row r="121" spans="1:21" x14ac:dyDescent="0.3">
      <c r="A121" s="6" t="s">
        <v>2240</v>
      </c>
      <c r="B121" s="7" t="s">
        <v>139</v>
      </c>
      <c r="C121" s="7" t="s">
        <v>2049</v>
      </c>
      <c r="D121" s="7" t="s">
        <v>21</v>
      </c>
      <c r="E121" s="7" t="s">
        <v>90</v>
      </c>
      <c r="F121" s="7" t="s">
        <v>1989</v>
      </c>
      <c r="G121" s="7" t="s">
        <v>93</v>
      </c>
      <c r="H121" s="7" t="s">
        <v>2241</v>
      </c>
      <c r="I121" s="7" t="s">
        <v>2054</v>
      </c>
      <c r="J121" s="7" t="s">
        <v>2061</v>
      </c>
      <c r="K121" s="7" t="s">
        <v>1729</v>
      </c>
      <c r="L121" s="7"/>
      <c r="M121" s="7"/>
      <c r="N121" s="7" t="s">
        <v>1866</v>
      </c>
      <c r="O121" s="7">
        <v>139</v>
      </c>
      <c r="P121" s="7"/>
      <c r="Q121" s="7">
        <v>13</v>
      </c>
      <c r="R121" s="7">
        <v>123</v>
      </c>
      <c r="S121" s="7">
        <v>139</v>
      </c>
      <c r="T121" s="7" t="s">
        <v>94</v>
      </c>
      <c r="U121" s="7" t="s">
        <v>961</v>
      </c>
    </row>
    <row r="122" spans="1:21" x14ac:dyDescent="0.3">
      <c r="A122" s="6" t="s">
        <v>2242</v>
      </c>
      <c r="B122" s="7" t="s">
        <v>139</v>
      </c>
      <c r="C122" s="7" t="s">
        <v>2049</v>
      </c>
      <c r="D122" s="7" t="s">
        <v>21</v>
      </c>
      <c r="E122" s="7" t="s">
        <v>90</v>
      </c>
      <c r="F122" s="7"/>
      <c r="G122" s="7" t="s">
        <v>93</v>
      </c>
      <c r="H122" s="7" t="s">
        <v>2115</v>
      </c>
      <c r="I122" s="7" t="s">
        <v>2054</v>
      </c>
      <c r="J122" s="7" t="s">
        <v>2061</v>
      </c>
      <c r="K122" s="7" t="s">
        <v>1729</v>
      </c>
      <c r="L122" s="7"/>
      <c r="M122" s="7"/>
      <c r="N122" s="7" t="s">
        <v>683</v>
      </c>
      <c r="O122" s="7">
        <v>11</v>
      </c>
      <c r="P122" s="7"/>
      <c r="Q122" s="7">
        <v>2</v>
      </c>
      <c r="R122" s="7">
        <v>9</v>
      </c>
      <c r="S122" s="7">
        <v>11</v>
      </c>
      <c r="T122" s="7" t="s">
        <v>94</v>
      </c>
      <c r="U122" s="7" t="s">
        <v>961</v>
      </c>
    </row>
    <row r="123" spans="1:21" x14ac:dyDescent="0.3">
      <c r="A123" s="6" t="s">
        <v>2243</v>
      </c>
      <c r="B123" s="7" t="s">
        <v>139</v>
      </c>
      <c r="C123" s="7" t="s">
        <v>2049</v>
      </c>
      <c r="D123" s="7" t="s">
        <v>21</v>
      </c>
      <c r="E123" s="7" t="s">
        <v>2244</v>
      </c>
      <c r="F123" s="7"/>
      <c r="G123" s="7" t="s">
        <v>2245</v>
      </c>
      <c r="H123" s="7" t="s">
        <v>2246</v>
      </c>
      <c r="I123" s="7" t="s">
        <v>2054</v>
      </c>
      <c r="J123" s="7" t="s">
        <v>2134</v>
      </c>
      <c r="K123" s="7" t="s">
        <v>1729</v>
      </c>
      <c r="L123" s="7"/>
      <c r="M123" s="7"/>
      <c r="N123" s="7" t="s">
        <v>663</v>
      </c>
      <c r="O123" s="7">
        <v>5</v>
      </c>
      <c r="P123" s="7"/>
      <c r="Q123" s="7"/>
      <c r="R123" s="7">
        <v>5</v>
      </c>
      <c r="S123" s="7">
        <v>5</v>
      </c>
      <c r="T123" s="7" t="s">
        <v>518</v>
      </c>
      <c r="U123" s="7" t="s">
        <v>617</v>
      </c>
    </row>
    <row r="124" spans="1:21" x14ac:dyDescent="0.3">
      <c r="A124" s="6" t="s">
        <v>2247</v>
      </c>
      <c r="B124" s="7" t="s">
        <v>139</v>
      </c>
      <c r="C124" s="7" t="s">
        <v>2049</v>
      </c>
      <c r="D124" s="7" t="s">
        <v>21</v>
      </c>
      <c r="E124" s="7" t="s">
        <v>2248</v>
      </c>
      <c r="F124" s="7" t="s">
        <v>2249</v>
      </c>
      <c r="G124" s="7" t="s">
        <v>2250</v>
      </c>
      <c r="H124" s="7" t="s">
        <v>2251</v>
      </c>
      <c r="I124" s="7" t="s">
        <v>2054</v>
      </c>
      <c r="J124" s="7" t="s">
        <v>2061</v>
      </c>
      <c r="K124" s="7" t="s">
        <v>1729</v>
      </c>
      <c r="L124" s="7"/>
      <c r="M124" s="7"/>
      <c r="N124" s="7" t="s">
        <v>683</v>
      </c>
      <c r="O124" s="7">
        <v>11</v>
      </c>
      <c r="P124" s="7"/>
      <c r="Q124" s="7"/>
      <c r="R124" s="7">
        <v>11</v>
      </c>
      <c r="S124" s="7">
        <v>11</v>
      </c>
      <c r="T124" s="7" t="s">
        <v>2252</v>
      </c>
      <c r="U124" s="7" t="s">
        <v>2253</v>
      </c>
    </row>
    <row r="125" spans="1:21" x14ac:dyDescent="0.3">
      <c r="A125" s="6" t="s">
        <v>2254</v>
      </c>
      <c r="B125" s="7" t="s">
        <v>139</v>
      </c>
      <c r="C125" s="7" t="s">
        <v>2049</v>
      </c>
      <c r="D125" s="7" t="s">
        <v>21</v>
      </c>
      <c r="E125" s="7" t="s">
        <v>2255</v>
      </c>
      <c r="F125" s="7" t="s">
        <v>2256</v>
      </c>
      <c r="G125" s="7" t="s">
        <v>125</v>
      </c>
      <c r="H125" s="7" t="s">
        <v>2257</v>
      </c>
      <c r="I125" s="7" t="s">
        <v>2054</v>
      </c>
      <c r="J125" s="7" t="s">
        <v>2143</v>
      </c>
      <c r="K125" s="7" t="s">
        <v>1729</v>
      </c>
      <c r="L125" s="7"/>
      <c r="M125" s="7"/>
      <c r="N125" s="7" t="s">
        <v>762</v>
      </c>
      <c r="O125" s="7">
        <v>36</v>
      </c>
      <c r="P125" s="7"/>
      <c r="Q125" s="7">
        <v>4</v>
      </c>
      <c r="R125" s="7">
        <v>32</v>
      </c>
      <c r="S125" s="7">
        <v>36</v>
      </c>
      <c r="T125" s="7" t="s">
        <v>390</v>
      </c>
      <c r="U125" s="7" t="s">
        <v>262</v>
      </c>
    </row>
    <row r="126" spans="1:21" x14ac:dyDescent="0.3">
      <c r="A126" s="6" t="s">
        <v>2258</v>
      </c>
      <c r="B126" s="7" t="s">
        <v>139</v>
      </c>
      <c r="C126" s="7" t="s">
        <v>2049</v>
      </c>
      <c r="D126" s="7" t="s">
        <v>21</v>
      </c>
      <c r="E126" s="7" t="s">
        <v>2259</v>
      </c>
      <c r="F126" s="7" t="s">
        <v>2260</v>
      </c>
      <c r="G126" s="7" t="s">
        <v>2261</v>
      </c>
      <c r="H126" s="7" t="s">
        <v>2262</v>
      </c>
      <c r="I126" s="7" t="s">
        <v>2054</v>
      </c>
      <c r="J126" s="7" t="s">
        <v>2263</v>
      </c>
      <c r="K126" s="7" t="s">
        <v>1729</v>
      </c>
      <c r="L126" s="7"/>
      <c r="M126" s="7"/>
      <c r="N126" s="7" t="s">
        <v>687</v>
      </c>
      <c r="O126" s="7">
        <v>12</v>
      </c>
      <c r="P126" s="7"/>
      <c r="Q126" s="7"/>
      <c r="R126" s="7">
        <v>12</v>
      </c>
      <c r="S126" s="7">
        <v>12</v>
      </c>
      <c r="T126" s="7" t="s">
        <v>2264</v>
      </c>
      <c r="U126" s="7" t="s">
        <v>2265</v>
      </c>
    </row>
    <row r="127" spans="1:21" x14ac:dyDescent="0.3">
      <c r="A127" s="6" t="s">
        <v>2266</v>
      </c>
      <c r="B127" s="7" t="s">
        <v>139</v>
      </c>
      <c r="C127" s="7" t="s">
        <v>2049</v>
      </c>
      <c r="D127" s="7" t="s">
        <v>21</v>
      </c>
      <c r="E127" s="7" t="s">
        <v>2267</v>
      </c>
      <c r="F127" s="7" t="s">
        <v>2268</v>
      </c>
      <c r="G127" s="7" t="s">
        <v>2269</v>
      </c>
      <c r="H127" s="7" t="s">
        <v>2270</v>
      </c>
      <c r="I127" s="7" t="s">
        <v>2054</v>
      </c>
      <c r="J127" s="7" t="s">
        <v>2055</v>
      </c>
      <c r="K127" s="7" t="s">
        <v>1729</v>
      </c>
      <c r="L127" s="7"/>
      <c r="M127" s="7"/>
      <c r="N127" s="7" t="s">
        <v>1790</v>
      </c>
      <c r="O127" s="7">
        <v>56</v>
      </c>
      <c r="P127" s="7"/>
      <c r="Q127" s="7"/>
      <c r="R127" s="7">
        <v>56</v>
      </c>
      <c r="S127" s="7">
        <v>56</v>
      </c>
      <c r="T127" s="7" t="s">
        <v>2271</v>
      </c>
      <c r="U127" s="7" t="s">
        <v>1100</v>
      </c>
    </row>
    <row r="128" spans="1:21" x14ac:dyDescent="0.3">
      <c r="A128" s="6" t="s">
        <v>2272</v>
      </c>
      <c r="B128" s="7" t="s">
        <v>139</v>
      </c>
      <c r="C128" s="7" t="s">
        <v>2273</v>
      </c>
      <c r="D128" s="7" t="s">
        <v>22</v>
      </c>
      <c r="E128" s="7" t="s">
        <v>2274</v>
      </c>
      <c r="F128" s="7" t="s">
        <v>394</v>
      </c>
      <c r="G128" s="7" t="s">
        <v>2275</v>
      </c>
      <c r="H128" s="7" t="s">
        <v>2276</v>
      </c>
      <c r="I128" s="7" t="s">
        <v>2277</v>
      </c>
      <c r="J128" s="7" t="s">
        <v>2278</v>
      </c>
      <c r="K128" s="7" t="s">
        <v>1745</v>
      </c>
      <c r="L128" s="7">
        <v>2</v>
      </c>
      <c r="M128" s="7"/>
      <c r="N128" s="7"/>
      <c r="O128" s="7">
        <v>2</v>
      </c>
      <c r="P128" s="7"/>
      <c r="Q128" s="7">
        <v>1</v>
      </c>
      <c r="R128" s="7">
        <v>1</v>
      </c>
      <c r="S128" s="7">
        <v>2</v>
      </c>
      <c r="T128" s="7" t="s">
        <v>2279</v>
      </c>
      <c r="U128" s="7" t="s">
        <v>2280</v>
      </c>
    </row>
    <row r="129" spans="1:21" x14ac:dyDescent="0.3">
      <c r="A129" s="6" t="s">
        <v>2281</v>
      </c>
      <c r="B129" s="7" t="s">
        <v>139</v>
      </c>
      <c r="C129" s="7" t="s">
        <v>643</v>
      </c>
      <c r="D129" s="7" t="s">
        <v>23</v>
      </c>
      <c r="E129" s="7" t="s">
        <v>576</v>
      </c>
      <c r="F129" s="7" t="s">
        <v>577</v>
      </c>
      <c r="G129" s="7" t="s">
        <v>2282</v>
      </c>
      <c r="H129" s="7" t="s">
        <v>2283</v>
      </c>
      <c r="I129" s="7" t="s">
        <v>2284</v>
      </c>
      <c r="J129" s="7" t="s">
        <v>2285</v>
      </c>
      <c r="K129" s="7" t="s">
        <v>1772</v>
      </c>
      <c r="L129" s="7">
        <v>9</v>
      </c>
      <c r="M129" s="7"/>
      <c r="N129" s="7"/>
      <c r="O129" s="7">
        <v>9</v>
      </c>
      <c r="P129" s="7"/>
      <c r="Q129" s="7">
        <v>4</v>
      </c>
      <c r="R129" s="7">
        <v>5</v>
      </c>
      <c r="S129" s="7"/>
      <c r="T129" s="7" t="s">
        <v>148</v>
      </c>
      <c r="U129" s="7" t="s">
        <v>2286</v>
      </c>
    </row>
    <row r="130" spans="1:21" x14ac:dyDescent="0.3">
      <c r="A130" s="6" t="s">
        <v>2287</v>
      </c>
      <c r="B130" s="7" t="s">
        <v>139</v>
      </c>
      <c r="C130" s="7" t="s">
        <v>643</v>
      </c>
      <c r="D130" s="7" t="s">
        <v>24</v>
      </c>
      <c r="E130" s="7" t="s">
        <v>576</v>
      </c>
      <c r="F130" s="7" t="s">
        <v>577</v>
      </c>
      <c r="G130" s="7" t="s">
        <v>2288</v>
      </c>
      <c r="H130" s="7" t="s">
        <v>2289</v>
      </c>
      <c r="I130" s="7" t="s">
        <v>1727</v>
      </c>
      <c r="J130" s="7" t="s">
        <v>2290</v>
      </c>
      <c r="K130" s="7" t="s">
        <v>1729</v>
      </c>
      <c r="L130" s="7">
        <v>11</v>
      </c>
      <c r="M130" s="7"/>
      <c r="N130" s="7"/>
      <c r="O130" s="7">
        <v>11</v>
      </c>
      <c r="P130" s="7"/>
      <c r="Q130" s="7">
        <v>1</v>
      </c>
      <c r="R130" s="7">
        <v>10</v>
      </c>
      <c r="S130" s="7"/>
      <c r="T130" s="7" t="s">
        <v>2291</v>
      </c>
      <c r="U130" s="7" t="s">
        <v>617</v>
      </c>
    </row>
    <row r="131" spans="1:21" x14ac:dyDescent="0.3">
      <c r="A131" s="6" t="s">
        <v>2292</v>
      </c>
      <c r="B131" s="7" t="s">
        <v>1334</v>
      </c>
      <c r="C131" s="7" t="s">
        <v>1156</v>
      </c>
      <c r="D131" s="7" t="s">
        <v>25</v>
      </c>
      <c r="E131" s="7" t="s">
        <v>2293</v>
      </c>
      <c r="F131" s="7" t="s">
        <v>300</v>
      </c>
      <c r="G131" s="7" t="s">
        <v>2294</v>
      </c>
      <c r="H131" s="7" t="s">
        <v>2295</v>
      </c>
      <c r="I131" s="7" t="s">
        <v>2296</v>
      </c>
      <c r="J131" s="7" t="s">
        <v>2</v>
      </c>
      <c r="K131" s="7" t="s">
        <v>1707</v>
      </c>
      <c r="L131" s="7"/>
      <c r="M131" s="7"/>
      <c r="N131" s="7" t="s">
        <v>671</v>
      </c>
      <c r="O131" s="7">
        <v>6</v>
      </c>
      <c r="P131" s="7"/>
      <c r="Q131" s="7">
        <v>0</v>
      </c>
      <c r="R131" s="7">
        <v>6</v>
      </c>
      <c r="S131" s="7">
        <v>6</v>
      </c>
      <c r="T131" s="7" t="s">
        <v>207</v>
      </c>
      <c r="U131" s="7" t="s">
        <v>174</v>
      </c>
    </row>
    <row r="132" spans="1:21" x14ac:dyDescent="0.3">
      <c r="A132" s="6" t="s">
        <v>1333</v>
      </c>
      <c r="B132" s="7" t="s">
        <v>1334</v>
      </c>
      <c r="C132" s="7" t="s">
        <v>1156</v>
      </c>
      <c r="D132" s="7" t="s">
        <v>25</v>
      </c>
      <c r="E132" s="7" t="s">
        <v>1335</v>
      </c>
      <c r="F132" s="7" t="s">
        <v>1225</v>
      </c>
      <c r="G132" s="7" t="s">
        <v>111</v>
      </c>
      <c r="H132" s="7" t="s">
        <v>2297</v>
      </c>
      <c r="I132" s="7" t="s">
        <v>2296</v>
      </c>
      <c r="J132" s="7" t="s">
        <v>2</v>
      </c>
      <c r="K132" s="7" t="s">
        <v>1707</v>
      </c>
      <c r="L132" s="7"/>
      <c r="M132" s="7"/>
      <c r="N132" s="7" t="s">
        <v>667</v>
      </c>
      <c r="O132" s="7">
        <v>7</v>
      </c>
      <c r="P132" s="7"/>
      <c r="Q132" s="7">
        <v>0</v>
      </c>
      <c r="R132" s="7">
        <v>7</v>
      </c>
      <c r="S132" s="7">
        <v>7</v>
      </c>
      <c r="T132" s="7" t="s">
        <v>123</v>
      </c>
      <c r="U132" s="7" t="s">
        <v>174</v>
      </c>
    </row>
    <row r="133" spans="1:21" x14ac:dyDescent="0.3">
      <c r="A133" s="6" t="s">
        <v>2298</v>
      </c>
      <c r="B133" s="7" t="s">
        <v>1334</v>
      </c>
      <c r="C133" s="7" t="s">
        <v>1156</v>
      </c>
      <c r="D133" s="7" t="s">
        <v>25</v>
      </c>
      <c r="E133" s="7" t="s">
        <v>2299</v>
      </c>
      <c r="F133" s="7" t="s">
        <v>2300</v>
      </c>
      <c r="G133" s="7" t="s">
        <v>2301</v>
      </c>
      <c r="H133" s="7" t="s">
        <v>2302</v>
      </c>
      <c r="I133" s="7" t="s">
        <v>2296</v>
      </c>
      <c r="J133" s="7" t="s">
        <v>2</v>
      </c>
      <c r="K133" s="7" t="s">
        <v>1707</v>
      </c>
      <c r="L133" s="7"/>
      <c r="M133" s="7"/>
      <c r="N133" s="7" t="s">
        <v>671</v>
      </c>
      <c r="O133" s="7">
        <v>6</v>
      </c>
      <c r="P133" s="7"/>
      <c r="Q133" s="7">
        <v>1</v>
      </c>
      <c r="R133" s="7">
        <v>5</v>
      </c>
      <c r="S133" s="7">
        <v>6</v>
      </c>
      <c r="T133" s="7" t="s">
        <v>396</v>
      </c>
      <c r="U133" s="7" t="s">
        <v>1757</v>
      </c>
    </row>
    <row r="134" spans="1:21" x14ac:dyDescent="0.3">
      <c r="A134" s="6" t="s">
        <v>2303</v>
      </c>
      <c r="B134" s="7" t="s">
        <v>1334</v>
      </c>
      <c r="C134" s="7" t="s">
        <v>1156</v>
      </c>
      <c r="D134" s="7" t="s">
        <v>25</v>
      </c>
      <c r="E134" s="7" t="s">
        <v>2304</v>
      </c>
      <c r="F134" s="7" t="s">
        <v>2305</v>
      </c>
      <c r="G134" s="7" t="s">
        <v>2306</v>
      </c>
      <c r="H134" s="7" t="s">
        <v>2307</v>
      </c>
      <c r="I134" s="7" t="s">
        <v>2296</v>
      </c>
      <c r="J134" s="7" t="s">
        <v>2</v>
      </c>
      <c r="K134" s="7" t="s">
        <v>1739</v>
      </c>
      <c r="L134" s="7">
        <v>1</v>
      </c>
      <c r="M134" s="7">
        <v>1</v>
      </c>
      <c r="N134" s="7"/>
      <c r="O134" s="7">
        <v>2</v>
      </c>
      <c r="P134" s="7"/>
      <c r="Q134" s="7">
        <v>0</v>
      </c>
      <c r="R134" s="7">
        <v>2</v>
      </c>
      <c r="S134" s="7">
        <v>2</v>
      </c>
      <c r="T134" s="7" t="s">
        <v>390</v>
      </c>
      <c r="U134" s="7" t="s">
        <v>542</v>
      </c>
    </row>
    <row r="135" spans="1:21" x14ac:dyDescent="0.3">
      <c r="A135" s="6" t="s">
        <v>2308</v>
      </c>
      <c r="B135" s="7" t="s">
        <v>1334</v>
      </c>
      <c r="C135" s="7" t="s">
        <v>1156</v>
      </c>
      <c r="D135" s="7" t="s">
        <v>25</v>
      </c>
      <c r="E135" s="7" t="s">
        <v>2309</v>
      </c>
      <c r="F135" s="7" t="s">
        <v>1129</v>
      </c>
      <c r="G135" s="7" t="s">
        <v>2310</v>
      </c>
      <c r="H135" s="7" t="s">
        <v>2311</v>
      </c>
      <c r="I135" s="7" t="s">
        <v>2296</v>
      </c>
      <c r="J135" s="7" t="s">
        <v>2</v>
      </c>
      <c r="K135" s="7" t="s">
        <v>1707</v>
      </c>
      <c r="L135" s="7">
        <v>14</v>
      </c>
      <c r="M135" s="7"/>
      <c r="N135" s="7"/>
      <c r="O135" s="7">
        <v>14</v>
      </c>
      <c r="P135" s="7"/>
      <c r="Q135" s="7">
        <v>2</v>
      </c>
      <c r="R135" s="7">
        <v>12</v>
      </c>
      <c r="S135" s="7">
        <v>14</v>
      </c>
      <c r="T135" s="7" t="s">
        <v>2312</v>
      </c>
      <c r="U135" s="7" t="s">
        <v>1097</v>
      </c>
    </row>
    <row r="136" spans="1:21" x14ac:dyDescent="0.3">
      <c r="A136" s="6" t="s">
        <v>1336</v>
      </c>
      <c r="B136" s="7" t="s">
        <v>139</v>
      </c>
      <c r="C136" s="7" t="s">
        <v>643</v>
      </c>
      <c r="D136" s="7" t="s">
        <v>26</v>
      </c>
      <c r="E136" s="7" t="s">
        <v>768</v>
      </c>
      <c r="F136" s="7" t="s">
        <v>769</v>
      </c>
      <c r="G136" s="7" t="s">
        <v>770</v>
      </c>
      <c r="H136" s="7" t="s">
        <v>1779</v>
      </c>
      <c r="I136" s="7" t="s">
        <v>2313</v>
      </c>
      <c r="J136" s="7" t="s">
        <v>2314</v>
      </c>
      <c r="K136" s="7" t="s">
        <v>1707</v>
      </c>
      <c r="L136" s="7">
        <v>6</v>
      </c>
      <c r="M136" s="7"/>
      <c r="N136" s="7"/>
      <c r="O136" s="7">
        <v>6</v>
      </c>
      <c r="P136" s="7"/>
      <c r="Q136" s="7"/>
      <c r="R136" s="7">
        <v>6</v>
      </c>
      <c r="S136" s="7"/>
      <c r="T136" s="7" t="s">
        <v>220</v>
      </c>
      <c r="U136" s="7" t="s">
        <v>771</v>
      </c>
    </row>
    <row r="137" spans="1:21" x14ac:dyDescent="0.3">
      <c r="A137" s="6" t="s">
        <v>2315</v>
      </c>
      <c r="B137" s="7" t="s">
        <v>139</v>
      </c>
      <c r="C137" s="7" t="s">
        <v>643</v>
      </c>
      <c r="D137" s="7" t="s">
        <v>26</v>
      </c>
      <c r="E137" s="7" t="s">
        <v>2316</v>
      </c>
      <c r="F137" s="7" t="s">
        <v>366</v>
      </c>
      <c r="G137" s="7" t="s">
        <v>2317</v>
      </c>
      <c r="H137" s="7" t="s">
        <v>2318</v>
      </c>
      <c r="I137" s="7" t="s">
        <v>1727</v>
      </c>
      <c r="J137" s="7" t="s">
        <v>2314</v>
      </c>
      <c r="K137" s="7" t="s">
        <v>1729</v>
      </c>
      <c r="L137" s="7">
        <v>4</v>
      </c>
      <c r="M137" s="7"/>
      <c r="N137" s="7"/>
      <c r="O137" s="7">
        <v>4</v>
      </c>
      <c r="P137" s="7"/>
      <c r="Q137" s="7"/>
      <c r="R137" s="7">
        <v>4</v>
      </c>
      <c r="S137" s="7"/>
      <c r="T137" s="7" t="s">
        <v>2319</v>
      </c>
      <c r="U137" s="7"/>
    </row>
    <row r="138" spans="1:21" x14ac:dyDescent="0.3">
      <c r="A138" s="6" t="s">
        <v>2320</v>
      </c>
      <c r="B138" s="7" t="s">
        <v>139</v>
      </c>
      <c r="C138" s="7" t="s">
        <v>643</v>
      </c>
      <c r="D138" s="7" t="s">
        <v>26</v>
      </c>
      <c r="E138" s="7" t="s">
        <v>2316</v>
      </c>
      <c r="F138" s="7" t="s">
        <v>366</v>
      </c>
      <c r="G138" s="7" t="s">
        <v>2321</v>
      </c>
      <c r="H138" s="7" t="s">
        <v>2322</v>
      </c>
      <c r="I138" s="7" t="s">
        <v>1738</v>
      </c>
      <c r="J138" s="7" t="s">
        <v>2314</v>
      </c>
      <c r="K138" s="7" t="s">
        <v>1738</v>
      </c>
      <c r="L138" s="7">
        <v>1</v>
      </c>
      <c r="M138" s="7"/>
      <c r="N138" s="7"/>
      <c r="O138" s="7">
        <v>1</v>
      </c>
      <c r="P138" s="7"/>
      <c r="Q138" s="7">
        <v>1</v>
      </c>
      <c r="R138" s="7"/>
      <c r="S138" s="7"/>
      <c r="T138" s="7" t="s">
        <v>2323</v>
      </c>
      <c r="U138" s="7" t="s">
        <v>208</v>
      </c>
    </row>
    <row r="139" spans="1:21" x14ac:dyDescent="0.3">
      <c r="A139" s="6" t="s">
        <v>2324</v>
      </c>
      <c r="B139" s="7" t="s">
        <v>139</v>
      </c>
      <c r="C139" s="7" t="s">
        <v>643</v>
      </c>
      <c r="D139" s="7" t="s">
        <v>26</v>
      </c>
      <c r="E139" s="7" t="s">
        <v>721</v>
      </c>
      <c r="F139" s="7" t="s">
        <v>394</v>
      </c>
      <c r="G139" s="7" t="s">
        <v>2325</v>
      </c>
      <c r="H139" s="7" t="s">
        <v>2326</v>
      </c>
      <c r="I139" s="7" t="s">
        <v>2327</v>
      </c>
      <c r="J139" s="7" t="s">
        <v>2314</v>
      </c>
      <c r="K139" s="7" t="s">
        <v>1745</v>
      </c>
      <c r="L139" s="7">
        <v>1</v>
      </c>
      <c r="M139" s="7"/>
      <c r="N139" s="7"/>
      <c r="O139" s="7">
        <v>1</v>
      </c>
      <c r="P139" s="7"/>
      <c r="Q139" s="7"/>
      <c r="R139" s="7">
        <v>1</v>
      </c>
      <c r="S139" s="7"/>
      <c r="T139" s="7" t="s">
        <v>2328</v>
      </c>
      <c r="U139" s="7"/>
    </row>
    <row r="140" spans="1:21" x14ac:dyDescent="0.3">
      <c r="A140" s="6" t="s">
        <v>2329</v>
      </c>
      <c r="B140" s="7" t="s">
        <v>139</v>
      </c>
      <c r="C140" s="7" t="s">
        <v>643</v>
      </c>
      <c r="D140" s="7" t="s">
        <v>26</v>
      </c>
      <c r="E140" s="7" t="s">
        <v>576</v>
      </c>
      <c r="F140" s="7" t="s">
        <v>577</v>
      </c>
      <c r="G140" s="7" t="s">
        <v>2330</v>
      </c>
      <c r="H140" s="7" t="s">
        <v>2331</v>
      </c>
      <c r="I140" s="7" t="s">
        <v>2313</v>
      </c>
      <c r="J140" s="7" t="s">
        <v>2314</v>
      </c>
      <c r="K140" s="7" t="s">
        <v>2332</v>
      </c>
      <c r="L140" s="7">
        <v>1</v>
      </c>
      <c r="M140" s="7"/>
      <c r="N140" s="7"/>
      <c r="O140" s="7">
        <v>1</v>
      </c>
      <c r="P140" s="7"/>
      <c r="Q140" s="7">
        <v>1</v>
      </c>
      <c r="R140" s="7"/>
      <c r="S140" s="7"/>
      <c r="T140" s="7" t="s">
        <v>2333</v>
      </c>
      <c r="U140" s="7" t="s">
        <v>2334</v>
      </c>
    </row>
    <row r="141" spans="1:21" x14ac:dyDescent="0.3">
      <c r="A141" s="6" t="s">
        <v>2335</v>
      </c>
      <c r="B141" s="7" t="s">
        <v>139</v>
      </c>
      <c r="C141" s="7" t="s">
        <v>643</v>
      </c>
      <c r="D141" s="7" t="s">
        <v>26</v>
      </c>
      <c r="E141" s="7" t="s">
        <v>576</v>
      </c>
      <c r="F141" s="7" t="s">
        <v>577</v>
      </c>
      <c r="G141" s="7" t="s">
        <v>2336</v>
      </c>
      <c r="H141" s="7" t="s">
        <v>2337</v>
      </c>
      <c r="I141" s="7" t="s">
        <v>2313</v>
      </c>
      <c r="J141" s="7" t="s">
        <v>2314</v>
      </c>
      <c r="K141" s="7" t="s">
        <v>1707</v>
      </c>
      <c r="L141" s="7">
        <v>2</v>
      </c>
      <c r="M141" s="7"/>
      <c r="N141" s="7"/>
      <c r="O141" s="7">
        <v>2</v>
      </c>
      <c r="P141" s="7"/>
      <c r="Q141" s="7"/>
      <c r="R141" s="7">
        <v>2</v>
      </c>
      <c r="S141" s="7"/>
      <c r="T141" s="7" t="s">
        <v>207</v>
      </c>
      <c r="U141" s="7" t="s">
        <v>169</v>
      </c>
    </row>
    <row r="142" spans="1:21" x14ac:dyDescent="0.3">
      <c r="A142" s="6" t="s">
        <v>2338</v>
      </c>
      <c r="B142" s="7" t="s">
        <v>139</v>
      </c>
      <c r="C142" s="7" t="s">
        <v>643</v>
      </c>
      <c r="D142" s="7" t="s">
        <v>26</v>
      </c>
      <c r="E142" s="7" t="s">
        <v>2339</v>
      </c>
      <c r="F142" s="7" t="s">
        <v>2340</v>
      </c>
      <c r="G142" s="7" t="s">
        <v>2341</v>
      </c>
      <c r="H142" s="7" t="s">
        <v>2342</v>
      </c>
      <c r="I142" s="7" t="s">
        <v>2313</v>
      </c>
      <c r="J142" s="7" t="s">
        <v>2314</v>
      </c>
      <c r="K142" s="7" t="s">
        <v>1707</v>
      </c>
      <c r="L142" s="7">
        <v>6</v>
      </c>
      <c r="M142" s="7"/>
      <c r="N142" s="7"/>
      <c r="O142" s="7">
        <v>6</v>
      </c>
      <c r="P142" s="7"/>
      <c r="Q142" s="7">
        <v>5</v>
      </c>
      <c r="R142" s="7">
        <v>1</v>
      </c>
      <c r="S142" s="7"/>
      <c r="T142" s="7" t="s">
        <v>2343</v>
      </c>
      <c r="U142" s="7" t="s">
        <v>262</v>
      </c>
    </row>
    <row r="143" spans="1:21" x14ac:dyDescent="0.3">
      <c r="A143" s="6" t="s">
        <v>2344</v>
      </c>
      <c r="B143" s="7" t="s">
        <v>139</v>
      </c>
      <c r="C143" s="7" t="s">
        <v>643</v>
      </c>
      <c r="D143" s="7" t="s">
        <v>26</v>
      </c>
      <c r="E143" s="7" t="s">
        <v>1141</v>
      </c>
      <c r="F143" s="7" t="s">
        <v>1142</v>
      </c>
      <c r="G143" s="7" t="s">
        <v>2345</v>
      </c>
      <c r="H143" s="7" t="s">
        <v>2346</v>
      </c>
      <c r="I143" s="7" t="s">
        <v>1727</v>
      </c>
      <c r="J143" s="7" t="s">
        <v>2347</v>
      </c>
      <c r="K143" s="7" t="s">
        <v>1729</v>
      </c>
      <c r="L143" s="7">
        <v>23</v>
      </c>
      <c r="M143" s="7"/>
      <c r="N143" s="7"/>
      <c r="O143" s="7">
        <v>23</v>
      </c>
      <c r="P143" s="7"/>
      <c r="Q143" s="7">
        <v>5</v>
      </c>
      <c r="R143" s="7">
        <v>18</v>
      </c>
      <c r="S143" s="7"/>
      <c r="T143" s="7" t="s">
        <v>2348</v>
      </c>
      <c r="U143" s="7" t="s">
        <v>2349</v>
      </c>
    </row>
    <row r="144" spans="1:21" x14ac:dyDescent="0.3">
      <c r="A144" s="6" t="s">
        <v>2350</v>
      </c>
      <c r="B144" s="7" t="s">
        <v>139</v>
      </c>
      <c r="C144" s="7" t="s">
        <v>643</v>
      </c>
      <c r="D144" s="7" t="s">
        <v>26</v>
      </c>
      <c r="E144" s="7" t="s">
        <v>1141</v>
      </c>
      <c r="F144" s="7" t="s">
        <v>1142</v>
      </c>
      <c r="G144" s="7" t="s">
        <v>2351</v>
      </c>
      <c r="H144" s="7" t="s">
        <v>2352</v>
      </c>
      <c r="I144" s="7" t="s">
        <v>2313</v>
      </c>
      <c r="J144" s="7" t="s">
        <v>2314</v>
      </c>
      <c r="K144" s="7" t="s">
        <v>1707</v>
      </c>
      <c r="L144" s="7">
        <v>13</v>
      </c>
      <c r="M144" s="7"/>
      <c r="N144" s="7"/>
      <c r="O144" s="7">
        <v>13</v>
      </c>
      <c r="P144" s="7"/>
      <c r="Q144" s="7"/>
      <c r="R144" s="7">
        <v>13</v>
      </c>
      <c r="S144" s="7"/>
      <c r="T144" s="7" t="s">
        <v>1389</v>
      </c>
      <c r="U144" s="7" t="s">
        <v>2353</v>
      </c>
    </row>
    <row r="145" spans="1:21" x14ac:dyDescent="0.3">
      <c r="A145" s="6" t="s">
        <v>1361</v>
      </c>
      <c r="B145" s="7" t="s">
        <v>139</v>
      </c>
      <c r="C145" s="7" t="s">
        <v>643</v>
      </c>
      <c r="D145" s="7" t="s">
        <v>27</v>
      </c>
      <c r="E145" s="7" t="s">
        <v>1362</v>
      </c>
      <c r="F145" s="7" t="s">
        <v>769</v>
      </c>
      <c r="G145" s="7" t="s">
        <v>80</v>
      </c>
      <c r="H145" s="7" t="s">
        <v>2354</v>
      </c>
      <c r="I145" s="7" t="s">
        <v>2355</v>
      </c>
      <c r="J145" s="7" t="s">
        <v>2356</v>
      </c>
      <c r="K145" s="7" t="s">
        <v>1707</v>
      </c>
      <c r="L145" s="7">
        <v>10</v>
      </c>
      <c r="M145" s="7"/>
      <c r="N145" s="7"/>
      <c r="O145" s="7">
        <v>10</v>
      </c>
      <c r="P145" s="7"/>
      <c r="Q145" s="7"/>
      <c r="R145" s="7">
        <v>10</v>
      </c>
      <c r="S145" s="7"/>
      <c r="T145" s="7" t="s">
        <v>1363</v>
      </c>
      <c r="U145" s="7" t="s">
        <v>1364</v>
      </c>
    </row>
    <row r="146" spans="1:21" x14ac:dyDescent="0.3">
      <c r="A146" s="6" t="s">
        <v>2357</v>
      </c>
      <c r="B146" s="7" t="s">
        <v>139</v>
      </c>
      <c r="C146" s="7" t="s">
        <v>643</v>
      </c>
      <c r="D146" s="7" t="s">
        <v>27</v>
      </c>
      <c r="E146" s="7" t="s">
        <v>2358</v>
      </c>
      <c r="F146" s="7" t="s">
        <v>2359</v>
      </c>
      <c r="G146" s="7" t="s">
        <v>2360</v>
      </c>
      <c r="H146" s="7" t="s">
        <v>2361</v>
      </c>
      <c r="I146" s="7" t="s">
        <v>1720</v>
      </c>
      <c r="J146" s="7" t="s">
        <v>2362</v>
      </c>
      <c r="K146" s="7" t="s">
        <v>1707</v>
      </c>
      <c r="L146" s="7"/>
      <c r="M146" s="7">
        <v>5</v>
      </c>
      <c r="N146" s="7"/>
      <c r="O146" s="7">
        <v>5</v>
      </c>
      <c r="P146" s="7"/>
      <c r="Q146" s="7">
        <v>1</v>
      </c>
      <c r="R146" s="7">
        <v>4</v>
      </c>
      <c r="S146" s="7"/>
      <c r="T146" s="7" t="s">
        <v>2363</v>
      </c>
      <c r="U146" s="7" t="s">
        <v>174</v>
      </c>
    </row>
    <row r="147" spans="1:21" x14ac:dyDescent="0.3">
      <c r="A147" s="6" t="s">
        <v>2364</v>
      </c>
      <c r="B147" s="7" t="s">
        <v>139</v>
      </c>
      <c r="C147" s="7" t="s">
        <v>643</v>
      </c>
      <c r="D147" s="7" t="s">
        <v>27</v>
      </c>
      <c r="E147" s="7" t="s">
        <v>2365</v>
      </c>
      <c r="F147" s="7" t="s">
        <v>711</v>
      </c>
      <c r="G147" s="7" t="s">
        <v>2366</v>
      </c>
      <c r="H147" s="7" t="s">
        <v>2367</v>
      </c>
      <c r="I147" s="7" t="s">
        <v>2368</v>
      </c>
      <c r="J147" s="7" t="s">
        <v>2369</v>
      </c>
      <c r="K147" s="7" t="s">
        <v>1739</v>
      </c>
      <c r="L147" s="7">
        <v>75</v>
      </c>
      <c r="M147" s="7"/>
      <c r="N147" s="7"/>
      <c r="O147" s="7">
        <v>75</v>
      </c>
      <c r="P147" s="7"/>
      <c r="Q147" s="7">
        <v>9</v>
      </c>
      <c r="R147" s="7">
        <v>66</v>
      </c>
      <c r="S147" s="7"/>
      <c r="T147" s="7" t="s">
        <v>123</v>
      </c>
      <c r="U147" s="7" t="s">
        <v>419</v>
      </c>
    </row>
    <row r="148" spans="1:21" x14ac:dyDescent="0.3">
      <c r="A148" s="6" t="s">
        <v>2370</v>
      </c>
      <c r="B148" s="7" t="s">
        <v>139</v>
      </c>
      <c r="C148" s="7" t="s">
        <v>643</v>
      </c>
      <c r="D148" s="7" t="s">
        <v>27</v>
      </c>
      <c r="E148" s="7" t="s">
        <v>2371</v>
      </c>
      <c r="F148" s="7" t="s">
        <v>2372</v>
      </c>
      <c r="G148" s="7" t="s">
        <v>2373</v>
      </c>
      <c r="H148" s="7" t="s">
        <v>2374</v>
      </c>
      <c r="I148" s="7" t="s">
        <v>2375</v>
      </c>
      <c r="J148" s="7" t="s">
        <v>2376</v>
      </c>
      <c r="K148" s="7" t="s">
        <v>1738</v>
      </c>
      <c r="L148" s="7">
        <v>2</v>
      </c>
      <c r="M148" s="7"/>
      <c r="N148" s="7"/>
      <c r="O148" s="7">
        <v>2</v>
      </c>
      <c r="P148" s="7"/>
      <c r="Q148" s="7">
        <v>2</v>
      </c>
      <c r="R148" s="7"/>
      <c r="S148" s="7"/>
      <c r="T148" s="7" t="s">
        <v>345</v>
      </c>
      <c r="U148" s="7" t="s">
        <v>174</v>
      </c>
    </row>
    <row r="149" spans="1:21" x14ac:dyDescent="0.3">
      <c r="A149" s="6" t="s">
        <v>2377</v>
      </c>
      <c r="B149" s="7" t="s">
        <v>139</v>
      </c>
      <c r="C149" s="7" t="s">
        <v>643</v>
      </c>
      <c r="D149" s="7" t="s">
        <v>27</v>
      </c>
      <c r="E149" s="7" t="s">
        <v>2378</v>
      </c>
      <c r="F149" s="7" t="s">
        <v>2379</v>
      </c>
      <c r="G149" s="7" t="s">
        <v>2380</v>
      </c>
      <c r="H149" s="7" t="s">
        <v>2381</v>
      </c>
      <c r="I149" s="7" t="s">
        <v>2355</v>
      </c>
      <c r="J149" s="7" t="s">
        <v>2382</v>
      </c>
      <c r="K149" s="7" t="s">
        <v>1707</v>
      </c>
      <c r="L149" s="7"/>
      <c r="M149" s="7">
        <v>3</v>
      </c>
      <c r="N149" s="7"/>
      <c r="O149" s="7">
        <v>3</v>
      </c>
      <c r="P149" s="7"/>
      <c r="Q149" s="7"/>
      <c r="R149" s="7">
        <v>3</v>
      </c>
      <c r="S149" s="7"/>
      <c r="T149" s="7" t="s">
        <v>196</v>
      </c>
      <c r="U149" s="7" t="s">
        <v>2383</v>
      </c>
    </row>
    <row r="150" spans="1:21" x14ac:dyDescent="0.3">
      <c r="A150" s="6" t="s">
        <v>2384</v>
      </c>
      <c r="B150" s="7" t="s">
        <v>139</v>
      </c>
      <c r="C150" s="7" t="s">
        <v>643</v>
      </c>
      <c r="D150" s="7" t="s">
        <v>27</v>
      </c>
      <c r="E150" s="7" t="s">
        <v>1413</v>
      </c>
      <c r="F150" s="7" t="s">
        <v>1414</v>
      </c>
      <c r="G150" s="7" t="s">
        <v>2385</v>
      </c>
      <c r="H150" s="7" t="s">
        <v>2386</v>
      </c>
      <c r="I150" s="7" t="s">
        <v>2387</v>
      </c>
      <c r="J150" s="7" t="s">
        <v>2388</v>
      </c>
      <c r="K150" s="7" t="s">
        <v>1707</v>
      </c>
      <c r="L150" s="7">
        <v>3</v>
      </c>
      <c r="M150" s="7"/>
      <c r="N150" s="7"/>
      <c r="O150" s="7">
        <v>3</v>
      </c>
      <c r="P150" s="7"/>
      <c r="Q150" s="7"/>
      <c r="R150" s="7">
        <v>3</v>
      </c>
      <c r="S150" s="7"/>
      <c r="T150" s="7" t="s">
        <v>2389</v>
      </c>
      <c r="U150" s="7" t="s">
        <v>2390</v>
      </c>
    </row>
    <row r="151" spans="1:21" x14ac:dyDescent="0.3">
      <c r="A151" s="6" t="s">
        <v>2391</v>
      </c>
      <c r="B151" s="7" t="s">
        <v>139</v>
      </c>
      <c r="C151" s="7" t="s">
        <v>643</v>
      </c>
      <c r="D151" s="7" t="s">
        <v>29</v>
      </c>
      <c r="E151" s="7" t="s">
        <v>2392</v>
      </c>
      <c r="F151" s="7" t="s">
        <v>2393</v>
      </c>
      <c r="G151" s="7" t="s">
        <v>2394</v>
      </c>
      <c r="H151" s="7" t="s">
        <v>2395</v>
      </c>
      <c r="I151" s="7" t="s">
        <v>2313</v>
      </c>
      <c r="J151" s="7" t="s">
        <v>2396</v>
      </c>
      <c r="K151" s="7" t="s">
        <v>1707</v>
      </c>
      <c r="L151" s="7">
        <v>12</v>
      </c>
      <c r="M151" s="7"/>
      <c r="N151" s="7"/>
      <c r="O151" s="7">
        <v>12</v>
      </c>
      <c r="P151" s="7"/>
      <c r="Q151" s="7">
        <v>3</v>
      </c>
      <c r="R151" s="7">
        <v>9</v>
      </c>
      <c r="S151" s="7"/>
      <c r="T151" s="7" t="s">
        <v>2397</v>
      </c>
      <c r="U151" s="7" t="s">
        <v>277</v>
      </c>
    </row>
    <row r="152" spans="1:21" x14ac:dyDescent="0.3">
      <c r="A152" s="6" t="s">
        <v>2398</v>
      </c>
      <c r="B152" s="7" t="s">
        <v>139</v>
      </c>
      <c r="C152" s="7" t="s">
        <v>643</v>
      </c>
      <c r="D152" s="7" t="s">
        <v>30</v>
      </c>
      <c r="E152" s="7" t="s">
        <v>2399</v>
      </c>
      <c r="F152" s="7" t="s">
        <v>2400</v>
      </c>
      <c r="G152" s="7" t="s">
        <v>2401</v>
      </c>
      <c r="H152" s="7" t="s">
        <v>2402</v>
      </c>
      <c r="I152" s="7" t="s">
        <v>2403</v>
      </c>
      <c r="J152" s="7" t="s">
        <v>2404</v>
      </c>
      <c r="K152" s="7" t="s">
        <v>2405</v>
      </c>
      <c r="L152" s="7">
        <v>9</v>
      </c>
      <c r="M152" s="7"/>
      <c r="N152" s="7"/>
      <c r="O152" s="7">
        <v>9</v>
      </c>
      <c r="P152" s="7"/>
      <c r="Q152" s="7">
        <v>1</v>
      </c>
      <c r="R152" s="7">
        <v>8</v>
      </c>
      <c r="S152" s="7">
        <v>9</v>
      </c>
      <c r="T152" s="7" t="s">
        <v>196</v>
      </c>
      <c r="U152" s="7" t="s">
        <v>2406</v>
      </c>
    </row>
    <row r="153" spans="1:21" x14ac:dyDescent="0.3">
      <c r="A153" s="6" t="s">
        <v>2407</v>
      </c>
      <c r="B153" s="7" t="s">
        <v>139</v>
      </c>
      <c r="C153" s="7" t="s">
        <v>643</v>
      </c>
      <c r="D153" s="7" t="s">
        <v>30</v>
      </c>
      <c r="E153" s="7" t="s">
        <v>1465</v>
      </c>
      <c r="F153" s="7" t="s">
        <v>1466</v>
      </c>
      <c r="G153" s="7" t="s">
        <v>2408</v>
      </c>
      <c r="H153" s="7" t="s">
        <v>2409</v>
      </c>
      <c r="I153" s="7" t="s">
        <v>2403</v>
      </c>
      <c r="J153" s="7" t="s">
        <v>2404</v>
      </c>
      <c r="K153" s="7" t="s">
        <v>1714</v>
      </c>
      <c r="L153" s="7">
        <v>10</v>
      </c>
      <c r="M153" s="7"/>
      <c r="N153" s="7"/>
      <c r="O153" s="7">
        <v>10</v>
      </c>
      <c r="P153" s="7"/>
      <c r="Q153" s="7">
        <v>0</v>
      </c>
      <c r="R153" s="7">
        <v>10</v>
      </c>
      <c r="S153" s="7">
        <v>10</v>
      </c>
      <c r="T153" s="7" t="s">
        <v>184</v>
      </c>
      <c r="U153" s="7" t="s">
        <v>2410</v>
      </c>
    </row>
    <row r="154" spans="1:21" x14ac:dyDescent="0.3">
      <c r="A154" s="6" t="s">
        <v>2411</v>
      </c>
      <c r="B154" s="7" t="s">
        <v>139</v>
      </c>
      <c r="C154" s="7" t="s">
        <v>643</v>
      </c>
      <c r="D154" s="7" t="s">
        <v>30</v>
      </c>
      <c r="E154" s="7" t="s">
        <v>1472</v>
      </c>
      <c r="F154" s="7" t="s">
        <v>1473</v>
      </c>
      <c r="G154" s="7" t="s">
        <v>2412</v>
      </c>
      <c r="H154" s="7" t="s">
        <v>2413</v>
      </c>
      <c r="I154" s="7" t="s">
        <v>2403</v>
      </c>
      <c r="J154" s="7" t="s">
        <v>2414</v>
      </c>
      <c r="K154" s="7" t="s">
        <v>1714</v>
      </c>
      <c r="L154" s="7">
        <v>10</v>
      </c>
      <c r="M154" s="7"/>
      <c r="N154" s="7"/>
      <c r="O154" s="7">
        <v>10</v>
      </c>
      <c r="P154" s="7"/>
      <c r="Q154" s="7">
        <v>0</v>
      </c>
      <c r="R154" s="7">
        <v>10</v>
      </c>
      <c r="S154" s="7">
        <v>10</v>
      </c>
      <c r="T154" s="7" t="s">
        <v>123</v>
      </c>
      <c r="U154" s="7" t="s">
        <v>1261</v>
      </c>
    </row>
    <row r="155" spans="1:21" x14ac:dyDescent="0.3">
      <c r="A155" s="6" t="s">
        <v>1515</v>
      </c>
      <c r="B155" s="7" t="s">
        <v>139</v>
      </c>
      <c r="C155" s="7" t="s">
        <v>643</v>
      </c>
      <c r="D155" s="7" t="s">
        <v>30</v>
      </c>
      <c r="E155" s="7" t="s">
        <v>1516</v>
      </c>
      <c r="F155" s="7" t="s">
        <v>711</v>
      </c>
      <c r="G155" s="7" t="s">
        <v>120</v>
      </c>
      <c r="H155" s="7" t="s">
        <v>2415</v>
      </c>
      <c r="I155" s="7" t="s">
        <v>2403</v>
      </c>
      <c r="J155" s="7" t="s">
        <v>2416</v>
      </c>
      <c r="K155" s="7" t="s">
        <v>1739</v>
      </c>
      <c r="L155" s="7">
        <v>10</v>
      </c>
      <c r="M155" s="7"/>
      <c r="N155" s="7"/>
      <c r="O155" s="7">
        <v>10</v>
      </c>
      <c r="P155" s="7"/>
      <c r="Q155" s="7">
        <v>0</v>
      </c>
      <c r="R155" s="7">
        <v>36</v>
      </c>
      <c r="S155" s="7">
        <v>36</v>
      </c>
      <c r="T155" s="7" t="s">
        <v>123</v>
      </c>
      <c r="U155" s="7" t="s">
        <v>419</v>
      </c>
    </row>
    <row r="156" spans="1:21" x14ac:dyDescent="0.3">
      <c r="A156" s="6" t="s">
        <v>2417</v>
      </c>
      <c r="B156" s="7" t="s">
        <v>139</v>
      </c>
      <c r="C156" s="7" t="s">
        <v>643</v>
      </c>
      <c r="D156" s="7" t="s">
        <v>30</v>
      </c>
      <c r="E156" s="7" t="s">
        <v>2418</v>
      </c>
      <c r="F156" s="7" t="s">
        <v>2419</v>
      </c>
      <c r="G156" s="7" t="s">
        <v>2420</v>
      </c>
      <c r="H156" s="7" t="s">
        <v>2421</v>
      </c>
      <c r="I156" s="7" t="s">
        <v>2422</v>
      </c>
      <c r="J156" s="7" t="s">
        <v>2423</v>
      </c>
      <c r="K156" s="7" t="s">
        <v>2405</v>
      </c>
      <c r="L156" s="7">
        <v>1</v>
      </c>
      <c r="M156" s="7"/>
      <c r="N156" s="7"/>
      <c r="O156" s="7">
        <v>1</v>
      </c>
      <c r="P156" s="7"/>
      <c r="Q156" s="7">
        <v>0</v>
      </c>
      <c r="R156" s="7">
        <v>1</v>
      </c>
      <c r="S156" s="7">
        <v>1</v>
      </c>
      <c r="T156" s="7" t="s">
        <v>536</v>
      </c>
      <c r="U156" s="7" t="s">
        <v>617</v>
      </c>
    </row>
    <row r="157" spans="1:21" x14ac:dyDescent="0.3">
      <c r="A157" s="6" t="s">
        <v>2424</v>
      </c>
      <c r="B157" s="7" t="s">
        <v>139</v>
      </c>
      <c r="C157" s="7" t="s">
        <v>643</v>
      </c>
      <c r="D157" s="7" t="s">
        <v>30</v>
      </c>
      <c r="E157" s="7" t="s">
        <v>1542</v>
      </c>
      <c r="F157" s="7" t="s">
        <v>1543</v>
      </c>
      <c r="G157" s="7" t="s">
        <v>2425</v>
      </c>
      <c r="H157" s="7" t="s">
        <v>2426</v>
      </c>
      <c r="I157" s="7" t="s">
        <v>2403</v>
      </c>
      <c r="J157" s="7" t="s">
        <v>2414</v>
      </c>
      <c r="K157" s="7" t="s">
        <v>1714</v>
      </c>
      <c r="L157" s="7">
        <v>8</v>
      </c>
      <c r="M157" s="7"/>
      <c r="N157" s="7"/>
      <c r="O157" s="7">
        <v>8</v>
      </c>
      <c r="P157" s="7"/>
      <c r="Q157" s="7">
        <v>3</v>
      </c>
      <c r="R157" s="7">
        <v>5</v>
      </c>
      <c r="S157" s="7">
        <v>8</v>
      </c>
      <c r="T157" s="7" t="s">
        <v>2427</v>
      </c>
      <c r="U157" s="7" t="s">
        <v>552</v>
      </c>
    </row>
    <row r="158" spans="1:21" x14ac:dyDescent="0.3">
      <c r="A158" s="6" t="s">
        <v>2428</v>
      </c>
      <c r="B158" s="7" t="s">
        <v>139</v>
      </c>
      <c r="C158" s="7" t="s">
        <v>643</v>
      </c>
      <c r="D158" s="7" t="s">
        <v>30</v>
      </c>
      <c r="E158" s="7" t="s">
        <v>1542</v>
      </c>
      <c r="F158" s="7" t="s">
        <v>1543</v>
      </c>
      <c r="G158" s="7" t="s">
        <v>2429</v>
      </c>
      <c r="H158" s="7" t="s">
        <v>2430</v>
      </c>
      <c r="I158" s="7" t="s">
        <v>2403</v>
      </c>
      <c r="J158" s="7" t="s">
        <v>2414</v>
      </c>
      <c r="K158" s="7" t="s">
        <v>1714</v>
      </c>
      <c r="L158" s="7">
        <v>6</v>
      </c>
      <c r="M158" s="7"/>
      <c r="N158" s="7"/>
      <c r="O158" s="7">
        <v>6</v>
      </c>
      <c r="P158" s="7"/>
      <c r="Q158" s="7">
        <v>1</v>
      </c>
      <c r="R158" s="7">
        <v>5</v>
      </c>
      <c r="S158" s="7">
        <v>6</v>
      </c>
      <c r="T158" s="7" t="s">
        <v>2431</v>
      </c>
      <c r="U158" s="7" t="s">
        <v>2432</v>
      </c>
    </row>
    <row r="159" spans="1:21" x14ac:dyDescent="0.3">
      <c r="A159" s="6" t="s">
        <v>2433</v>
      </c>
      <c r="B159" s="7" t="s">
        <v>139</v>
      </c>
      <c r="C159" s="7" t="s">
        <v>643</v>
      </c>
      <c r="D159" s="7" t="s">
        <v>30</v>
      </c>
      <c r="E159" s="7" t="s">
        <v>1542</v>
      </c>
      <c r="F159" s="7" t="s">
        <v>1543</v>
      </c>
      <c r="G159" s="7" t="s">
        <v>2434</v>
      </c>
      <c r="H159" s="7" t="s">
        <v>2435</v>
      </c>
      <c r="I159" s="7" t="s">
        <v>2403</v>
      </c>
      <c r="J159" s="7" t="s">
        <v>2404</v>
      </c>
      <c r="K159" s="7" t="s">
        <v>2405</v>
      </c>
      <c r="L159" s="7">
        <v>8</v>
      </c>
      <c r="M159" s="7"/>
      <c r="N159" s="7"/>
      <c r="O159" s="7">
        <v>8</v>
      </c>
      <c r="P159" s="7"/>
      <c r="Q159" s="7">
        <v>2</v>
      </c>
      <c r="R159" s="7">
        <v>6</v>
      </c>
      <c r="S159" s="7">
        <v>8</v>
      </c>
      <c r="T159" s="7" t="s">
        <v>123</v>
      </c>
      <c r="U159" s="7" t="s">
        <v>174</v>
      </c>
    </row>
    <row r="160" spans="1:21" x14ac:dyDescent="0.3">
      <c r="A160" s="6" t="s">
        <v>2436</v>
      </c>
      <c r="B160" s="7" t="s">
        <v>139</v>
      </c>
      <c r="C160" s="7" t="s">
        <v>643</v>
      </c>
      <c r="D160" s="7" t="s">
        <v>30</v>
      </c>
      <c r="E160" s="7" t="s">
        <v>2437</v>
      </c>
      <c r="F160" s="7" t="s">
        <v>577</v>
      </c>
      <c r="G160" s="7" t="s">
        <v>2438</v>
      </c>
      <c r="H160" s="7" t="s">
        <v>2439</v>
      </c>
      <c r="I160" s="7" t="s">
        <v>2440</v>
      </c>
      <c r="J160" s="7" t="s">
        <v>2441</v>
      </c>
      <c r="K160" s="7" t="s">
        <v>1772</v>
      </c>
      <c r="L160" s="7">
        <v>21</v>
      </c>
      <c r="M160" s="7"/>
      <c r="N160" s="7"/>
      <c r="O160" s="7">
        <v>21</v>
      </c>
      <c r="P160" s="7"/>
      <c r="Q160" s="7">
        <v>3</v>
      </c>
      <c r="R160" s="7">
        <v>18</v>
      </c>
      <c r="S160" s="7">
        <v>21</v>
      </c>
      <c r="T160" s="7" t="s">
        <v>315</v>
      </c>
      <c r="U160" s="7" t="s">
        <v>174</v>
      </c>
    </row>
    <row r="161" spans="1:21" x14ac:dyDescent="0.3">
      <c r="A161" s="6" t="s">
        <v>2442</v>
      </c>
      <c r="B161" s="7" t="s">
        <v>139</v>
      </c>
      <c r="C161" s="7" t="s">
        <v>643</v>
      </c>
      <c r="D161" s="7" t="s">
        <v>32</v>
      </c>
      <c r="E161" s="7" t="s">
        <v>2443</v>
      </c>
      <c r="F161" s="7" t="s">
        <v>2444</v>
      </c>
      <c r="G161" s="7" t="s">
        <v>2445</v>
      </c>
      <c r="H161" s="7" t="s">
        <v>2446</v>
      </c>
      <c r="I161" s="7" t="s">
        <v>1692</v>
      </c>
      <c r="J161" s="7" t="s">
        <v>1692</v>
      </c>
      <c r="K161" s="7" t="s">
        <v>1745</v>
      </c>
      <c r="L161" s="7">
        <v>1</v>
      </c>
      <c r="M161" s="7"/>
      <c r="N161" s="7"/>
      <c r="O161" s="7">
        <v>1</v>
      </c>
      <c r="P161" s="7"/>
      <c r="Q161" s="7">
        <v>0</v>
      </c>
      <c r="R161" s="7">
        <v>1</v>
      </c>
      <c r="S161" s="7">
        <v>1</v>
      </c>
      <c r="T161" s="7" t="s">
        <v>2447</v>
      </c>
      <c r="U161" s="7" t="s">
        <v>144</v>
      </c>
    </row>
    <row r="162" spans="1:21" x14ac:dyDescent="0.3">
      <c r="A162" s="6" t="s">
        <v>2448</v>
      </c>
      <c r="B162" s="7" t="s">
        <v>139</v>
      </c>
      <c r="C162" s="7" t="s">
        <v>643</v>
      </c>
      <c r="D162" s="7" t="s">
        <v>32</v>
      </c>
      <c r="E162" s="7" t="s">
        <v>2449</v>
      </c>
      <c r="F162" s="7" t="s">
        <v>2450</v>
      </c>
      <c r="G162" s="7" t="s">
        <v>2451</v>
      </c>
      <c r="H162" s="7" t="s">
        <v>2452</v>
      </c>
      <c r="I162" s="7" t="s">
        <v>2453</v>
      </c>
      <c r="J162" s="7" t="s">
        <v>1714</v>
      </c>
      <c r="K162" s="7" t="s">
        <v>1707</v>
      </c>
      <c r="L162" s="7"/>
      <c r="M162" s="7">
        <v>4</v>
      </c>
      <c r="N162" s="7"/>
      <c r="O162" s="7">
        <v>4</v>
      </c>
      <c r="P162" s="7"/>
      <c r="Q162" s="7">
        <v>0</v>
      </c>
      <c r="R162" s="7">
        <v>3</v>
      </c>
      <c r="S162" s="7">
        <v>3</v>
      </c>
      <c r="T162" s="7" t="s">
        <v>2454</v>
      </c>
      <c r="U162" s="7" t="s">
        <v>174</v>
      </c>
    </row>
    <row r="163" spans="1:21" x14ac:dyDescent="0.3">
      <c r="A163" s="6" t="s">
        <v>2455</v>
      </c>
      <c r="B163" s="7" t="s">
        <v>139</v>
      </c>
      <c r="C163" s="7" t="s">
        <v>643</v>
      </c>
      <c r="D163" s="7" t="s">
        <v>32</v>
      </c>
      <c r="E163" s="7" t="s">
        <v>2449</v>
      </c>
      <c r="F163" s="7" t="s">
        <v>2450</v>
      </c>
      <c r="G163" s="7" t="s">
        <v>2456</v>
      </c>
      <c r="H163" s="7" t="s">
        <v>2457</v>
      </c>
      <c r="I163" s="7" t="s">
        <v>2453</v>
      </c>
      <c r="J163" s="7" t="s">
        <v>1714</v>
      </c>
      <c r="K163" s="7" t="s">
        <v>1707</v>
      </c>
      <c r="L163" s="7"/>
      <c r="M163" s="7">
        <v>5</v>
      </c>
      <c r="N163" s="7"/>
      <c r="O163" s="7">
        <v>5</v>
      </c>
      <c r="P163" s="7"/>
      <c r="Q163" s="7">
        <v>1</v>
      </c>
      <c r="R163" s="7">
        <v>4</v>
      </c>
      <c r="S163" s="7">
        <v>5</v>
      </c>
      <c r="T163" s="7" t="s">
        <v>2458</v>
      </c>
      <c r="U163" s="7" t="s">
        <v>391</v>
      </c>
    </row>
    <row r="164" spans="1:21" x14ac:dyDescent="0.3">
      <c r="A164" s="6" t="s">
        <v>2459</v>
      </c>
      <c r="B164" s="7" t="s">
        <v>139</v>
      </c>
      <c r="C164" s="7" t="s">
        <v>643</v>
      </c>
      <c r="D164" s="7" t="s">
        <v>32</v>
      </c>
      <c r="E164" s="7" t="s">
        <v>1595</v>
      </c>
      <c r="F164" s="7" t="s">
        <v>1596</v>
      </c>
      <c r="G164" s="7" t="s">
        <v>2460</v>
      </c>
      <c r="H164" s="7" t="s">
        <v>2461</v>
      </c>
      <c r="I164" s="7" t="s">
        <v>2453</v>
      </c>
      <c r="J164" s="7" t="s">
        <v>1714</v>
      </c>
      <c r="K164" s="7" t="s">
        <v>1707</v>
      </c>
      <c r="L164" s="7"/>
      <c r="M164" s="7">
        <v>1</v>
      </c>
      <c r="N164" s="7"/>
      <c r="O164" s="7">
        <v>1</v>
      </c>
      <c r="P164" s="7"/>
      <c r="Q164" s="7">
        <v>0</v>
      </c>
      <c r="R164" s="7">
        <v>1</v>
      </c>
      <c r="S164" s="7">
        <v>1</v>
      </c>
      <c r="T164" s="7" t="s">
        <v>184</v>
      </c>
      <c r="U164" s="7" t="s">
        <v>262</v>
      </c>
    </row>
    <row r="165" spans="1:21" x14ac:dyDescent="0.3">
      <c r="A165" s="6" t="s">
        <v>2462</v>
      </c>
      <c r="B165" s="7" t="s">
        <v>139</v>
      </c>
      <c r="C165" s="7" t="s">
        <v>643</v>
      </c>
      <c r="D165" s="7" t="s">
        <v>32</v>
      </c>
      <c r="E165" s="7" t="s">
        <v>2463</v>
      </c>
      <c r="F165" s="7" t="s">
        <v>2464</v>
      </c>
      <c r="G165" s="7" t="s">
        <v>2465</v>
      </c>
      <c r="H165" s="7" t="s">
        <v>2466</v>
      </c>
      <c r="I165" s="7" t="s">
        <v>2453</v>
      </c>
      <c r="J165" s="7" t="s">
        <v>2467</v>
      </c>
      <c r="K165" s="7" t="s">
        <v>1707</v>
      </c>
      <c r="L165" s="7"/>
      <c r="M165" s="7">
        <v>6</v>
      </c>
      <c r="N165" s="7"/>
      <c r="O165" s="7">
        <v>6</v>
      </c>
      <c r="P165" s="7"/>
      <c r="Q165" s="7">
        <v>1</v>
      </c>
      <c r="R165" s="7">
        <v>5</v>
      </c>
      <c r="S165" s="7">
        <v>6</v>
      </c>
      <c r="T165" s="7" t="s">
        <v>224</v>
      </c>
      <c r="U165" s="7" t="s">
        <v>2468</v>
      </c>
    </row>
    <row r="166" spans="1:21" x14ac:dyDescent="0.3">
      <c r="A166" s="6" t="s">
        <v>2469</v>
      </c>
      <c r="B166" s="7" t="s">
        <v>139</v>
      </c>
      <c r="C166" s="7" t="s">
        <v>643</v>
      </c>
      <c r="D166" s="7" t="s">
        <v>32</v>
      </c>
      <c r="E166" s="7" t="s">
        <v>2470</v>
      </c>
      <c r="F166" s="7" t="s">
        <v>2471</v>
      </c>
      <c r="G166" s="7" t="s">
        <v>2472</v>
      </c>
      <c r="H166" s="7" t="s">
        <v>2473</v>
      </c>
      <c r="I166" s="7" t="s">
        <v>2453</v>
      </c>
      <c r="J166" s="7" t="s">
        <v>2474</v>
      </c>
      <c r="K166" s="7" t="s">
        <v>1707</v>
      </c>
      <c r="L166" s="7"/>
      <c r="M166" s="7">
        <v>5</v>
      </c>
      <c r="N166" s="7"/>
      <c r="O166" s="7">
        <v>5</v>
      </c>
      <c r="P166" s="7"/>
      <c r="Q166" s="7">
        <v>1</v>
      </c>
      <c r="R166" s="7">
        <v>6</v>
      </c>
      <c r="S166" s="7">
        <v>7</v>
      </c>
      <c r="T166" s="7" t="s">
        <v>2475</v>
      </c>
      <c r="U166" s="7" t="s">
        <v>185</v>
      </c>
    </row>
    <row r="167" spans="1:21" x14ac:dyDescent="0.3">
      <c r="A167" s="6" t="s">
        <v>2476</v>
      </c>
      <c r="B167" s="7" t="s">
        <v>139</v>
      </c>
      <c r="C167" s="7" t="s">
        <v>643</v>
      </c>
      <c r="D167" s="7" t="s">
        <v>32</v>
      </c>
      <c r="E167" s="7" t="s">
        <v>2477</v>
      </c>
      <c r="F167" s="7" t="s">
        <v>2478</v>
      </c>
      <c r="G167" s="7" t="s">
        <v>2479</v>
      </c>
      <c r="H167" s="7" t="s">
        <v>2480</v>
      </c>
      <c r="I167" s="7" t="s">
        <v>2453</v>
      </c>
      <c r="J167" s="7" t="s">
        <v>2481</v>
      </c>
      <c r="K167" s="7" t="s">
        <v>1707</v>
      </c>
      <c r="L167" s="7"/>
      <c r="M167" s="7">
        <v>10</v>
      </c>
      <c r="N167" s="7"/>
      <c r="O167" s="7">
        <v>10</v>
      </c>
      <c r="P167" s="7"/>
      <c r="Q167" s="7">
        <v>0</v>
      </c>
      <c r="R167" s="7">
        <v>10</v>
      </c>
      <c r="S167" s="7">
        <v>10</v>
      </c>
      <c r="T167" s="7" t="s">
        <v>1851</v>
      </c>
      <c r="U167" s="7" t="s">
        <v>2175</v>
      </c>
    </row>
    <row r="168" spans="1:21" x14ac:dyDescent="0.3">
      <c r="A168" s="6" t="s">
        <v>2482</v>
      </c>
      <c r="B168" s="7" t="s">
        <v>139</v>
      </c>
      <c r="C168" s="7" t="s">
        <v>643</v>
      </c>
      <c r="D168" s="7" t="s">
        <v>32</v>
      </c>
      <c r="E168" s="7" t="s">
        <v>2483</v>
      </c>
      <c r="F168" s="7" t="s">
        <v>2484</v>
      </c>
      <c r="G168" s="7" t="s">
        <v>2485</v>
      </c>
      <c r="H168" s="7" t="s">
        <v>2486</v>
      </c>
      <c r="I168" s="7" t="s">
        <v>2453</v>
      </c>
      <c r="J168" s="7" t="s">
        <v>2481</v>
      </c>
      <c r="K168" s="7" t="s">
        <v>1707</v>
      </c>
      <c r="L168" s="7"/>
      <c r="M168" s="7">
        <v>9</v>
      </c>
      <c r="N168" s="7"/>
      <c r="O168" s="7">
        <v>9</v>
      </c>
      <c r="P168" s="7"/>
      <c r="Q168" s="7">
        <v>0</v>
      </c>
      <c r="R168" s="7">
        <v>9</v>
      </c>
      <c r="S168" s="7">
        <v>9</v>
      </c>
      <c r="T168" s="7" t="s">
        <v>2487</v>
      </c>
      <c r="U168" s="7" t="s">
        <v>2488</v>
      </c>
    </row>
    <row r="169" spans="1:21" x14ac:dyDescent="0.3">
      <c r="A169" s="6" t="s">
        <v>2489</v>
      </c>
      <c r="B169" s="7" t="s">
        <v>139</v>
      </c>
      <c r="C169" s="7" t="s">
        <v>643</v>
      </c>
      <c r="D169" s="7" t="s">
        <v>32</v>
      </c>
      <c r="E169" s="7" t="s">
        <v>1611</v>
      </c>
      <c r="F169" s="7" t="s">
        <v>1612</v>
      </c>
      <c r="G169" s="7" t="s">
        <v>2490</v>
      </c>
      <c r="H169" s="7" t="s">
        <v>2491</v>
      </c>
      <c r="I169" s="7" t="s">
        <v>2453</v>
      </c>
      <c r="J169" s="7" t="s">
        <v>2492</v>
      </c>
      <c r="K169" s="7" t="s">
        <v>1729</v>
      </c>
      <c r="L169" s="7"/>
      <c r="M169" s="7">
        <v>7</v>
      </c>
      <c r="N169" s="7"/>
      <c r="O169" s="7">
        <v>7</v>
      </c>
      <c r="P169" s="7"/>
      <c r="Q169" s="7">
        <v>4</v>
      </c>
      <c r="R169" s="7">
        <v>3</v>
      </c>
      <c r="S169" s="7">
        <v>7</v>
      </c>
      <c r="T169" s="7" t="s">
        <v>123</v>
      </c>
      <c r="U169" s="7" t="s">
        <v>174</v>
      </c>
    </row>
    <row r="170" spans="1:21" x14ac:dyDescent="0.3">
      <c r="A170" s="6" t="s">
        <v>2493</v>
      </c>
      <c r="B170" s="7" t="s">
        <v>139</v>
      </c>
      <c r="C170" s="7" t="s">
        <v>643</v>
      </c>
      <c r="D170" s="7" t="s">
        <v>32</v>
      </c>
      <c r="E170" s="7" t="s">
        <v>1616</v>
      </c>
      <c r="F170" s="7" t="s">
        <v>1617</v>
      </c>
      <c r="G170" s="7" t="s">
        <v>2494</v>
      </c>
      <c r="H170" s="7" t="s">
        <v>2495</v>
      </c>
      <c r="I170" s="7" t="s">
        <v>2453</v>
      </c>
      <c r="J170" s="7" t="s">
        <v>1969</v>
      </c>
      <c r="K170" s="7" t="s">
        <v>1707</v>
      </c>
      <c r="L170" s="7"/>
      <c r="M170" s="7">
        <v>6</v>
      </c>
      <c r="N170" s="7"/>
      <c r="O170" s="7">
        <v>6</v>
      </c>
      <c r="P170" s="7"/>
      <c r="Q170" s="7">
        <v>2</v>
      </c>
      <c r="R170" s="7">
        <v>4</v>
      </c>
      <c r="S170" s="7">
        <v>6</v>
      </c>
      <c r="T170" s="7" t="s">
        <v>2496</v>
      </c>
      <c r="U170" s="7" t="s">
        <v>262</v>
      </c>
    </row>
    <row r="171" spans="1:21" x14ac:dyDescent="0.3">
      <c r="A171" s="6" t="s">
        <v>2497</v>
      </c>
      <c r="B171" s="7" t="s">
        <v>139</v>
      </c>
      <c r="C171" s="7" t="s">
        <v>643</v>
      </c>
      <c r="D171" s="7" t="s">
        <v>32</v>
      </c>
      <c r="E171" s="7" t="s">
        <v>1616</v>
      </c>
      <c r="F171" s="7" t="s">
        <v>1617</v>
      </c>
      <c r="G171" s="7" t="s">
        <v>2498</v>
      </c>
      <c r="H171" s="7" t="s">
        <v>2499</v>
      </c>
      <c r="I171" s="7" t="s">
        <v>2453</v>
      </c>
      <c r="J171" s="7" t="s">
        <v>1969</v>
      </c>
      <c r="K171" s="7" t="s">
        <v>1707</v>
      </c>
      <c r="L171" s="7"/>
      <c r="M171" s="7">
        <v>10</v>
      </c>
      <c r="N171" s="7"/>
      <c r="O171" s="7">
        <v>10</v>
      </c>
      <c r="P171" s="7"/>
      <c r="Q171" s="7">
        <v>1</v>
      </c>
      <c r="R171" s="7">
        <v>8</v>
      </c>
      <c r="S171" s="7">
        <v>9</v>
      </c>
      <c r="T171" s="7" t="s">
        <v>556</v>
      </c>
      <c r="U171" s="7" t="s">
        <v>2496</v>
      </c>
    </row>
    <row r="172" spans="1:21" x14ac:dyDescent="0.3">
      <c r="A172" s="6" t="s">
        <v>2500</v>
      </c>
      <c r="B172" s="7" t="s">
        <v>139</v>
      </c>
      <c r="C172" s="7" t="s">
        <v>643</v>
      </c>
      <c r="D172" s="7" t="s">
        <v>32</v>
      </c>
      <c r="E172" s="7" t="s">
        <v>1620</v>
      </c>
      <c r="F172" s="7" t="s">
        <v>1621</v>
      </c>
      <c r="G172" s="7" t="s">
        <v>2501</v>
      </c>
      <c r="H172" s="7" t="s">
        <v>2502</v>
      </c>
      <c r="I172" s="7" t="s">
        <v>2453</v>
      </c>
      <c r="J172" s="7" t="s">
        <v>1714</v>
      </c>
      <c r="K172" s="7" t="s">
        <v>1707</v>
      </c>
      <c r="L172" s="7"/>
      <c r="M172" s="7">
        <v>14</v>
      </c>
      <c r="N172" s="7"/>
      <c r="O172" s="7">
        <v>14</v>
      </c>
      <c r="P172" s="7"/>
      <c r="Q172" s="7">
        <v>2</v>
      </c>
      <c r="R172" s="7">
        <v>5</v>
      </c>
      <c r="S172" s="7">
        <v>7</v>
      </c>
      <c r="T172" s="7" t="s">
        <v>202</v>
      </c>
      <c r="U172" s="7" t="s">
        <v>2503</v>
      </c>
    </row>
    <row r="173" spans="1:21" x14ac:dyDescent="0.3">
      <c r="A173" s="6" t="s">
        <v>2504</v>
      </c>
      <c r="B173" s="7" t="s">
        <v>139</v>
      </c>
      <c r="C173" s="7" t="s">
        <v>643</v>
      </c>
      <c r="D173" s="7" t="s">
        <v>32</v>
      </c>
      <c r="E173" s="7" t="s">
        <v>1620</v>
      </c>
      <c r="F173" s="7" t="s">
        <v>1621</v>
      </c>
      <c r="G173" s="7" t="s">
        <v>2505</v>
      </c>
      <c r="H173" s="7" t="s">
        <v>2506</v>
      </c>
      <c r="I173" s="7" t="s">
        <v>2453</v>
      </c>
      <c r="J173" s="7" t="s">
        <v>1714</v>
      </c>
      <c r="K173" s="7" t="s">
        <v>1707</v>
      </c>
      <c r="L173" s="7"/>
      <c r="M173" s="7">
        <v>10</v>
      </c>
      <c r="N173" s="7"/>
      <c r="O173" s="7">
        <v>10</v>
      </c>
      <c r="P173" s="7"/>
      <c r="Q173" s="7">
        <v>1</v>
      </c>
      <c r="R173" s="7">
        <v>2</v>
      </c>
      <c r="S173" s="7">
        <v>3</v>
      </c>
      <c r="T173" s="7" t="s">
        <v>1708</v>
      </c>
      <c r="U173" s="7" t="s">
        <v>391</v>
      </c>
    </row>
    <row r="174" spans="1:21" x14ac:dyDescent="0.3">
      <c r="A174" s="6" t="s">
        <v>2507</v>
      </c>
      <c r="B174" s="7" t="s">
        <v>139</v>
      </c>
      <c r="C174" s="7" t="s">
        <v>643</v>
      </c>
      <c r="D174" s="7" t="s">
        <v>32</v>
      </c>
      <c r="E174" s="7" t="s">
        <v>2508</v>
      </c>
      <c r="F174" s="7" t="s">
        <v>2509</v>
      </c>
      <c r="G174" s="7" t="s">
        <v>2510</v>
      </c>
      <c r="H174" s="7" t="s">
        <v>2511</v>
      </c>
      <c r="I174" s="7" t="s">
        <v>2453</v>
      </c>
      <c r="J174" s="7" t="s">
        <v>1714</v>
      </c>
      <c r="K174" s="7" t="s">
        <v>1707</v>
      </c>
      <c r="L174" s="7"/>
      <c r="M174" s="7">
        <v>9</v>
      </c>
      <c r="N174" s="7"/>
      <c r="O174" s="7">
        <v>9</v>
      </c>
      <c r="P174" s="7"/>
      <c r="Q174" s="7">
        <v>0</v>
      </c>
      <c r="R174" s="7">
        <v>11</v>
      </c>
      <c r="S174" s="7">
        <v>11</v>
      </c>
      <c r="T174" s="7" t="s">
        <v>682</v>
      </c>
      <c r="U174" s="7" t="s">
        <v>174</v>
      </c>
    </row>
    <row r="175" spans="1:21" x14ac:dyDescent="0.3">
      <c r="A175" s="6" t="s">
        <v>2512</v>
      </c>
      <c r="B175" s="7" t="s">
        <v>139</v>
      </c>
      <c r="C175" s="7" t="s">
        <v>643</v>
      </c>
      <c r="D175" s="7" t="s">
        <v>32</v>
      </c>
      <c r="E175" s="7" t="s">
        <v>1631</v>
      </c>
      <c r="F175" s="7" t="s">
        <v>1632</v>
      </c>
      <c r="G175" s="7" t="s">
        <v>2513</v>
      </c>
      <c r="H175" s="7" t="s">
        <v>2514</v>
      </c>
      <c r="I175" s="7" t="s">
        <v>2453</v>
      </c>
      <c r="J175" s="7" t="s">
        <v>1894</v>
      </c>
      <c r="K175" s="7" t="s">
        <v>1729</v>
      </c>
      <c r="L175" s="7"/>
      <c r="M175" s="7">
        <v>3</v>
      </c>
      <c r="N175" s="7"/>
      <c r="O175" s="7">
        <v>3</v>
      </c>
      <c r="P175" s="7"/>
      <c r="Q175" s="7">
        <v>1</v>
      </c>
      <c r="R175" s="7">
        <v>2</v>
      </c>
      <c r="S175" s="7">
        <v>3</v>
      </c>
      <c r="T175" s="7" t="s">
        <v>427</v>
      </c>
      <c r="U175" s="7" t="s">
        <v>2515</v>
      </c>
    </row>
    <row r="176" spans="1:21" x14ac:dyDescent="0.3">
      <c r="A176" s="6" t="s">
        <v>2516</v>
      </c>
      <c r="B176" s="7" t="s">
        <v>139</v>
      </c>
      <c r="C176" s="7" t="s">
        <v>643</v>
      </c>
      <c r="D176" s="7" t="s">
        <v>32</v>
      </c>
      <c r="E176" s="7" t="s">
        <v>2517</v>
      </c>
      <c r="F176" s="7" t="s">
        <v>2518</v>
      </c>
      <c r="G176" s="7" t="s">
        <v>2519</v>
      </c>
      <c r="H176" s="7" t="s">
        <v>2520</v>
      </c>
      <c r="I176" s="7" t="s">
        <v>2453</v>
      </c>
      <c r="J176" s="7" t="s">
        <v>2521</v>
      </c>
      <c r="K176" s="7" t="s">
        <v>1707</v>
      </c>
      <c r="L176" s="7"/>
      <c r="M176" s="7">
        <v>14</v>
      </c>
      <c r="N176" s="7"/>
      <c r="O176" s="7">
        <v>14</v>
      </c>
      <c r="P176" s="7"/>
      <c r="Q176" s="7">
        <v>0</v>
      </c>
      <c r="R176" s="7">
        <v>14</v>
      </c>
      <c r="S176" s="7">
        <v>14</v>
      </c>
      <c r="T176" s="7" t="s">
        <v>427</v>
      </c>
      <c r="U176" s="7" t="s">
        <v>262</v>
      </c>
    </row>
    <row r="177" spans="1:21" x14ac:dyDescent="0.3">
      <c r="A177" s="6" t="s">
        <v>2522</v>
      </c>
      <c r="B177" s="7" t="s">
        <v>139</v>
      </c>
      <c r="C177" s="7" t="s">
        <v>643</v>
      </c>
      <c r="D177" s="7" t="s">
        <v>32</v>
      </c>
      <c r="E177" s="7" t="s">
        <v>2523</v>
      </c>
      <c r="F177" s="7" t="s">
        <v>1039</v>
      </c>
      <c r="G177" s="7" t="s">
        <v>2524</v>
      </c>
      <c r="H177" s="7" t="s">
        <v>2525</v>
      </c>
      <c r="I177" s="7" t="s">
        <v>2453</v>
      </c>
      <c r="J177" s="7" t="s">
        <v>2526</v>
      </c>
      <c r="K177" s="7" t="s">
        <v>1707</v>
      </c>
      <c r="L177" s="7"/>
      <c r="M177" s="7">
        <v>12</v>
      </c>
      <c r="N177" s="7"/>
      <c r="O177" s="7">
        <v>12</v>
      </c>
      <c r="P177" s="7"/>
      <c r="Q177" s="7">
        <v>1</v>
      </c>
      <c r="R177" s="7">
        <v>11</v>
      </c>
      <c r="S177" s="7">
        <v>12</v>
      </c>
      <c r="T177" s="7" t="s">
        <v>148</v>
      </c>
      <c r="U177" s="7" t="s">
        <v>391</v>
      </c>
    </row>
    <row r="178" spans="1:21" x14ac:dyDescent="0.3">
      <c r="A178" s="6" t="s">
        <v>2527</v>
      </c>
      <c r="B178" s="7" t="s">
        <v>139</v>
      </c>
      <c r="C178" s="7" t="s">
        <v>643</v>
      </c>
      <c r="D178" s="7" t="s">
        <v>32</v>
      </c>
      <c r="E178" s="7" t="s">
        <v>1659</v>
      </c>
      <c r="F178" s="7" t="s">
        <v>1660</v>
      </c>
      <c r="G178" s="7" t="s">
        <v>2528</v>
      </c>
      <c r="H178" s="7" t="s">
        <v>2529</v>
      </c>
      <c r="I178" s="7" t="s">
        <v>2453</v>
      </c>
      <c r="J178" s="7" t="s">
        <v>2414</v>
      </c>
      <c r="K178" s="7" t="s">
        <v>2481</v>
      </c>
      <c r="L178" s="7"/>
      <c r="M178" s="7">
        <v>9</v>
      </c>
      <c r="N178" s="7"/>
      <c r="O178" s="7">
        <v>9</v>
      </c>
      <c r="P178" s="7"/>
      <c r="Q178" s="7">
        <v>0</v>
      </c>
      <c r="R178" s="7">
        <v>3</v>
      </c>
      <c r="S178" s="7">
        <v>3</v>
      </c>
      <c r="T178" s="7" t="s">
        <v>1083</v>
      </c>
      <c r="U178" s="7" t="s">
        <v>262</v>
      </c>
    </row>
    <row r="179" spans="1:21" x14ac:dyDescent="0.3">
      <c r="A179" s="6" t="s">
        <v>2530</v>
      </c>
      <c r="B179" s="7" t="s">
        <v>139</v>
      </c>
      <c r="C179" s="7" t="s">
        <v>643</v>
      </c>
      <c r="D179" s="7" t="s">
        <v>32</v>
      </c>
      <c r="E179" s="7" t="s">
        <v>1673</v>
      </c>
      <c r="F179" s="7" t="s">
        <v>1674</v>
      </c>
      <c r="G179" s="7" t="s">
        <v>2531</v>
      </c>
      <c r="H179" s="7" t="s">
        <v>2532</v>
      </c>
      <c r="I179" s="7" t="s">
        <v>2453</v>
      </c>
      <c r="J179" s="7" t="s">
        <v>2533</v>
      </c>
      <c r="K179" s="7" t="s">
        <v>1729</v>
      </c>
      <c r="L179" s="7"/>
      <c r="M179" s="7">
        <v>5</v>
      </c>
      <c r="N179" s="7"/>
      <c r="O179" s="7">
        <v>5</v>
      </c>
      <c r="P179" s="7"/>
      <c r="Q179" s="7">
        <v>2</v>
      </c>
      <c r="R179" s="7">
        <v>3</v>
      </c>
      <c r="S179" s="7">
        <v>5</v>
      </c>
      <c r="T179" s="7" t="s">
        <v>570</v>
      </c>
      <c r="U179" s="7" t="s">
        <v>174</v>
      </c>
    </row>
    <row r="180" spans="1:21" x14ac:dyDescent="0.3">
      <c r="A180" s="6" t="s">
        <v>2534</v>
      </c>
      <c r="B180" s="7" t="s">
        <v>139</v>
      </c>
      <c r="C180" s="7" t="s">
        <v>643</v>
      </c>
      <c r="D180" s="7" t="s">
        <v>32</v>
      </c>
      <c r="E180" s="7" t="s">
        <v>755</v>
      </c>
      <c r="F180" s="7" t="s">
        <v>756</v>
      </c>
      <c r="G180" s="7" t="s">
        <v>2535</v>
      </c>
      <c r="H180" s="7" t="s">
        <v>2536</v>
      </c>
      <c r="I180" s="7" t="s">
        <v>2453</v>
      </c>
      <c r="J180" s="7" t="s">
        <v>2537</v>
      </c>
      <c r="K180" s="7" t="s">
        <v>1707</v>
      </c>
      <c r="L180" s="7"/>
      <c r="M180" s="7">
        <v>12</v>
      </c>
      <c r="N180" s="7"/>
      <c r="O180" s="7">
        <v>12</v>
      </c>
      <c r="P180" s="7"/>
      <c r="Q180" s="7">
        <v>2</v>
      </c>
      <c r="R180" s="7">
        <v>10</v>
      </c>
      <c r="S180" s="7">
        <v>12</v>
      </c>
      <c r="T180" s="7" t="s">
        <v>148</v>
      </c>
      <c r="U180" s="7" t="s">
        <v>174</v>
      </c>
    </row>
    <row r="181" spans="1:21" x14ac:dyDescent="0.3">
      <c r="A181" s="6" t="s">
        <v>2538</v>
      </c>
      <c r="B181" s="7" t="s">
        <v>139</v>
      </c>
      <c r="C181" s="7" t="s">
        <v>643</v>
      </c>
      <c r="D181" s="7" t="s">
        <v>34</v>
      </c>
      <c r="E181" s="7" t="s">
        <v>2539</v>
      </c>
      <c r="F181" s="7" t="s">
        <v>2540</v>
      </c>
      <c r="G181" s="7" t="s">
        <v>2541</v>
      </c>
      <c r="H181" s="7" t="s">
        <v>2542</v>
      </c>
      <c r="I181" s="7" t="s">
        <v>1738</v>
      </c>
      <c r="J181" s="7" t="s">
        <v>2</v>
      </c>
      <c r="K181" s="7" t="s">
        <v>1738</v>
      </c>
      <c r="L181" s="7">
        <v>1</v>
      </c>
      <c r="M181" s="7"/>
      <c r="N181" s="7"/>
      <c r="O181" s="7">
        <v>1</v>
      </c>
      <c r="P181" s="7"/>
      <c r="Q181" s="7">
        <v>1</v>
      </c>
      <c r="R181" s="7"/>
      <c r="S181" s="7">
        <v>1</v>
      </c>
      <c r="T181" s="7" t="s">
        <v>1715</v>
      </c>
      <c r="U181" s="7" t="s">
        <v>519</v>
      </c>
    </row>
    <row r="182" spans="1:21" x14ac:dyDescent="0.3">
      <c r="A182" s="6" t="s">
        <v>2543</v>
      </c>
      <c r="B182" s="7" t="s">
        <v>139</v>
      </c>
      <c r="C182" s="7" t="s">
        <v>643</v>
      </c>
      <c r="D182" s="7" t="s">
        <v>34</v>
      </c>
      <c r="E182" s="7" t="s">
        <v>2148</v>
      </c>
      <c r="F182" s="7" t="s">
        <v>366</v>
      </c>
      <c r="G182" s="7" t="s">
        <v>2544</v>
      </c>
      <c r="H182" s="7" t="s">
        <v>2545</v>
      </c>
      <c r="I182" s="7" t="s">
        <v>1727</v>
      </c>
      <c r="J182" s="7" t="s">
        <v>2546</v>
      </c>
      <c r="K182" s="7" t="s">
        <v>1729</v>
      </c>
      <c r="L182" s="7">
        <v>2</v>
      </c>
      <c r="M182" s="7"/>
      <c r="N182" s="7"/>
      <c r="O182" s="7">
        <v>2</v>
      </c>
      <c r="P182" s="7"/>
      <c r="Q182" s="7">
        <v>2</v>
      </c>
      <c r="R182" s="7">
        <v>0</v>
      </c>
      <c r="S182" s="7">
        <v>2</v>
      </c>
      <c r="T182" s="7" t="s">
        <v>2319</v>
      </c>
      <c r="U182" s="7" t="s">
        <v>1304</v>
      </c>
    </row>
    <row r="183" spans="1:21" x14ac:dyDescent="0.3">
      <c r="A183" s="6" t="s">
        <v>2547</v>
      </c>
      <c r="B183" s="7" t="s">
        <v>139</v>
      </c>
      <c r="C183" s="7" t="s">
        <v>643</v>
      </c>
      <c r="D183" s="7" t="s">
        <v>34</v>
      </c>
      <c r="E183" s="7" t="s">
        <v>2548</v>
      </c>
      <c r="F183" s="7" t="s">
        <v>2549</v>
      </c>
      <c r="G183" s="7" t="s">
        <v>2550</v>
      </c>
      <c r="H183" s="7" t="s">
        <v>2551</v>
      </c>
      <c r="I183" s="7" t="s">
        <v>2552</v>
      </c>
      <c r="J183" s="7" t="s">
        <v>2</v>
      </c>
      <c r="K183" s="7" t="s">
        <v>1739</v>
      </c>
      <c r="L183" s="7">
        <v>10</v>
      </c>
      <c r="M183" s="7"/>
      <c r="N183" s="7"/>
      <c r="O183" s="7">
        <v>10</v>
      </c>
      <c r="P183" s="7"/>
      <c r="Q183" s="7"/>
      <c r="R183" s="7">
        <v>18</v>
      </c>
      <c r="S183" s="7">
        <v>18</v>
      </c>
      <c r="T183" s="7" t="s">
        <v>2553</v>
      </c>
      <c r="U183" s="7" t="s">
        <v>678</v>
      </c>
    </row>
    <row r="184" spans="1:21" x14ac:dyDescent="0.3">
      <c r="A184" s="6" t="s">
        <v>2554</v>
      </c>
      <c r="B184" s="7" t="s">
        <v>139</v>
      </c>
      <c r="C184" s="7"/>
      <c r="D184" s="7" t="s">
        <v>35</v>
      </c>
      <c r="E184" s="7" t="s">
        <v>2555</v>
      </c>
      <c r="F184" s="7" t="s">
        <v>2556</v>
      </c>
      <c r="G184" s="7" t="s">
        <v>2557</v>
      </c>
      <c r="H184" s="7" t="s">
        <v>2558</v>
      </c>
      <c r="I184" s="7" t="s">
        <v>2559</v>
      </c>
      <c r="J184" s="7" t="s">
        <v>2560</v>
      </c>
      <c r="K184" s="7" t="s">
        <v>1739</v>
      </c>
      <c r="L184" s="7"/>
      <c r="M184" s="7">
        <v>11</v>
      </c>
      <c r="N184" s="7"/>
      <c r="O184" s="7">
        <v>11</v>
      </c>
      <c r="P184" s="7"/>
      <c r="Q184" s="7">
        <v>2</v>
      </c>
      <c r="R184" s="7">
        <v>9</v>
      </c>
      <c r="S184" s="7">
        <v>11</v>
      </c>
      <c r="T184" s="7" t="s">
        <v>647</v>
      </c>
      <c r="U184" s="7" t="s">
        <v>924</v>
      </c>
    </row>
    <row r="185" spans="1:21" x14ac:dyDescent="0.3">
      <c r="A185" s="6" t="s">
        <v>2561</v>
      </c>
      <c r="B185" s="7" t="s">
        <v>139</v>
      </c>
      <c r="C185" s="7"/>
      <c r="D185" s="7" t="s">
        <v>35</v>
      </c>
      <c r="E185" s="7" t="s">
        <v>2562</v>
      </c>
      <c r="F185" s="7" t="s">
        <v>475</v>
      </c>
      <c r="G185" s="7" t="s">
        <v>2563</v>
      </c>
      <c r="H185" s="7" t="s">
        <v>2564</v>
      </c>
      <c r="I185" s="7" t="s">
        <v>2559</v>
      </c>
      <c r="J185" s="7" t="s">
        <v>2560</v>
      </c>
      <c r="K185" s="7" t="s">
        <v>1739</v>
      </c>
      <c r="L185" s="7">
        <v>2</v>
      </c>
      <c r="M185" s="7"/>
      <c r="N185" s="7"/>
      <c r="O185" s="7">
        <v>2</v>
      </c>
      <c r="P185" s="7"/>
      <c r="Q185" s="7">
        <v>0</v>
      </c>
      <c r="R185" s="7">
        <v>2</v>
      </c>
      <c r="S185" s="7">
        <v>2</v>
      </c>
      <c r="T185" s="7" t="s">
        <v>1715</v>
      </c>
      <c r="U185" s="7" t="s">
        <v>2565</v>
      </c>
    </row>
    <row r="186" spans="1:21" x14ac:dyDescent="0.3">
      <c r="A186" s="6" t="s">
        <v>2566</v>
      </c>
      <c r="B186" s="7" t="s">
        <v>139</v>
      </c>
      <c r="C186" s="7"/>
      <c r="D186" s="7" t="s">
        <v>35</v>
      </c>
      <c r="E186" s="7" t="s">
        <v>2567</v>
      </c>
      <c r="F186" s="7" t="s">
        <v>2568</v>
      </c>
      <c r="G186" s="7" t="s">
        <v>2569</v>
      </c>
      <c r="H186" s="7" t="s">
        <v>2570</v>
      </c>
      <c r="I186" s="7" t="s">
        <v>2559</v>
      </c>
      <c r="J186" s="7" t="s">
        <v>2559</v>
      </c>
      <c r="K186" s="7" t="s">
        <v>1739</v>
      </c>
      <c r="L186" s="7"/>
      <c r="M186" s="7">
        <v>42</v>
      </c>
      <c r="N186" s="7"/>
      <c r="O186" s="7">
        <v>42</v>
      </c>
      <c r="P186" s="7"/>
      <c r="Q186" s="7">
        <v>2</v>
      </c>
      <c r="R186" s="7">
        <v>40</v>
      </c>
      <c r="S186" s="7">
        <v>42</v>
      </c>
      <c r="T186" s="7" t="s">
        <v>396</v>
      </c>
      <c r="U186" s="7" t="s">
        <v>174</v>
      </c>
    </row>
    <row r="187" spans="1:21" x14ac:dyDescent="0.3">
      <c r="A187" s="6" t="s">
        <v>2571</v>
      </c>
      <c r="B187" s="7" t="s">
        <v>139</v>
      </c>
      <c r="C187" s="7"/>
      <c r="D187" s="7" t="s">
        <v>35</v>
      </c>
      <c r="E187" s="7" t="s">
        <v>2572</v>
      </c>
      <c r="F187" s="7" t="s">
        <v>2573</v>
      </c>
      <c r="G187" s="7" t="s">
        <v>2574</v>
      </c>
      <c r="H187" s="7" t="s">
        <v>2575</v>
      </c>
      <c r="I187" s="7" t="s">
        <v>2559</v>
      </c>
      <c r="J187" s="7" t="s">
        <v>2576</v>
      </c>
      <c r="K187" s="7" t="s">
        <v>1739</v>
      </c>
      <c r="L187" s="7"/>
      <c r="M187" s="7">
        <v>7</v>
      </c>
      <c r="N187" s="7"/>
      <c r="O187" s="7">
        <v>7</v>
      </c>
      <c r="P187" s="7"/>
      <c r="Q187" s="7">
        <v>0</v>
      </c>
      <c r="R187" s="7">
        <v>7</v>
      </c>
      <c r="S187" s="7">
        <v>7</v>
      </c>
      <c r="T187" s="7" t="s">
        <v>184</v>
      </c>
      <c r="U187" s="7" t="s">
        <v>1470</v>
      </c>
    </row>
    <row r="188" spans="1:21" x14ac:dyDescent="0.3">
      <c r="A188" s="6" t="s">
        <v>2577</v>
      </c>
      <c r="B188" s="7" t="s">
        <v>139</v>
      </c>
      <c r="C188" s="7"/>
      <c r="D188" s="7" t="s">
        <v>35</v>
      </c>
      <c r="E188" s="7" t="s">
        <v>2578</v>
      </c>
      <c r="F188" s="7" t="s">
        <v>2579</v>
      </c>
      <c r="G188" s="7" t="s">
        <v>2580</v>
      </c>
      <c r="H188" s="7" t="s">
        <v>2581</v>
      </c>
      <c r="I188" s="7" t="s">
        <v>2559</v>
      </c>
      <c r="J188" s="7" t="s">
        <v>2582</v>
      </c>
      <c r="K188" s="7" t="s">
        <v>1739</v>
      </c>
      <c r="L188" s="7"/>
      <c r="M188" s="7">
        <v>4</v>
      </c>
      <c r="N188" s="7"/>
      <c r="O188" s="7">
        <v>4</v>
      </c>
      <c r="P188" s="7"/>
      <c r="Q188" s="7">
        <v>0</v>
      </c>
      <c r="R188" s="7">
        <v>4</v>
      </c>
      <c r="S188" s="7">
        <v>4</v>
      </c>
      <c r="T188" s="7" t="s">
        <v>2583</v>
      </c>
      <c r="U188" s="7" t="s">
        <v>584</v>
      </c>
    </row>
    <row r="189" spans="1:21" x14ac:dyDescent="0.3">
      <c r="A189" s="6" t="s">
        <v>2584</v>
      </c>
      <c r="B189" s="7" t="s">
        <v>139</v>
      </c>
      <c r="C189" s="7"/>
      <c r="D189" s="7" t="s">
        <v>35</v>
      </c>
      <c r="E189" s="7" t="s">
        <v>2585</v>
      </c>
      <c r="F189" s="7" t="s">
        <v>929</v>
      </c>
      <c r="G189" s="7" t="s">
        <v>2586</v>
      </c>
      <c r="H189" s="7" t="s">
        <v>2587</v>
      </c>
      <c r="I189" s="7" t="s">
        <v>2559</v>
      </c>
      <c r="J189" s="7" t="s">
        <v>2576</v>
      </c>
      <c r="K189" s="7" t="s">
        <v>1739</v>
      </c>
      <c r="L189" s="7"/>
      <c r="M189" s="7">
        <v>1</v>
      </c>
      <c r="N189" s="7"/>
      <c r="O189" s="7">
        <v>1</v>
      </c>
      <c r="P189" s="7"/>
      <c r="Q189" s="7">
        <v>0</v>
      </c>
      <c r="R189" s="7">
        <v>1</v>
      </c>
      <c r="S189" s="7">
        <v>1</v>
      </c>
      <c r="T189" s="7" t="s">
        <v>207</v>
      </c>
      <c r="U189" s="7" t="s">
        <v>962</v>
      </c>
    </row>
    <row r="190" spans="1:21" x14ac:dyDescent="0.3">
      <c r="A190" s="6" t="s">
        <v>2588</v>
      </c>
      <c r="B190" s="7" t="s">
        <v>139</v>
      </c>
      <c r="C190" s="7"/>
      <c r="D190" s="7" t="s">
        <v>35</v>
      </c>
      <c r="E190" s="7" t="s">
        <v>2589</v>
      </c>
      <c r="F190" s="7" t="s">
        <v>2590</v>
      </c>
      <c r="G190" s="7" t="s">
        <v>2591</v>
      </c>
      <c r="H190" s="7" t="s">
        <v>2592</v>
      </c>
      <c r="I190" s="7" t="s">
        <v>2593</v>
      </c>
      <c r="J190" s="7" t="s">
        <v>2559</v>
      </c>
      <c r="K190" s="7" t="s">
        <v>1739</v>
      </c>
      <c r="L190" s="7">
        <v>2</v>
      </c>
      <c r="M190" s="7"/>
      <c r="N190" s="7"/>
      <c r="O190" s="7">
        <v>2</v>
      </c>
      <c r="P190" s="7"/>
      <c r="Q190" s="7">
        <v>1</v>
      </c>
      <c r="R190" s="7">
        <v>1</v>
      </c>
      <c r="S190" s="7">
        <v>2</v>
      </c>
      <c r="T190" s="7" t="s">
        <v>444</v>
      </c>
      <c r="U190" s="7" t="s">
        <v>2594</v>
      </c>
    </row>
    <row r="191" spans="1:21" x14ac:dyDescent="0.3">
      <c r="A191" s="6" t="s">
        <v>2595</v>
      </c>
      <c r="B191" s="7" t="s">
        <v>139</v>
      </c>
      <c r="C191" s="7" t="s">
        <v>2596</v>
      </c>
      <c r="D191" s="7" t="s">
        <v>35</v>
      </c>
      <c r="E191" s="7" t="s">
        <v>2597</v>
      </c>
      <c r="F191" s="7" t="s">
        <v>2598</v>
      </c>
      <c r="G191" s="7" t="s">
        <v>2599</v>
      </c>
      <c r="H191" s="7" t="s">
        <v>2600</v>
      </c>
      <c r="I191" s="7" t="s">
        <v>2593</v>
      </c>
      <c r="J191" s="7" t="s">
        <v>1721</v>
      </c>
      <c r="K191" s="7" t="s">
        <v>1738</v>
      </c>
      <c r="L191" s="7">
        <v>10</v>
      </c>
      <c r="M191" s="7"/>
      <c r="N191" s="7"/>
      <c r="O191" s="7">
        <v>10</v>
      </c>
      <c r="P191" s="7"/>
      <c r="Q191" s="7">
        <v>8</v>
      </c>
      <c r="R191" s="7">
        <v>2</v>
      </c>
      <c r="S191" s="7">
        <v>10</v>
      </c>
      <c r="T191" s="7" t="s">
        <v>257</v>
      </c>
      <c r="U191" s="7" t="s">
        <v>2601</v>
      </c>
    </row>
    <row r="192" spans="1:21" x14ac:dyDescent="0.3">
      <c r="A192" s="6" t="s">
        <v>2602</v>
      </c>
      <c r="B192" s="7" t="s">
        <v>139</v>
      </c>
      <c r="C192" s="7"/>
      <c r="D192" s="7" t="s">
        <v>35</v>
      </c>
      <c r="E192" s="7" t="s">
        <v>2603</v>
      </c>
      <c r="F192" s="7" t="s">
        <v>2604</v>
      </c>
      <c r="G192" s="7" t="s">
        <v>2605</v>
      </c>
      <c r="H192" s="7" t="s">
        <v>2606</v>
      </c>
      <c r="I192" s="7" t="s">
        <v>2559</v>
      </c>
      <c r="J192" s="7" t="s">
        <v>2560</v>
      </c>
      <c r="K192" s="7" t="s">
        <v>1739</v>
      </c>
      <c r="L192" s="7"/>
      <c r="M192" s="7">
        <v>1</v>
      </c>
      <c r="N192" s="7"/>
      <c r="O192" s="7">
        <v>1</v>
      </c>
      <c r="P192" s="7"/>
      <c r="Q192" s="7">
        <v>0</v>
      </c>
      <c r="R192" s="7">
        <v>1</v>
      </c>
      <c r="S192" s="7">
        <v>1</v>
      </c>
      <c r="T192" s="7" t="s">
        <v>1184</v>
      </c>
      <c r="U192" s="7" t="s">
        <v>2607</v>
      </c>
    </row>
    <row r="193" spans="1:21" x14ac:dyDescent="0.3">
      <c r="A193" s="6" t="s">
        <v>2608</v>
      </c>
      <c r="B193" s="7" t="s">
        <v>139</v>
      </c>
      <c r="C193" s="7"/>
      <c r="D193" s="7" t="s">
        <v>35</v>
      </c>
      <c r="E193" s="7" t="s">
        <v>2609</v>
      </c>
      <c r="F193" s="7" t="s">
        <v>1129</v>
      </c>
      <c r="G193" s="7" t="s">
        <v>2610</v>
      </c>
      <c r="H193" s="7" t="s">
        <v>2611</v>
      </c>
      <c r="I193" s="7" t="s">
        <v>2559</v>
      </c>
      <c r="J193" s="7" t="s">
        <v>2559</v>
      </c>
      <c r="K193" s="7" t="s">
        <v>1739</v>
      </c>
      <c r="L193" s="7">
        <v>3</v>
      </c>
      <c r="M193" s="7"/>
      <c r="N193" s="7"/>
      <c r="O193" s="7">
        <v>3</v>
      </c>
      <c r="P193" s="7"/>
      <c r="Q193" s="7">
        <v>2</v>
      </c>
      <c r="R193" s="7">
        <v>1</v>
      </c>
      <c r="S193" s="7">
        <v>3</v>
      </c>
      <c r="T193" s="7" t="s">
        <v>202</v>
      </c>
      <c r="U193" s="7" t="s">
        <v>2612</v>
      </c>
    </row>
    <row r="194" spans="1:21" x14ac:dyDescent="0.3">
      <c r="A194" s="6" t="s">
        <v>2613</v>
      </c>
      <c r="B194" s="7" t="s">
        <v>139</v>
      </c>
      <c r="C194" s="7" t="s">
        <v>643</v>
      </c>
      <c r="D194" s="7" t="s">
        <v>36</v>
      </c>
      <c r="E194" s="7" t="s">
        <v>576</v>
      </c>
      <c r="F194" s="7" t="s">
        <v>577</v>
      </c>
      <c r="G194" s="7" t="s">
        <v>2614</v>
      </c>
      <c r="H194" s="7" t="s">
        <v>2615</v>
      </c>
      <c r="I194" s="7" t="s">
        <v>2616</v>
      </c>
      <c r="J194" s="7" t="s">
        <v>2617</v>
      </c>
      <c r="K194" s="7" t="s">
        <v>1707</v>
      </c>
      <c r="L194" s="7">
        <v>8</v>
      </c>
      <c r="M194" s="7"/>
      <c r="N194" s="7"/>
      <c r="O194" s="7">
        <v>8</v>
      </c>
      <c r="P194" s="7"/>
      <c r="Q194" s="7">
        <v>3</v>
      </c>
      <c r="R194" s="7">
        <v>5</v>
      </c>
      <c r="S194" s="7"/>
      <c r="T194" s="7" t="s">
        <v>602</v>
      </c>
      <c r="U194" s="7" t="s">
        <v>871</v>
      </c>
    </row>
    <row r="195" spans="1:21" x14ac:dyDescent="0.3">
      <c r="A195" s="6" t="s">
        <v>2618</v>
      </c>
      <c r="B195" s="7" t="s">
        <v>139</v>
      </c>
      <c r="C195" s="7" t="s">
        <v>643</v>
      </c>
      <c r="D195" s="7" t="s">
        <v>37</v>
      </c>
      <c r="E195" s="7" t="s">
        <v>1616</v>
      </c>
      <c r="F195" s="7" t="s">
        <v>2619</v>
      </c>
      <c r="G195" s="7" t="s">
        <v>2620</v>
      </c>
      <c r="H195" s="7" t="s">
        <v>2621</v>
      </c>
      <c r="I195" s="7" t="s">
        <v>2546</v>
      </c>
      <c r="J195" s="7" t="s">
        <v>2622</v>
      </c>
      <c r="K195" s="7" t="s">
        <v>1739</v>
      </c>
      <c r="L195" s="7"/>
      <c r="M195" s="7">
        <v>7</v>
      </c>
      <c r="N195" s="7"/>
      <c r="O195" s="7">
        <v>7</v>
      </c>
      <c r="P195" s="7"/>
      <c r="Q195" s="7"/>
      <c r="R195" s="7">
        <v>7</v>
      </c>
      <c r="S195" s="7">
        <v>7</v>
      </c>
      <c r="T195" s="7" t="s">
        <v>900</v>
      </c>
      <c r="U195" s="7" t="s">
        <v>144</v>
      </c>
    </row>
    <row r="196" spans="1:21" x14ac:dyDescent="0.3">
      <c r="A196" s="6" t="s">
        <v>2623</v>
      </c>
      <c r="B196" s="7" t="s">
        <v>139</v>
      </c>
      <c r="C196" s="7" t="s">
        <v>643</v>
      </c>
      <c r="D196" s="7" t="s">
        <v>37</v>
      </c>
      <c r="E196" s="7" t="s">
        <v>2042</v>
      </c>
      <c r="F196" s="7" t="s">
        <v>577</v>
      </c>
      <c r="G196" s="7" t="s">
        <v>2624</v>
      </c>
      <c r="H196" s="7" t="s">
        <v>2625</v>
      </c>
      <c r="I196" s="7" t="s">
        <v>2626</v>
      </c>
      <c r="J196" s="7" t="s">
        <v>2627</v>
      </c>
      <c r="K196" s="7" t="s">
        <v>1739</v>
      </c>
      <c r="L196" s="7">
        <v>4</v>
      </c>
      <c r="M196" s="7"/>
      <c r="N196" s="7"/>
      <c r="O196" s="7">
        <v>4</v>
      </c>
      <c r="P196" s="7"/>
      <c r="Q196" s="7">
        <v>1</v>
      </c>
      <c r="R196" s="7">
        <v>3</v>
      </c>
      <c r="S196" s="7">
        <v>4</v>
      </c>
      <c r="T196" s="7" t="s">
        <v>1383</v>
      </c>
      <c r="U196" s="7" t="s">
        <v>1304</v>
      </c>
    </row>
    <row r="197" spans="1:21" x14ac:dyDescent="0.3">
      <c r="A197" s="6" t="s">
        <v>2628</v>
      </c>
      <c r="B197" s="7" t="s">
        <v>139</v>
      </c>
      <c r="C197" s="7" t="s">
        <v>643</v>
      </c>
      <c r="D197" s="7" t="s">
        <v>37</v>
      </c>
      <c r="E197" s="7" t="s">
        <v>2629</v>
      </c>
      <c r="F197" s="7" t="s">
        <v>1142</v>
      </c>
      <c r="G197" s="7" t="s">
        <v>2630</v>
      </c>
      <c r="H197" s="7" t="s">
        <v>2631</v>
      </c>
      <c r="I197" s="7" t="s">
        <v>2632</v>
      </c>
      <c r="J197" s="7" t="s">
        <v>2633</v>
      </c>
      <c r="K197" s="7" t="s">
        <v>1707</v>
      </c>
      <c r="L197" s="7">
        <v>6</v>
      </c>
      <c r="M197" s="7"/>
      <c r="N197" s="7"/>
      <c r="O197" s="7">
        <v>6</v>
      </c>
      <c r="P197" s="7"/>
      <c r="Q197" s="7">
        <v>2</v>
      </c>
      <c r="R197" s="7">
        <v>4</v>
      </c>
      <c r="S197" s="7">
        <v>6</v>
      </c>
      <c r="T197" s="7" t="s">
        <v>2634</v>
      </c>
      <c r="U197" s="7" t="s">
        <v>2635</v>
      </c>
    </row>
    <row r="198" spans="1:21" x14ac:dyDescent="0.3">
      <c r="A198" s="6" t="s">
        <v>2636</v>
      </c>
      <c r="B198" s="7" t="s">
        <v>2637</v>
      </c>
      <c r="C198" s="7" t="s">
        <v>2638</v>
      </c>
      <c r="D198" s="7" t="s">
        <v>38</v>
      </c>
      <c r="E198" s="7" t="s">
        <v>2639</v>
      </c>
      <c r="F198" s="7" t="s">
        <v>1142</v>
      </c>
      <c r="G198" s="7" t="s">
        <v>2640</v>
      </c>
      <c r="H198" s="7" t="s">
        <v>2641</v>
      </c>
      <c r="I198" s="7" t="s">
        <v>2642</v>
      </c>
      <c r="J198" s="7" t="s">
        <v>2643</v>
      </c>
      <c r="K198" s="7" t="s">
        <v>1707</v>
      </c>
      <c r="L198" s="7">
        <v>3</v>
      </c>
      <c r="M198" s="7"/>
      <c r="N198" s="7"/>
      <c r="O198" s="7">
        <v>3</v>
      </c>
      <c r="P198" s="7"/>
      <c r="Q198" s="7"/>
      <c r="R198" s="7">
        <v>3</v>
      </c>
      <c r="S198" s="7">
        <v>3</v>
      </c>
      <c r="T198" s="7" t="s">
        <v>2644</v>
      </c>
      <c r="U198" s="7" t="s">
        <v>1260</v>
      </c>
    </row>
  </sheetData>
  <hyperlinks>
    <hyperlink ref="A1" location="'Dashboard-R'!A1" display="⬅️ Dashboard Principal"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
  <sheetViews>
    <sheetView showGridLines="0" showRowColHeaders="0" workbookViewId="0"/>
  </sheetViews>
  <sheetFormatPr baseColWidth="10" defaultColWidth="8.88671875" defaultRowHeight="14.4" x14ac:dyDescent="0.3"/>
  <cols>
    <col min="1" max="1" width="13" customWidth="1"/>
    <col min="2" max="2" width="8" customWidth="1"/>
    <col min="3" max="3" width="12" customWidth="1"/>
    <col min="4" max="4" width="15" customWidth="1"/>
    <col min="5" max="6" width="23" customWidth="1"/>
    <col min="7" max="7" width="50" customWidth="1"/>
    <col min="8" max="8" width="16" customWidth="1"/>
    <col min="9" max="9" width="20" customWidth="1"/>
    <col min="10" max="10" width="17" customWidth="1"/>
    <col min="11" max="11" width="14" customWidth="1"/>
    <col min="12" max="12" width="13" customWidth="1"/>
    <col min="13" max="13" width="24" customWidth="1"/>
  </cols>
  <sheetData>
    <row r="1" spans="1:11" ht="30" customHeight="1" x14ac:dyDescent="0.3">
      <c r="A1" s="1" t="s">
        <v>0</v>
      </c>
      <c r="B1" s="2"/>
      <c r="C1" s="2"/>
      <c r="D1" s="2"/>
      <c r="E1" s="2"/>
      <c r="F1" s="2"/>
      <c r="G1" s="2"/>
      <c r="H1" s="2"/>
      <c r="I1" s="2"/>
      <c r="J1" s="2"/>
      <c r="K1" s="3" t="s">
        <v>1</v>
      </c>
    </row>
    <row r="2" spans="1:11" ht="25.05" customHeight="1" x14ac:dyDescent="0.3">
      <c r="A2" s="4" t="s">
        <v>129</v>
      </c>
      <c r="B2" s="5" t="s">
        <v>130</v>
      </c>
      <c r="C2" s="5" t="s">
        <v>131</v>
      </c>
      <c r="D2" s="5" t="s">
        <v>132</v>
      </c>
      <c r="E2" s="5" t="s">
        <v>133</v>
      </c>
      <c r="F2" s="5" t="s">
        <v>134</v>
      </c>
      <c r="G2" s="5" t="s">
        <v>50</v>
      </c>
      <c r="H2" s="5" t="s">
        <v>135</v>
      </c>
      <c r="I2" s="5" t="s">
        <v>136</v>
      </c>
      <c r="J2" s="5" t="s">
        <v>137</v>
      </c>
      <c r="K2" s="5" t="s">
        <v>2645</v>
      </c>
    </row>
    <row r="3" spans="1:11" x14ac:dyDescent="0.3">
      <c r="A3" s="6" t="s">
        <v>2646</v>
      </c>
      <c r="B3" s="7" t="s">
        <v>139</v>
      </c>
      <c r="C3" s="7" t="s">
        <v>643</v>
      </c>
      <c r="D3" s="7" t="s">
        <v>2647</v>
      </c>
      <c r="E3" s="7" t="s">
        <v>638</v>
      </c>
      <c r="F3" s="7"/>
      <c r="G3" s="7"/>
      <c r="H3" s="7"/>
      <c r="I3" s="7" t="s">
        <v>1154</v>
      </c>
      <c r="J3" s="7"/>
      <c r="K3" s="7" t="s">
        <v>2648</v>
      </c>
    </row>
    <row r="4" spans="1:11" x14ac:dyDescent="0.3">
      <c r="A4" s="6" t="s">
        <v>2649</v>
      </c>
      <c r="B4" s="7" t="s">
        <v>139</v>
      </c>
      <c r="C4" s="7" t="s">
        <v>643</v>
      </c>
      <c r="D4" s="7" t="s">
        <v>2650</v>
      </c>
      <c r="E4" s="7" t="s">
        <v>638</v>
      </c>
      <c r="F4" s="7"/>
      <c r="G4" s="7"/>
      <c r="H4" s="7"/>
      <c r="I4" s="7" t="s">
        <v>1154</v>
      </c>
      <c r="J4" s="7"/>
      <c r="K4" s="7" t="s">
        <v>2648</v>
      </c>
    </row>
    <row r="5" spans="1:11" x14ac:dyDescent="0.3">
      <c r="A5" s="6" t="s">
        <v>2651</v>
      </c>
      <c r="B5" s="7" t="s">
        <v>139</v>
      </c>
      <c r="C5" s="7" t="s">
        <v>2273</v>
      </c>
      <c r="D5" s="7" t="s">
        <v>22</v>
      </c>
      <c r="E5" s="7" t="s">
        <v>2652</v>
      </c>
      <c r="F5" s="7"/>
      <c r="G5" s="7"/>
      <c r="H5" s="7">
        <v>1</v>
      </c>
      <c r="I5" s="7" t="s">
        <v>940</v>
      </c>
      <c r="J5" s="7"/>
      <c r="K5" s="7" t="s">
        <v>2648</v>
      </c>
    </row>
    <row r="6" spans="1:11" x14ac:dyDescent="0.3">
      <c r="A6" s="6" t="s">
        <v>2653</v>
      </c>
      <c r="B6" s="7" t="s">
        <v>139</v>
      </c>
      <c r="C6" s="7" t="s">
        <v>2273</v>
      </c>
      <c r="D6" s="7" t="s">
        <v>22</v>
      </c>
      <c r="E6" s="7" t="s">
        <v>2654</v>
      </c>
      <c r="F6" s="7"/>
      <c r="G6" s="7"/>
      <c r="H6" s="7">
        <v>3</v>
      </c>
      <c r="I6" s="7" t="s">
        <v>1341</v>
      </c>
      <c r="J6" s="7"/>
      <c r="K6" s="7" t="s">
        <v>2648</v>
      </c>
    </row>
    <row r="7" spans="1:11" x14ac:dyDescent="0.3">
      <c r="A7" s="6" t="s">
        <v>2655</v>
      </c>
      <c r="B7" s="7" t="s">
        <v>139</v>
      </c>
      <c r="C7" s="7" t="s">
        <v>2273</v>
      </c>
      <c r="D7" s="7" t="s">
        <v>22</v>
      </c>
      <c r="E7" s="7" t="s">
        <v>2654</v>
      </c>
      <c r="F7" s="7"/>
      <c r="G7" s="7"/>
      <c r="H7" s="7">
        <v>11</v>
      </c>
      <c r="I7" s="7" t="s">
        <v>1341</v>
      </c>
      <c r="J7" s="7"/>
      <c r="K7" s="7" t="s">
        <v>2648</v>
      </c>
    </row>
    <row r="8" spans="1:11" x14ac:dyDescent="0.3">
      <c r="A8" s="6" t="s">
        <v>2656</v>
      </c>
      <c r="B8" s="7" t="s">
        <v>139</v>
      </c>
      <c r="C8" s="7" t="s">
        <v>2273</v>
      </c>
      <c r="D8" s="7" t="s">
        <v>22</v>
      </c>
      <c r="E8" s="7" t="s">
        <v>2654</v>
      </c>
      <c r="F8" s="7"/>
      <c r="G8" s="7"/>
      <c r="H8" s="7">
        <v>3</v>
      </c>
      <c r="I8" s="7" t="s">
        <v>1341</v>
      </c>
      <c r="J8" s="7"/>
      <c r="K8" s="7" t="s">
        <v>2648</v>
      </c>
    </row>
    <row r="9" spans="1:11" x14ac:dyDescent="0.3">
      <c r="A9" s="6" t="s">
        <v>2657</v>
      </c>
      <c r="B9" s="7" t="s">
        <v>139</v>
      </c>
      <c r="C9" s="7" t="s">
        <v>2273</v>
      </c>
      <c r="D9" s="7" t="s">
        <v>22</v>
      </c>
      <c r="E9" s="7" t="s">
        <v>2658</v>
      </c>
      <c r="F9" s="7"/>
      <c r="G9" s="7"/>
      <c r="H9" s="7">
        <v>3</v>
      </c>
      <c r="I9" s="7" t="s">
        <v>1341</v>
      </c>
      <c r="J9" s="7"/>
      <c r="K9" s="7" t="s">
        <v>2648</v>
      </c>
    </row>
    <row r="10" spans="1:11" x14ac:dyDescent="0.3">
      <c r="A10" s="6" t="s">
        <v>2659</v>
      </c>
      <c r="B10" s="7" t="s">
        <v>139</v>
      </c>
      <c r="C10" s="7" t="s">
        <v>2273</v>
      </c>
      <c r="D10" s="7" t="s">
        <v>22</v>
      </c>
      <c r="E10" s="7" t="s">
        <v>2660</v>
      </c>
      <c r="F10" s="7"/>
      <c r="G10" s="7"/>
      <c r="H10" s="7">
        <v>2</v>
      </c>
      <c r="I10" s="7" t="s">
        <v>75</v>
      </c>
      <c r="J10" s="7"/>
      <c r="K10" s="7" t="s">
        <v>2648</v>
      </c>
    </row>
    <row r="11" spans="1:11" x14ac:dyDescent="0.3">
      <c r="A11" s="6" t="s">
        <v>2661</v>
      </c>
      <c r="B11" s="7" t="s">
        <v>139</v>
      </c>
      <c r="C11" s="7" t="s">
        <v>2273</v>
      </c>
      <c r="D11" s="7" t="s">
        <v>22</v>
      </c>
      <c r="E11" s="7" t="s">
        <v>2662</v>
      </c>
      <c r="F11" s="7"/>
      <c r="G11" s="7"/>
      <c r="H11" s="7">
        <v>29</v>
      </c>
      <c r="I11" s="7" t="s">
        <v>75</v>
      </c>
      <c r="J11" s="7"/>
      <c r="K11" s="7" t="s">
        <v>2648</v>
      </c>
    </row>
    <row r="12" spans="1:11" x14ac:dyDescent="0.3">
      <c r="A12" s="6" t="s">
        <v>2663</v>
      </c>
      <c r="B12" s="7" t="s">
        <v>139</v>
      </c>
      <c r="C12" s="7"/>
      <c r="D12" s="7" t="s">
        <v>35</v>
      </c>
      <c r="E12" s="7" t="s">
        <v>2664</v>
      </c>
      <c r="F12" s="7" t="s">
        <v>2665</v>
      </c>
      <c r="G12" s="7"/>
      <c r="H12" s="7">
        <v>23</v>
      </c>
      <c r="I12" s="7"/>
      <c r="J12" s="7"/>
      <c r="K12" s="7" t="s">
        <v>2648</v>
      </c>
    </row>
    <row r="13" spans="1:11" x14ac:dyDescent="0.3">
      <c r="A13" s="6" t="s">
        <v>2666</v>
      </c>
      <c r="B13" s="7" t="s">
        <v>139</v>
      </c>
      <c r="C13" s="7"/>
      <c r="D13" s="7" t="s">
        <v>35</v>
      </c>
      <c r="E13" s="7" t="s">
        <v>2667</v>
      </c>
      <c r="F13" s="7" t="s">
        <v>2668</v>
      </c>
      <c r="G13" s="7"/>
      <c r="H13" s="7">
        <v>1</v>
      </c>
      <c r="I13" s="7" t="s">
        <v>411</v>
      </c>
      <c r="J13" s="7"/>
      <c r="K13" s="7" t="s">
        <v>2648</v>
      </c>
    </row>
    <row r="14" spans="1:11" x14ac:dyDescent="0.3">
      <c r="A14" s="6" t="s">
        <v>2669</v>
      </c>
      <c r="B14" s="7" t="s">
        <v>139</v>
      </c>
      <c r="C14" s="7"/>
      <c r="D14" s="7" t="s">
        <v>35</v>
      </c>
      <c r="E14" s="7" t="s">
        <v>2670</v>
      </c>
      <c r="F14" s="7" t="s">
        <v>2671</v>
      </c>
      <c r="G14" s="7"/>
      <c r="H14" s="7">
        <v>5</v>
      </c>
      <c r="I14" s="7" t="s">
        <v>2672</v>
      </c>
      <c r="J14" s="7" t="s">
        <v>174</v>
      </c>
      <c r="K14" s="7" t="s">
        <v>2648</v>
      </c>
    </row>
    <row r="15" spans="1:11" x14ac:dyDescent="0.3">
      <c r="A15" s="6" t="s">
        <v>2673</v>
      </c>
      <c r="B15" s="7" t="s">
        <v>1334</v>
      </c>
      <c r="C15" s="7" t="s">
        <v>1156</v>
      </c>
      <c r="D15" s="7" t="s">
        <v>25</v>
      </c>
      <c r="E15" s="7" t="s">
        <v>2674</v>
      </c>
      <c r="F15" s="7" t="s">
        <v>2675</v>
      </c>
      <c r="G15" s="7" t="s">
        <v>2676</v>
      </c>
      <c r="H15" s="7">
        <v>12</v>
      </c>
      <c r="I15" s="7"/>
      <c r="J15" s="7"/>
      <c r="K15" s="7" t="s">
        <v>2677</v>
      </c>
    </row>
    <row r="16" spans="1:11" x14ac:dyDescent="0.3">
      <c r="A16" s="6" t="s">
        <v>2678</v>
      </c>
      <c r="B16" s="7" t="s">
        <v>139</v>
      </c>
      <c r="C16" s="7" t="s">
        <v>643</v>
      </c>
      <c r="D16" s="7" t="s">
        <v>27</v>
      </c>
      <c r="E16" s="7" t="s">
        <v>2679</v>
      </c>
      <c r="F16" s="7" t="s">
        <v>2680</v>
      </c>
      <c r="G16" s="7"/>
      <c r="H16" s="7"/>
      <c r="I16" s="7" t="s">
        <v>1304</v>
      </c>
      <c r="J16" s="7" t="s">
        <v>662</v>
      </c>
      <c r="K16" s="7" t="s">
        <v>2648</v>
      </c>
    </row>
    <row r="17" spans="1:11" x14ac:dyDescent="0.3">
      <c r="A17" s="6" t="s">
        <v>2681</v>
      </c>
      <c r="B17" s="7" t="s">
        <v>139</v>
      </c>
      <c r="C17" s="7" t="s">
        <v>643</v>
      </c>
      <c r="D17" s="7" t="s">
        <v>32</v>
      </c>
      <c r="E17" s="7" t="s">
        <v>2682</v>
      </c>
      <c r="F17" s="7" t="s">
        <v>2683</v>
      </c>
      <c r="G17" s="7"/>
      <c r="H17" s="7">
        <v>3</v>
      </c>
      <c r="I17" s="7" t="s">
        <v>2684</v>
      </c>
      <c r="J17" s="7" t="s">
        <v>174</v>
      </c>
      <c r="K17" s="7" t="s">
        <v>2648</v>
      </c>
    </row>
    <row r="18" spans="1:11" x14ac:dyDescent="0.3">
      <c r="A18" s="6" t="s">
        <v>2685</v>
      </c>
      <c r="B18" s="7" t="s">
        <v>139</v>
      </c>
      <c r="C18" s="7" t="s">
        <v>643</v>
      </c>
      <c r="D18" s="7" t="s">
        <v>32</v>
      </c>
      <c r="E18" s="7" t="s">
        <v>2686</v>
      </c>
      <c r="F18" s="7" t="s">
        <v>2687</v>
      </c>
      <c r="G18" s="7"/>
      <c r="H18" s="7">
        <v>6</v>
      </c>
      <c r="I18" s="7" t="s">
        <v>75</v>
      </c>
      <c r="J18" s="7" t="s">
        <v>174</v>
      </c>
      <c r="K18" s="7" t="s">
        <v>2648</v>
      </c>
    </row>
    <row r="19" spans="1:11" x14ac:dyDescent="0.3">
      <c r="A19" s="6" t="s">
        <v>2688</v>
      </c>
      <c r="B19" s="7" t="s">
        <v>139</v>
      </c>
      <c r="C19" s="7" t="s">
        <v>643</v>
      </c>
      <c r="D19" s="7" t="s">
        <v>32</v>
      </c>
      <c r="E19" s="7" t="s">
        <v>2689</v>
      </c>
      <c r="F19" s="7" t="s">
        <v>2690</v>
      </c>
      <c r="G19" s="7"/>
      <c r="H19" s="7">
        <v>10</v>
      </c>
      <c r="I19" s="7" t="s">
        <v>418</v>
      </c>
      <c r="J19" s="7" t="s">
        <v>174</v>
      </c>
      <c r="K19" s="7" t="s">
        <v>2648</v>
      </c>
    </row>
    <row r="20" spans="1:11" x14ac:dyDescent="0.3">
      <c r="A20" s="6" t="s">
        <v>2691</v>
      </c>
      <c r="B20" s="7" t="s">
        <v>139</v>
      </c>
      <c r="C20" s="7" t="s">
        <v>643</v>
      </c>
      <c r="D20" s="7" t="s">
        <v>32</v>
      </c>
      <c r="E20" s="7" t="s">
        <v>2689</v>
      </c>
      <c r="F20" s="7"/>
      <c r="G20" s="7"/>
      <c r="H20" s="7">
        <v>146</v>
      </c>
      <c r="I20" s="7"/>
      <c r="J20" s="7"/>
      <c r="K20" s="7" t="s">
        <v>2648</v>
      </c>
    </row>
    <row r="21" spans="1:11" x14ac:dyDescent="0.3">
      <c r="A21" s="6" t="s">
        <v>2692</v>
      </c>
      <c r="B21" s="7" t="s">
        <v>139</v>
      </c>
      <c r="C21" s="7" t="s">
        <v>643</v>
      </c>
      <c r="D21" s="7" t="s">
        <v>37</v>
      </c>
      <c r="E21" s="7" t="s">
        <v>2654</v>
      </c>
      <c r="F21" s="7" t="s">
        <v>366</v>
      </c>
      <c r="G21" s="7"/>
      <c r="H21" s="7">
        <v>1</v>
      </c>
      <c r="I21" s="7" t="s">
        <v>2323</v>
      </c>
      <c r="J21" s="7" t="s">
        <v>208</v>
      </c>
      <c r="K21" s="7" t="s">
        <v>2648</v>
      </c>
    </row>
    <row r="22" spans="1:11" x14ac:dyDescent="0.3">
      <c r="A22" s="6" t="s">
        <v>2693</v>
      </c>
      <c r="B22" s="7" t="s">
        <v>139</v>
      </c>
      <c r="C22" s="7" t="s">
        <v>643</v>
      </c>
      <c r="D22" s="7" t="s">
        <v>37</v>
      </c>
      <c r="E22" s="7" t="s">
        <v>2694</v>
      </c>
      <c r="F22" s="7"/>
      <c r="G22" s="7"/>
      <c r="H22" s="7">
        <v>1</v>
      </c>
      <c r="I22" s="7"/>
      <c r="J22" s="7"/>
      <c r="K22" s="7" t="s">
        <v>2648</v>
      </c>
    </row>
    <row r="23" spans="1:11" x14ac:dyDescent="0.3">
      <c r="A23" s="6" t="s">
        <v>2695</v>
      </c>
      <c r="B23" s="7"/>
      <c r="C23" s="7"/>
      <c r="D23" s="7" t="s">
        <v>35</v>
      </c>
      <c r="E23" s="7"/>
      <c r="F23" s="7"/>
      <c r="G23" s="7"/>
      <c r="H23" s="7">
        <v>8047</v>
      </c>
      <c r="I23" s="7"/>
      <c r="J23" s="7"/>
      <c r="K23" s="7" t="s">
        <v>2648</v>
      </c>
    </row>
  </sheetData>
  <hyperlinks>
    <hyperlink ref="A1" location="'Dashboard-R'!A1" display="⬅️ Dashboard Principal" xr:uid="{00000000-0004-0000-06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6"/>
  <sheetViews>
    <sheetView showGridLines="0" showRowColHeaders="0" workbookViewId="0"/>
  </sheetViews>
  <sheetFormatPr baseColWidth="10" defaultColWidth="8.88671875" defaultRowHeight="14.4" x14ac:dyDescent="0.3"/>
  <cols>
    <col min="1" max="1" width="26" customWidth="1"/>
    <col min="2" max="3" width="22" customWidth="1"/>
    <col min="4" max="4" width="50" customWidth="1"/>
    <col min="5" max="5" width="14" customWidth="1"/>
    <col min="6" max="6" width="20" customWidth="1"/>
    <col min="7" max="7" width="17" customWidth="1"/>
    <col min="8" max="8" width="14" customWidth="1"/>
    <col min="9" max="9" width="13" customWidth="1"/>
    <col min="10" max="10" width="8" customWidth="1"/>
  </cols>
  <sheetData>
    <row r="1" spans="1:9" ht="30" customHeight="1" x14ac:dyDescent="0.3">
      <c r="A1" s="1" t="s">
        <v>0</v>
      </c>
      <c r="B1" s="2"/>
      <c r="C1" s="2"/>
      <c r="D1" s="2"/>
      <c r="E1" s="2"/>
      <c r="F1" s="2"/>
      <c r="G1" s="2"/>
      <c r="H1" s="2"/>
      <c r="I1" s="3" t="s">
        <v>1</v>
      </c>
    </row>
    <row r="2" spans="1:9" ht="25.05" customHeight="1" x14ac:dyDescent="0.3">
      <c r="A2" s="4" t="s">
        <v>131</v>
      </c>
      <c r="B2" s="5" t="s">
        <v>132</v>
      </c>
      <c r="C2" s="5" t="s">
        <v>133</v>
      </c>
      <c r="D2" s="5" t="s">
        <v>134</v>
      </c>
      <c r="E2" s="5" t="s">
        <v>50</v>
      </c>
      <c r="F2" s="5" t="s">
        <v>135</v>
      </c>
      <c r="G2" s="5" t="s">
        <v>136</v>
      </c>
      <c r="H2" s="5" t="s">
        <v>137</v>
      </c>
      <c r="I2" s="5" t="s">
        <v>2645</v>
      </c>
    </row>
    <row r="3" spans="1:9" x14ac:dyDescent="0.3">
      <c r="A3" s="6" t="s">
        <v>2696</v>
      </c>
      <c r="B3" s="7" t="s">
        <v>12</v>
      </c>
      <c r="C3" s="7" t="s">
        <v>2697</v>
      </c>
      <c r="D3" s="7" t="s">
        <v>2698</v>
      </c>
      <c r="E3" s="7"/>
      <c r="F3" s="7">
        <v>2</v>
      </c>
      <c r="G3" s="7" t="s">
        <v>2699</v>
      </c>
      <c r="H3" s="7" t="s">
        <v>2175</v>
      </c>
      <c r="I3" s="7" t="s">
        <v>2648</v>
      </c>
    </row>
    <row r="4" spans="1:9" x14ac:dyDescent="0.3">
      <c r="A4" s="6" t="s">
        <v>2696</v>
      </c>
      <c r="B4" s="7" t="s">
        <v>32</v>
      </c>
      <c r="C4" s="7" t="s">
        <v>2700</v>
      </c>
      <c r="D4" s="7" t="s">
        <v>2701</v>
      </c>
      <c r="E4" s="7"/>
      <c r="F4" s="7">
        <v>12</v>
      </c>
      <c r="G4" s="7" t="s">
        <v>315</v>
      </c>
      <c r="H4" s="7" t="s">
        <v>174</v>
      </c>
      <c r="I4" s="7" t="s">
        <v>2648</v>
      </c>
    </row>
    <row r="5" spans="1:9" x14ac:dyDescent="0.3">
      <c r="A5" s="6" t="s">
        <v>2696</v>
      </c>
      <c r="B5" s="7" t="s">
        <v>32</v>
      </c>
      <c r="C5" s="7" t="s">
        <v>2702</v>
      </c>
      <c r="D5" s="7" t="s">
        <v>510</v>
      </c>
      <c r="E5" s="7"/>
      <c r="F5" s="7">
        <v>10</v>
      </c>
      <c r="G5" s="7" t="s">
        <v>418</v>
      </c>
      <c r="H5" s="7" t="s">
        <v>174</v>
      </c>
      <c r="I5" s="7" t="s">
        <v>2648</v>
      </c>
    </row>
    <row r="6" spans="1:9" x14ac:dyDescent="0.3">
      <c r="A6" s="6" t="s">
        <v>2696</v>
      </c>
      <c r="B6" s="7" t="s">
        <v>32</v>
      </c>
      <c r="C6" s="7" t="s">
        <v>2702</v>
      </c>
      <c r="D6" s="7" t="s">
        <v>510</v>
      </c>
      <c r="E6" s="7"/>
      <c r="F6" s="7">
        <v>94</v>
      </c>
      <c r="G6" s="7" t="s">
        <v>315</v>
      </c>
      <c r="H6" s="7" t="s">
        <v>174</v>
      </c>
      <c r="I6" s="7" t="s">
        <v>2648</v>
      </c>
    </row>
  </sheetData>
  <hyperlinks>
    <hyperlink ref="A1" location="'Dashboard-R'!A1" display="⬅️ Dashboard Principal" xr:uid="{00000000-0004-0000-0700-000000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66"/>
  <sheetViews>
    <sheetView showGridLines="0" showRowColHeaders="0" workbookViewId="0"/>
  </sheetViews>
  <sheetFormatPr baseColWidth="10" defaultColWidth="8.88671875" defaultRowHeight="14.4" x14ac:dyDescent="0.3"/>
  <sheetData>
    <row r="1" spans="1:10" ht="30" customHeight="1" x14ac:dyDescent="0.3">
      <c r="A1" s="1" t="s">
        <v>0</v>
      </c>
      <c r="B1" s="2"/>
      <c r="C1" s="2"/>
      <c r="D1" s="2"/>
      <c r="E1" s="2"/>
      <c r="F1" s="2"/>
      <c r="G1" s="2"/>
      <c r="H1" s="2"/>
      <c r="I1" s="2"/>
      <c r="J1" s="3" t="s">
        <v>1</v>
      </c>
    </row>
    <row r="2" spans="1:10" ht="25.05" customHeight="1" x14ac:dyDescent="0.3">
      <c r="A2" s="4" t="s">
        <v>129</v>
      </c>
      <c r="B2" s="5" t="s">
        <v>130</v>
      </c>
      <c r="C2" s="5" t="s">
        <v>131</v>
      </c>
      <c r="D2" s="5" t="s">
        <v>132</v>
      </c>
      <c r="E2" s="5" t="s">
        <v>133</v>
      </c>
      <c r="F2" s="5" t="s">
        <v>134</v>
      </c>
      <c r="G2" s="5" t="s">
        <v>50</v>
      </c>
      <c r="H2" s="5" t="s">
        <v>135</v>
      </c>
      <c r="I2" s="5" t="s">
        <v>136</v>
      </c>
      <c r="J2" s="5" t="s">
        <v>137</v>
      </c>
    </row>
    <row r="3" spans="1:10" x14ac:dyDescent="0.3">
      <c r="A3" s="6" t="s">
        <v>1888</v>
      </c>
      <c r="B3" s="7" t="s">
        <v>139</v>
      </c>
      <c r="C3" s="7" t="s">
        <v>1156</v>
      </c>
      <c r="D3" s="7" t="s">
        <v>18</v>
      </c>
      <c r="E3" s="7" t="s">
        <v>1889</v>
      </c>
      <c r="F3" s="7" t="s">
        <v>1890</v>
      </c>
      <c r="G3" s="7" t="s">
        <v>1891</v>
      </c>
      <c r="H3" s="7">
        <v>1</v>
      </c>
      <c r="I3" s="7" t="s">
        <v>1895</v>
      </c>
      <c r="J3" s="7" t="s">
        <v>174</v>
      </c>
    </row>
    <row r="4" spans="1:10" x14ac:dyDescent="0.3">
      <c r="A4" s="6" t="s">
        <v>1992</v>
      </c>
      <c r="B4" s="7" t="s">
        <v>139</v>
      </c>
      <c r="C4" s="7" t="s">
        <v>1156</v>
      </c>
      <c r="D4" s="7" t="s">
        <v>18</v>
      </c>
      <c r="E4" s="7" t="s">
        <v>1993</v>
      </c>
      <c r="F4" s="7" t="s">
        <v>540</v>
      </c>
      <c r="G4" s="7" t="s">
        <v>1994</v>
      </c>
      <c r="H4" s="7">
        <v>1</v>
      </c>
      <c r="I4" s="7" t="s">
        <v>1996</v>
      </c>
      <c r="J4" s="7" t="s">
        <v>174</v>
      </c>
    </row>
    <row r="5" spans="1:10" x14ac:dyDescent="0.3">
      <c r="A5" s="6" t="s">
        <v>1162</v>
      </c>
      <c r="B5" s="7" t="s">
        <v>139</v>
      </c>
      <c r="C5" s="7" t="s">
        <v>1156</v>
      </c>
      <c r="D5" s="7" t="s">
        <v>18</v>
      </c>
      <c r="E5" s="7" t="s">
        <v>1163</v>
      </c>
      <c r="F5" s="7" t="s">
        <v>1164</v>
      </c>
      <c r="G5" s="7" t="s">
        <v>1165</v>
      </c>
      <c r="H5" s="7">
        <v>1</v>
      </c>
      <c r="I5" s="7" t="s">
        <v>1166</v>
      </c>
      <c r="J5" s="7" t="s">
        <v>174</v>
      </c>
    </row>
    <row r="6" spans="1:10" x14ac:dyDescent="0.3">
      <c r="A6" s="6" t="s">
        <v>2303</v>
      </c>
      <c r="B6" s="7" t="s">
        <v>1334</v>
      </c>
      <c r="C6" s="7" t="s">
        <v>1156</v>
      </c>
      <c r="D6" s="7" t="s">
        <v>25</v>
      </c>
      <c r="E6" s="7" t="s">
        <v>2304</v>
      </c>
      <c r="F6" s="7" t="s">
        <v>2305</v>
      </c>
      <c r="G6" s="7" t="s">
        <v>2306</v>
      </c>
      <c r="H6" s="7">
        <v>2</v>
      </c>
      <c r="I6" s="7" t="s">
        <v>390</v>
      </c>
      <c r="J6" s="7" t="s">
        <v>542</v>
      </c>
    </row>
    <row r="7" spans="1:10" x14ac:dyDescent="0.3">
      <c r="A7" s="6" t="s">
        <v>2209</v>
      </c>
      <c r="B7" s="7" t="s">
        <v>139</v>
      </c>
      <c r="C7" s="7" t="s">
        <v>2049</v>
      </c>
      <c r="D7" s="7" t="s">
        <v>21</v>
      </c>
      <c r="E7" s="7" t="s">
        <v>62</v>
      </c>
      <c r="F7" s="7"/>
      <c r="G7" s="7" t="s">
        <v>61</v>
      </c>
      <c r="H7" s="7">
        <v>2</v>
      </c>
      <c r="I7" s="7" t="s">
        <v>63</v>
      </c>
      <c r="J7" s="7" t="s">
        <v>2205</v>
      </c>
    </row>
    <row r="8" spans="1:10" x14ac:dyDescent="0.3">
      <c r="A8" s="6" t="s">
        <v>2210</v>
      </c>
      <c r="B8" s="7" t="s">
        <v>139</v>
      </c>
      <c r="C8" s="7" t="s">
        <v>2049</v>
      </c>
      <c r="D8" s="7" t="s">
        <v>21</v>
      </c>
      <c r="E8" s="7" t="s">
        <v>62</v>
      </c>
      <c r="F8" s="7" t="s">
        <v>2211</v>
      </c>
      <c r="G8" s="7" t="s">
        <v>61</v>
      </c>
      <c r="H8" s="7">
        <v>4</v>
      </c>
      <c r="I8" s="7" t="s">
        <v>63</v>
      </c>
      <c r="J8" s="7" t="s">
        <v>2205</v>
      </c>
    </row>
    <row r="9" spans="1:10" x14ac:dyDescent="0.3">
      <c r="A9" s="6" t="s">
        <v>2212</v>
      </c>
      <c r="B9" s="7" t="s">
        <v>139</v>
      </c>
      <c r="C9" s="7" t="s">
        <v>2049</v>
      </c>
      <c r="D9" s="7" t="s">
        <v>21</v>
      </c>
      <c r="E9" s="7" t="s">
        <v>62</v>
      </c>
      <c r="F9" s="7" t="s">
        <v>2213</v>
      </c>
      <c r="G9" s="7" t="s">
        <v>61</v>
      </c>
      <c r="H9" s="7">
        <v>13</v>
      </c>
      <c r="I9" s="7" t="s">
        <v>63</v>
      </c>
      <c r="J9" s="7" t="s">
        <v>2205</v>
      </c>
    </row>
    <row r="10" spans="1:10" x14ac:dyDescent="0.3">
      <c r="A10" s="6" t="s">
        <v>2207</v>
      </c>
      <c r="B10" s="7" t="s">
        <v>139</v>
      </c>
      <c r="C10" s="7" t="s">
        <v>2049</v>
      </c>
      <c r="D10" s="7" t="s">
        <v>21</v>
      </c>
      <c r="E10" s="7" t="s">
        <v>62</v>
      </c>
      <c r="F10" s="7"/>
      <c r="G10" s="7" t="s">
        <v>61</v>
      </c>
      <c r="H10" s="7">
        <v>10</v>
      </c>
      <c r="I10" s="7" t="s">
        <v>63</v>
      </c>
      <c r="J10" s="7" t="s">
        <v>2205</v>
      </c>
    </row>
    <row r="11" spans="1:10" x14ac:dyDescent="0.3">
      <c r="A11" s="6" t="s">
        <v>2206</v>
      </c>
      <c r="B11" s="7" t="s">
        <v>139</v>
      </c>
      <c r="C11" s="7" t="s">
        <v>2049</v>
      </c>
      <c r="D11" s="7" t="s">
        <v>21</v>
      </c>
      <c r="E11" s="7" t="s">
        <v>62</v>
      </c>
      <c r="F11" s="7" t="s">
        <v>2177</v>
      </c>
      <c r="G11" s="7" t="s">
        <v>61</v>
      </c>
      <c r="H11" s="7">
        <v>8</v>
      </c>
      <c r="I11" s="7" t="s">
        <v>63</v>
      </c>
      <c r="J11" s="7" t="s">
        <v>2205</v>
      </c>
    </row>
    <row r="12" spans="1:10" x14ac:dyDescent="0.3">
      <c r="A12" s="6" t="s">
        <v>2202</v>
      </c>
      <c r="B12" s="7" t="s">
        <v>139</v>
      </c>
      <c r="C12" s="7" t="s">
        <v>2049</v>
      </c>
      <c r="D12" s="7" t="s">
        <v>21</v>
      </c>
      <c r="E12" s="7" t="s">
        <v>62</v>
      </c>
      <c r="F12" s="7" t="s">
        <v>1983</v>
      </c>
      <c r="G12" s="7" t="s">
        <v>61</v>
      </c>
      <c r="H12" s="7">
        <v>291</v>
      </c>
      <c r="I12" s="7" t="s">
        <v>63</v>
      </c>
      <c r="J12" s="7" t="s">
        <v>2205</v>
      </c>
    </row>
    <row r="13" spans="1:10" x14ac:dyDescent="0.3">
      <c r="A13" s="6" t="s">
        <v>2208</v>
      </c>
      <c r="B13" s="7" t="s">
        <v>139</v>
      </c>
      <c r="C13" s="7" t="s">
        <v>2049</v>
      </c>
      <c r="D13" s="7" t="s">
        <v>21</v>
      </c>
      <c r="E13" s="7" t="s">
        <v>62</v>
      </c>
      <c r="F13" s="7" t="s">
        <v>965</v>
      </c>
      <c r="G13" s="7" t="s">
        <v>61</v>
      </c>
      <c r="H13" s="7">
        <v>2</v>
      </c>
      <c r="I13" s="7" t="s">
        <v>63</v>
      </c>
      <c r="J13" s="7" t="s">
        <v>2205</v>
      </c>
    </row>
    <row r="14" spans="1:10" x14ac:dyDescent="0.3">
      <c r="A14" s="6" t="s">
        <v>1118</v>
      </c>
      <c r="B14" s="7" t="s">
        <v>139</v>
      </c>
      <c r="C14" s="7" t="s">
        <v>773</v>
      </c>
      <c r="D14" s="7" t="s">
        <v>16</v>
      </c>
      <c r="E14" s="7" t="s">
        <v>1119</v>
      </c>
      <c r="F14" s="7" t="s">
        <v>1120</v>
      </c>
      <c r="G14" s="7" t="s">
        <v>1121</v>
      </c>
      <c r="H14" s="7">
        <v>1</v>
      </c>
      <c r="I14" s="7" t="s">
        <v>876</v>
      </c>
      <c r="J14" s="7" t="s">
        <v>1122</v>
      </c>
    </row>
    <row r="15" spans="1:10" x14ac:dyDescent="0.3">
      <c r="A15" s="6" t="s">
        <v>1790</v>
      </c>
      <c r="B15" s="7" t="s">
        <v>139</v>
      </c>
      <c r="C15" s="7" t="s">
        <v>773</v>
      </c>
      <c r="D15" s="7" t="s">
        <v>16</v>
      </c>
      <c r="E15" s="7" t="s">
        <v>1791</v>
      </c>
      <c r="F15" s="7" t="s">
        <v>1792</v>
      </c>
      <c r="G15" s="7" t="s">
        <v>1793</v>
      </c>
      <c r="H15" s="7">
        <v>1</v>
      </c>
      <c r="I15" s="7" t="s">
        <v>876</v>
      </c>
      <c r="J15" s="7" t="s">
        <v>1122</v>
      </c>
    </row>
    <row r="16" spans="1:10" x14ac:dyDescent="0.3">
      <c r="A16" s="6" t="s">
        <v>1123</v>
      </c>
      <c r="B16" s="7" t="s">
        <v>139</v>
      </c>
      <c r="C16" s="7" t="s">
        <v>773</v>
      </c>
      <c r="D16" s="7" t="s">
        <v>16</v>
      </c>
      <c r="E16" s="7" t="s">
        <v>1124</v>
      </c>
      <c r="F16" s="7" t="s">
        <v>1125</v>
      </c>
      <c r="G16" s="7" t="s">
        <v>1126</v>
      </c>
      <c r="H16" s="7">
        <v>1</v>
      </c>
      <c r="I16" s="7" t="s">
        <v>876</v>
      </c>
      <c r="J16" s="7" t="s">
        <v>1122</v>
      </c>
    </row>
    <row r="17" spans="1:10" x14ac:dyDescent="0.3">
      <c r="A17" s="6" t="s">
        <v>2026</v>
      </c>
      <c r="B17" s="7" t="s">
        <v>139</v>
      </c>
      <c r="C17" s="7" t="s">
        <v>1156</v>
      </c>
      <c r="D17" s="7" t="s">
        <v>18</v>
      </c>
      <c r="E17" s="7" t="s">
        <v>2027</v>
      </c>
      <c r="F17" s="7" t="s">
        <v>2028</v>
      </c>
      <c r="G17" s="7" t="s">
        <v>2029</v>
      </c>
      <c r="H17" s="7">
        <v>10</v>
      </c>
      <c r="I17" s="7" t="s">
        <v>105</v>
      </c>
      <c r="J17" s="7" t="s">
        <v>174</v>
      </c>
    </row>
    <row r="18" spans="1:10" x14ac:dyDescent="0.3">
      <c r="A18" s="6" t="s">
        <v>728</v>
      </c>
      <c r="B18" s="7" t="s">
        <v>139</v>
      </c>
      <c r="C18" s="7" t="s">
        <v>643</v>
      </c>
      <c r="D18" s="7" t="s">
        <v>12</v>
      </c>
      <c r="E18" s="7" t="s">
        <v>729</v>
      </c>
      <c r="F18" s="7" t="s">
        <v>730</v>
      </c>
      <c r="G18" s="7" t="s">
        <v>731</v>
      </c>
      <c r="H18" s="7">
        <v>39</v>
      </c>
      <c r="I18" s="7" t="s">
        <v>732</v>
      </c>
      <c r="J18" s="7" t="s">
        <v>733</v>
      </c>
    </row>
    <row r="19" spans="1:10" x14ac:dyDescent="0.3">
      <c r="A19" s="6" t="s">
        <v>654</v>
      </c>
      <c r="B19" s="7" t="s">
        <v>139</v>
      </c>
      <c r="C19" s="7" t="s">
        <v>643</v>
      </c>
      <c r="D19" s="7" t="s">
        <v>12</v>
      </c>
      <c r="E19" s="7" t="s">
        <v>655</v>
      </c>
      <c r="F19" s="7" t="s">
        <v>656</v>
      </c>
      <c r="G19" s="7" t="s">
        <v>657</v>
      </c>
      <c r="H19" s="7">
        <v>2</v>
      </c>
      <c r="I19" s="7" t="s">
        <v>202</v>
      </c>
      <c r="J19" s="7" t="s">
        <v>658</v>
      </c>
    </row>
    <row r="20" spans="1:10" x14ac:dyDescent="0.3">
      <c r="A20" s="6" t="s">
        <v>1746</v>
      </c>
      <c r="B20" s="7" t="s">
        <v>139</v>
      </c>
      <c r="C20" s="7" t="s">
        <v>643</v>
      </c>
      <c r="D20" s="7" t="s">
        <v>12</v>
      </c>
      <c r="E20" s="7" t="s">
        <v>1747</v>
      </c>
      <c r="F20" s="7" t="s">
        <v>1748</v>
      </c>
      <c r="G20" s="7" t="s">
        <v>1749</v>
      </c>
      <c r="H20" s="7">
        <v>10</v>
      </c>
      <c r="I20" s="7" t="s">
        <v>1083</v>
      </c>
      <c r="J20" s="7" t="s">
        <v>1751</v>
      </c>
    </row>
    <row r="21" spans="1:10" x14ac:dyDescent="0.3">
      <c r="A21" s="6" t="s">
        <v>1896</v>
      </c>
      <c r="B21" s="7" t="s">
        <v>139</v>
      </c>
      <c r="C21" s="7" t="s">
        <v>1156</v>
      </c>
      <c r="D21" s="7" t="s">
        <v>18</v>
      </c>
      <c r="E21" s="7" t="s">
        <v>1897</v>
      </c>
      <c r="F21" s="7" t="s">
        <v>228</v>
      </c>
      <c r="G21" s="7" t="s">
        <v>1898</v>
      </c>
      <c r="H21" s="7">
        <v>17</v>
      </c>
      <c r="I21" s="7" t="s">
        <v>607</v>
      </c>
      <c r="J21" s="7" t="s">
        <v>847</v>
      </c>
    </row>
    <row r="22" spans="1:10" x14ac:dyDescent="0.3">
      <c r="A22" s="6" t="s">
        <v>1320</v>
      </c>
      <c r="B22" s="7" t="s">
        <v>139</v>
      </c>
      <c r="C22" s="7" t="s">
        <v>1156</v>
      </c>
      <c r="D22" s="7" t="s">
        <v>18</v>
      </c>
      <c r="E22" s="7" t="s">
        <v>1321</v>
      </c>
      <c r="F22" s="7" t="s">
        <v>1322</v>
      </c>
      <c r="G22" s="7" t="s">
        <v>1323</v>
      </c>
      <c r="H22" s="7">
        <v>28</v>
      </c>
      <c r="I22" s="7" t="s">
        <v>207</v>
      </c>
      <c r="J22" s="7" t="s">
        <v>1324</v>
      </c>
    </row>
    <row r="23" spans="1:10" x14ac:dyDescent="0.3">
      <c r="A23" s="6" t="s">
        <v>1902</v>
      </c>
      <c r="B23" s="7" t="s">
        <v>139</v>
      </c>
      <c r="C23" s="7" t="s">
        <v>1156</v>
      </c>
      <c r="D23" s="7" t="s">
        <v>18</v>
      </c>
      <c r="E23" s="7" t="s">
        <v>808</v>
      </c>
      <c r="F23" s="7" t="s">
        <v>809</v>
      </c>
      <c r="G23" s="7" t="s">
        <v>1903</v>
      </c>
      <c r="H23" s="7">
        <v>24</v>
      </c>
      <c r="I23" s="7" t="s">
        <v>1905</v>
      </c>
      <c r="J23" s="7" t="s">
        <v>149</v>
      </c>
    </row>
    <row r="24" spans="1:10" x14ac:dyDescent="0.3">
      <c r="A24" s="6" t="s">
        <v>892</v>
      </c>
      <c r="B24" s="7" t="s">
        <v>139</v>
      </c>
      <c r="C24" s="7" t="s">
        <v>773</v>
      </c>
      <c r="D24" s="7" t="s">
        <v>16</v>
      </c>
      <c r="E24" s="7" t="s">
        <v>357</v>
      </c>
      <c r="F24" s="7" t="s">
        <v>358</v>
      </c>
      <c r="G24" s="7" t="s">
        <v>893</v>
      </c>
      <c r="H24" s="7">
        <v>2</v>
      </c>
      <c r="I24" s="7" t="s">
        <v>390</v>
      </c>
      <c r="J24" s="7" t="s">
        <v>174</v>
      </c>
    </row>
    <row r="25" spans="1:10" x14ac:dyDescent="0.3">
      <c r="A25" s="6" t="s">
        <v>2566</v>
      </c>
      <c r="B25" s="7" t="s">
        <v>139</v>
      </c>
      <c r="C25" s="7"/>
      <c r="D25" s="7" t="s">
        <v>35</v>
      </c>
      <c r="E25" s="7" t="s">
        <v>2567</v>
      </c>
      <c r="F25" s="7" t="s">
        <v>2568</v>
      </c>
      <c r="G25" s="7" t="s">
        <v>2569</v>
      </c>
      <c r="H25" s="7">
        <v>42</v>
      </c>
      <c r="I25" s="7" t="s">
        <v>396</v>
      </c>
      <c r="J25" s="7" t="s">
        <v>174</v>
      </c>
    </row>
    <row r="26" spans="1:10" x14ac:dyDescent="0.3">
      <c r="A26" s="6" t="s">
        <v>2448</v>
      </c>
      <c r="B26" s="7" t="s">
        <v>139</v>
      </c>
      <c r="C26" s="7" t="s">
        <v>643</v>
      </c>
      <c r="D26" s="7" t="s">
        <v>32</v>
      </c>
      <c r="E26" s="7" t="s">
        <v>2449</v>
      </c>
      <c r="F26" s="7" t="s">
        <v>2450</v>
      </c>
      <c r="G26" s="7" t="s">
        <v>2451</v>
      </c>
      <c r="H26" s="7">
        <v>3</v>
      </c>
      <c r="I26" s="7" t="s">
        <v>2454</v>
      </c>
      <c r="J26" s="7" t="s">
        <v>174</v>
      </c>
    </row>
    <row r="27" spans="1:10" x14ac:dyDescent="0.3">
      <c r="A27" s="6" t="s">
        <v>2482</v>
      </c>
      <c r="B27" s="7" t="s">
        <v>139</v>
      </c>
      <c r="C27" s="7" t="s">
        <v>643</v>
      </c>
      <c r="D27" s="7" t="s">
        <v>32</v>
      </c>
      <c r="E27" s="7" t="s">
        <v>2483</v>
      </c>
      <c r="F27" s="7" t="s">
        <v>2484</v>
      </c>
      <c r="G27" s="7" t="s">
        <v>2485</v>
      </c>
      <c r="H27" s="7">
        <v>9</v>
      </c>
      <c r="I27" s="7" t="s">
        <v>2487</v>
      </c>
      <c r="J27" s="7" t="s">
        <v>2488</v>
      </c>
    </row>
    <row r="28" spans="1:10" x14ac:dyDescent="0.3">
      <c r="A28" s="6" t="s">
        <v>2500</v>
      </c>
      <c r="B28" s="7" t="s">
        <v>139</v>
      </c>
      <c r="C28" s="7" t="s">
        <v>643</v>
      </c>
      <c r="D28" s="7" t="s">
        <v>32</v>
      </c>
      <c r="E28" s="7" t="s">
        <v>1620</v>
      </c>
      <c r="F28" s="7" t="s">
        <v>1621</v>
      </c>
      <c r="G28" s="7" t="s">
        <v>2501</v>
      </c>
      <c r="H28" s="7">
        <v>7</v>
      </c>
      <c r="I28" s="7" t="s">
        <v>202</v>
      </c>
      <c r="J28" s="7" t="s">
        <v>2503</v>
      </c>
    </row>
    <row r="29" spans="1:10" x14ac:dyDescent="0.3">
      <c r="A29" s="6" t="s">
        <v>1684</v>
      </c>
      <c r="B29" s="7" t="s">
        <v>139</v>
      </c>
      <c r="C29" s="7" t="s">
        <v>643</v>
      </c>
      <c r="D29" s="7" t="s">
        <v>32</v>
      </c>
      <c r="E29" s="7" t="s">
        <v>1685</v>
      </c>
      <c r="F29" s="7" t="s">
        <v>1686</v>
      </c>
      <c r="G29" s="7" t="s">
        <v>1687</v>
      </c>
      <c r="H29" s="7">
        <v>23</v>
      </c>
      <c r="I29" s="7" t="s">
        <v>870</v>
      </c>
      <c r="J29" s="7" t="s">
        <v>737</v>
      </c>
    </row>
    <row r="30" spans="1:10" x14ac:dyDescent="0.3">
      <c r="A30" s="6" t="s">
        <v>2507</v>
      </c>
      <c r="B30" s="7" t="s">
        <v>139</v>
      </c>
      <c r="C30" s="7" t="s">
        <v>643</v>
      </c>
      <c r="D30" s="7" t="s">
        <v>32</v>
      </c>
      <c r="E30" s="7" t="s">
        <v>2508</v>
      </c>
      <c r="F30" s="7" t="s">
        <v>2509</v>
      </c>
      <c r="G30" s="7" t="s">
        <v>2510</v>
      </c>
      <c r="H30" s="7">
        <v>11</v>
      </c>
      <c r="I30" s="7" t="s">
        <v>682</v>
      </c>
      <c r="J30" s="7" t="s">
        <v>174</v>
      </c>
    </row>
    <row r="31" spans="1:10" x14ac:dyDescent="0.3">
      <c r="A31" s="6" t="s">
        <v>1610</v>
      </c>
      <c r="B31" s="7" t="s">
        <v>139</v>
      </c>
      <c r="C31" s="7" t="s">
        <v>643</v>
      </c>
      <c r="D31" s="7" t="s">
        <v>32</v>
      </c>
      <c r="E31" s="7" t="s">
        <v>1611</v>
      </c>
      <c r="F31" s="7" t="s">
        <v>1612</v>
      </c>
      <c r="G31" s="7" t="s">
        <v>1613</v>
      </c>
      <c r="H31" s="7">
        <v>7</v>
      </c>
      <c r="I31" s="7" t="s">
        <v>1614</v>
      </c>
      <c r="J31" s="7" t="s">
        <v>174</v>
      </c>
    </row>
    <row r="32" spans="1:10" x14ac:dyDescent="0.3">
      <c r="A32" s="6" t="s">
        <v>2530</v>
      </c>
      <c r="B32" s="7" t="s">
        <v>139</v>
      </c>
      <c r="C32" s="7" t="s">
        <v>643</v>
      </c>
      <c r="D32" s="7" t="s">
        <v>32</v>
      </c>
      <c r="E32" s="7" t="s">
        <v>1673</v>
      </c>
      <c r="F32" s="7" t="s">
        <v>1674</v>
      </c>
      <c r="G32" s="7" t="s">
        <v>2531</v>
      </c>
      <c r="H32" s="7">
        <v>5</v>
      </c>
      <c r="I32" s="7" t="s">
        <v>570</v>
      </c>
      <c r="J32" s="7" t="s">
        <v>174</v>
      </c>
    </row>
    <row r="33" spans="1:10" x14ac:dyDescent="0.3">
      <c r="A33" s="6" t="s">
        <v>1636</v>
      </c>
      <c r="B33" s="7" t="s">
        <v>139</v>
      </c>
      <c r="C33" s="7" t="s">
        <v>643</v>
      </c>
      <c r="D33" s="7" t="s">
        <v>32</v>
      </c>
      <c r="E33" s="7" t="s">
        <v>1637</v>
      </c>
      <c r="F33" s="7" t="s">
        <v>1638</v>
      </c>
      <c r="G33" s="7" t="s">
        <v>1639</v>
      </c>
      <c r="H33" s="7">
        <v>7</v>
      </c>
      <c r="I33" s="7" t="s">
        <v>1304</v>
      </c>
      <c r="J33" s="7" t="s">
        <v>422</v>
      </c>
    </row>
    <row r="34" spans="1:10" x14ac:dyDescent="0.3">
      <c r="A34" s="6" t="s">
        <v>1594</v>
      </c>
      <c r="B34" s="7" t="s">
        <v>139</v>
      </c>
      <c r="C34" s="7" t="s">
        <v>643</v>
      </c>
      <c r="D34" s="7" t="s">
        <v>32</v>
      </c>
      <c r="E34" s="7" t="s">
        <v>1595</v>
      </c>
      <c r="F34" s="7" t="s">
        <v>1596</v>
      </c>
      <c r="G34" s="7" t="s">
        <v>1597</v>
      </c>
      <c r="H34" s="7">
        <v>18</v>
      </c>
      <c r="I34" s="7" t="s">
        <v>682</v>
      </c>
      <c r="J34" s="7" t="s">
        <v>679</v>
      </c>
    </row>
    <row r="35" spans="1:10" x14ac:dyDescent="0.3">
      <c r="A35" s="6" t="s">
        <v>2258</v>
      </c>
      <c r="B35" s="7" t="s">
        <v>139</v>
      </c>
      <c r="C35" s="7" t="s">
        <v>2049</v>
      </c>
      <c r="D35" s="7" t="s">
        <v>21</v>
      </c>
      <c r="E35" s="7" t="s">
        <v>2259</v>
      </c>
      <c r="F35" s="7" t="s">
        <v>2260</v>
      </c>
      <c r="G35" s="7" t="s">
        <v>2261</v>
      </c>
      <c r="H35" s="7">
        <v>12</v>
      </c>
      <c r="I35" s="7" t="s">
        <v>2264</v>
      </c>
      <c r="J35" s="7" t="s">
        <v>2265</v>
      </c>
    </row>
    <row r="36" spans="1:10" x14ac:dyDescent="0.3">
      <c r="A36" s="6" t="s">
        <v>2131</v>
      </c>
      <c r="B36" s="7" t="s">
        <v>139</v>
      </c>
      <c r="C36" s="7" t="s">
        <v>2049</v>
      </c>
      <c r="D36" s="7" t="s">
        <v>21</v>
      </c>
      <c r="E36" s="7" t="s">
        <v>66</v>
      </c>
      <c r="F36" s="7" t="s">
        <v>358</v>
      </c>
      <c r="G36" s="7" t="s">
        <v>2132</v>
      </c>
      <c r="H36" s="7">
        <v>70</v>
      </c>
      <c r="I36" s="7" t="s">
        <v>67</v>
      </c>
      <c r="J36" s="7" t="s">
        <v>617</v>
      </c>
    </row>
    <row r="37" spans="1:10" x14ac:dyDescent="0.3">
      <c r="A37" s="6" t="s">
        <v>2135</v>
      </c>
      <c r="B37" s="7" t="s">
        <v>139</v>
      </c>
      <c r="C37" s="7" t="s">
        <v>2049</v>
      </c>
      <c r="D37" s="7" t="s">
        <v>21</v>
      </c>
      <c r="E37" s="7" t="s">
        <v>66</v>
      </c>
      <c r="F37" s="7" t="s">
        <v>358</v>
      </c>
      <c r="G37" s="7" t="s">
        <v>2136</v>
      </c>
      <c r="H37" s="7">
        <v>27</v>
      </c>
      <c r="I37" s="7" t="s">
        <v>2138</v>
      </c>
      <c r="J37" s="7" t="s">
        <v>2139</v>
      </c>
    </row>
    <row r="38" spans="1:10" x14ac:dyDescent="0.3">
      <c r="A38" s="6" t="s">
        <v>2214</v>
      </c>
      <c r="B38" s="7" t="s">
        <v>139</v>
      </c>
      <c r="C38" s="7" t="s">
        <v>2049</v>
      </c>
      <c r="D38" s="7" t="s">
        <v>21</v>
      </c>
      <c r="E38" s="7" t="s">
        <v>2215</v>
      </c>
      <c r="F38" s="7" t="s">
        <v>2216</v>
      </c>
      <c r="G38" s="7" t="s">
        <v>2217</v>
      </c>
      <c r="H38" s="7">
        <v>18</v>
      </c>
      <c r="I38" s="7" t="s">
        <v>498</v>
      </c>
      <c r="J38" s="7" t="s">
        <v>144</v>
      </c>
    </row>
    <row r="39" spans="1:10" x14ac:dyDescent="0.3">
      <c r="A39" s="6" t="s">
        <v>2078</v>
      </c>
      <c r="B39" s="7" t="s">
        <v>139</v>
      </c>
      <c r="C39" s="7" t="s">
        <v>2049</v>
      </c>
      <c r="D39" s="7" t="s">
        <v>21</v>
      </c>
      <c r="E39" s="7" t="s">
        <v>2079</v>
      </c>
      <c r="F39" s="7" t="s">
        <v>1915</v>
      </c>
      <c r="G39" s="7" t="s">
        <v>2080</v>
      </c>
      <c r="H39" s="7">
        <v>14</v>
      </c>
      <c r="I39" s="7" t="s">
        <v>345</v>
      </c>
      <c r="J39" s="7" t="s">
        <v>962</v>
      </c>
    </row>
    <row r="40" spans="1:10" x14ac:dyDescent="0.3">
      <c r="A40" s="6" t="s">
        <v>2113</v>
      </c>
      <c r="B40" s="7" t="s">
        <v>139</v>
      </c>
      <c r="C40" s="7" t="s">
        <v>2049</v>
      </c>
      <c r="D40" s="7" t="s">
        <v>21</v>
      </c>
      <c r="E40" s="7" t="s">
        <v>57</v>
      </c>
      <c r="F40" s="7"/>
      <c r="G40" s="7" t="s">
        <v>2114</v>
      </c>
      <c r="H40" s="7">
        <v>4</v>
      </c>
      <c r="I40" s="7" t="s">
        <v>58</v>
      </c>
      <c r="J40" s="7" t="s">
        <v>2116</v>
      </c>
    </row>
    <row r="41" spans="1:10" x14ac:dyDescent="0.3">
      <c r="A41" s="6" t="s">
        <v>2117</v>
      </c>
      <c r="B41" s="7" t="s">
        <v>139</v>
      </c>
      <c r="C41" s="7" t="s">
        <v>2049</v>
      </c>
      <c r="D41" s="7" t="s">
        <v>21</v>
      </c>
      <c r="E41" s="7" t="s">
        <v>57</v>
      </c>
      <c r="F41" s="7" t="s">
        <v>2118</v>
      </c>
      <c r="G41" s="7" t="s">
        <v>2119</v>
      </c>
      <c r="H41" s="7">
        <v>124</v>
      </c>
      <c r="I41" s="7" t="s">
        <v>1682</v>
      </c>
      <c r="J41" s="7" t="s">
        <v>658</v>
      </c>
    </row>
    <row r="42" spans="1:10" x14ac:dyDescent="0.3">
      <c r="A42" s="6" t="s">
        <v>2167</v>
      </c>
      <c r="B42" s="7" t="s">
        <v>139</v>
      </c>
      <c r="C42" s="7" t="s">
        <v>2049</v>
      </c>
      <c r="D42" s="7" t="s">
        <v>21</v>
      </c>
      <c r="E42" s="7" t="s">
        <v>70</v>
      </c>
      <c r="F42" s="7" t="s">
        <v>2163</v>
      </c>
      <c r="G42" s="7" t="s">
        <v>2168</v>
      </c>
      <c r="H42" s="7">
        <v>125</v>
      </c>
      <c r="I42" s="7" t="s">
        <v>94</v>
      </c>
      <c r="J42" s="7" t="s">
        <v>262</v>
      </c>
    </row>
    <row r="43" spans="1:10" x14ac:dyDescent="0.3">
      <c r="A43" s="6" t="s">
        <v>2099</v>
      </c>
      <c r="B43" s="7" t="s">
        <v>139</v>
      </c>
      <c r="C43" s="7" t="s">
        <v>2049</v>
      </c>
      <c r="D43" s="7" t="s">
        <v>21</v>
      </c>
      <c r="E43" s="7" t="s">
        <v>2100</v>
      </c>
      <c r="F43" s="7" t="s">
        <v>2101</v>
      </c>
      <c r="G43" s="7" t="s">
        <v>2102</v>
      </c>
      <c r="H43" s="7">
        <v>20</v>
      </c>
      <c r="I43" s="7" t="s">
        <v>678</v>
      </c>
      <c r="J43" s="7" t="s">
        <v>519</v>
      </c>
    </row>
    <row r="44" spans="1:10" x14ac:dyDescent="0.3">
      <c r="A44" s="6" t="s">
        <v>2048</v>
      </c>
      <c r="B44" s="7" t="s">
        <v>139</v>
      </c>
      <c r="C44" s="7" t="s">
        <v>2049</v>
      </c>
      <c r="D44" s="7" t="s">
        <v>21</v>
      </c>
      <c r="E44" s="7" t="s">
        <v>2050</v>
      </c>
      <c r="F44" s="7" t="s">
        <v>2051</v>
      </c>
      <c r="G44" s="7" t="s">
        <v>2052</v>
      </c>
      <c r="H44" s="7">
        <v>7</v>
      </c>
      <c r="I44" s="7" t="s">
        <v>384</v>
      </c>
      <c r="J44" s="7" t="s">
        <v>422</v>
      </c>
    </row>
    <row r="45" spans="1:10" x14ac:dyDescent="0.3">
      <c r="A45" s="6" t="s">
        <v>2228</v>
      </c>
      <c r="B45" s="7" t="s">
        <v>139</v>
      </c>
      <c r="C45" s="7" t="s">
        <v>2049</v>
      </c>
      <c r="D45" s="7" t="s">
        <v>21</v>
      </c>
      <c r="E45" s="7" t="s">
        <v>2229</v>
      </c>
      <c r="F45" s="7" t="s">
        <v>2224</v>
      </c>
      <c r="G45" s="7" t="s">
        <v>2230</v>
      </c>
      <c r="H45" s="7">
        <v>18</v>
      </c>
      <c r="I45" s="7" t="s">
        <v>1018</v>
      </c>
      <c r="J45" s="7" t="s">
        <v>422</v>
      </c>
    </row>
    <row r="46" spans="1:10" x14ac:dyDescent="0.3">
      <c r="A46" s="6" t="s">
        <v>2232</v>
      </c>
      <c r="B46" s="7" t="s">
        <v>139</v>
      </c>
      <c r="C46" s="7" t="s">
        <v>2049</v>
      </c>
      <c r="D46" s="7" t="s">
        <v>21</v>
      </c>
      <c r="E46" s="7" t="s">
        <v>90</v>
      </c>
      <c r="F46" s="7" t="s">
        <v>1989</v>
      </c>
      <c r="G46" s="7" t="s">
        <v>2233</v>
      </c>
      <c r="H46" s="7">
        <v>66</v>
      </c>
      <c r="I46" s="7" t="s">
        <v>415</v>
      </c>
      <c r="J46" s="7"/>
    </row>
    <row r="47" spans="1:10" x14ac:dyDescent="0.3">
      <c r="A47" s="6" t="s">
        <v>2067</v>
      </c>
      <c r="B47" s="7" t="s">
        <v>139</v>
      </c>
      <c r="C47" s="7" t="s">
        <v>2049</v>
      </c>
      <c r="D47" s="7" t="s">
        <v>21</v>
      </c>
      <c r="E47" s="7" t="s">
        <v>2068</v>
      </c>
      <c r="F47" s="7" t="s">
        <v>242</v>
      </c>
      <c r="G47" s="7" t="s">
        <v>2069</v>
      </c>
      <c r="H47" s="7">
        <v>10</v>
      </c>
      <c r="I47" s="7" t="s">
        <v>2071</v>
      </c>
      <c r="J47" s="7" t="s">
        <v>2072</v>
      </c>
    </row>
    <row r="48" spans="1:10" x14ac:dyDescent="0.3">
      <c r="A48" s="6" t="s">
        <v>2062</v>
      </c>
      <c r="B48" s="7" t="s">
        <v>139</v>
      </c>
      <c r="C48" s="7" t="s">
        <v>2049</v>
      </c>
      <c r="D48" s="7" t="s">
        <v>21</v>
      </c>
      <c r="E48" s="7" t="s">
        <v>2063</v>
      </c>
      <c r="F48" s="7" t="s">
        <v>2064</v>
      </c>
      <c r="G48" s="7" t="s">
        <v>2065</v>
      </c>
      <c r="H48" s="7">
        <v>4</v>
      </c>
      <c r="I48" s="7"/>
      <c r="J48" s="7" t="s">
        <v>174</v>
      </c>
    </row>
    <row r="49" spans="1:10" x14ac:dyDescent="0.3">
      <c r="A49" s="6" t="s">
        <v>2266</v>
      </c>
      <c r="B49" s="7" t="s">
        <v>139</v>
      </c>
      <c r="C49" s="7" t="s">
        <v>2049</v>
      </c>
      <c r="D49" s="7" t="s">
        <v>21</v>
      </c>
      <c r="E49" s="7" t="s">
        <v>2267</v>
      </c>
      <c r="F49" s="7" t="s">
        <v>2268</v>
      </c>
      <c r="G49" s="7" t="s">
        <v>2269</v>
      </c>
      <c r="H49" s="7">
        <v>56</v>
      </c>
      <c r="I49" s="7" t="s">
        <v>2271</v>
      </c>
      <c r="J49" s="7" t="s">
        <v>1100</v>
      </c>
    </row>
    <row r="50" spans="1:10" x14ac:dyDescent="0.3">
      <c r="A50" s="6" t="s">
        <v>2140</v>
      </c>
      <c r="B50" s="7" t="s">
        <v>139</v>
      </c>
      <c r="C50" s="7" t="s">
        <v>2049</v>
      </c>
      <c r="D50" s="7" t="s">
        <v>21</v>
      </c>
      <c r="E50" s="7" t="s">
        <v>66</v>
      </c>
      <c r="F50" s="7" t="s">
        <v>358</v>
      </c>
      <c r="G50" s="7" t="s">
        <v>2141</v>
      </c>
      <c r="H50" s="7">
        <v>11</v>
      </c>
      <c r="I50" s="7" t="s">
        <v>315</v>
      </c>
      <c r="J50" s="7" t="s">
        <v>1097</v>
      </c>
    </row>
    <row r="51" spans="1:10" x14ac:dyDescent="0.3">
      <c r="A51" s="6" t="s">
        <v>2147</v>
      </c>
      <c r="B51" s="7" t="s">
        <v>139</v>
      </c>
      <c r="C51" s="7" t="s">
        <v>2049</v>
      </c>
      <c r="D51" s="7" t="s">
        <v>21</v>
      </c>
      <c r="E51" s="7" t="s">
        <v>2148</v>
      </c>
      <c r="F51" s="7" t="s">
        <v>366</v>
      </c>
      <c r="G51" s="7" t="s">
        <v>2149</v>
      </c>
      <c r="H51" s="7">
        <v>35</v>
      </c>
      <c r="I51" s="7" t="s">
        <v>1154</v>
      </c>
      <c r="J51" s="7"/>
    </row>
    <row r="52" spans="1:10" x14ac:dyDescent="0.3">
      <c r="A52" s="6" t="s">
        <v>2104</v>
      </c>
      <c r="B52" s="7" t="s">
        <v>139</v>
      </c>
      <c r="C52" s="7" t="s">
        <v>2049</v>
      </c>
      <c r="D52" s="7" t="s">
        <v>21</v>
      </c>
      <c r="E52" s="7" t="s">
        <v>2105</v>
      </c>
      <c r="F52" s="7" t="s">
        <v>1215</v>
      </c>
      <c r="G52" s="7" t="s">
        <v>2106</v>
      </c>
      <c r="H52" s="7">
        <v>13</v>
      </c>
      <c r="I52" s="7" t="s">
        <v>462</v>
      </c>
      <c r="J52" s="7" t="s">
        <v>1100</v>
      </c>
    </row>
    <row r="53" spans="1:10" x14ac:dyDescent="0.3">
      <c r="A53" s="6" t="s">
        <v>1437</v>
      </c>
      <c r="B53" s="7" t="s">
        <v>139</v>
      </c>
      <c r="C53" s="7" t="s">
        <v>643</v>
      </c>
      <c r="D53" s="7" t="s">
        <v>30</v>
      </c>
      <c r="E53" s="7" t="s">
        <v>1438</v>
      </c>
      <c r="F53" s="7" t="s">
        <v>1439</v>
      </c>
      <c r="G53" s="7" t="s">
        <v>1440</v>
      </c>
      <c r="H53" s="7">
        <v>11</v>
      </c>
      <c r="I53" s="7" t="s">
        <v>536</v>
      </c>
      <c r="J53" s="7" t="s">
        <v>617</v>
      </c>
    </row>
    <row r="54" spans="1:10" x14ac:dyDescent="0.3">
      <c r="A54" s="6" t="s">
        <v>2127</v>
      </c>
      <c r="B54" s="7" t="s">
        <v>139</v>
      </c>
      <c r="C54" s="7" t="s">
        <v>2049</v>
      </c>
      <c r="D54" s="7" t="s">
        <v>21</v>
      </c>
      <c r="E54" s="7" t="s">
        <v>57</v>
      </c>
      <c r="F54" s="7"/>
      <c r="G54" s="7" t="s">
        <v>56</v>
      </c>
      <c r="H54" s="7">
        <v>7</v>
      </c>
      <c r="I54" s="7" t="s">
        <v>58</v>
      </c>
      <c r="J54" s="7" t="s">
        <v>2116</v>
      </c>
    </row>
    <row r="55" spans="1:10" x14ac:dyDescent="0.3">
      <c r="A55" s="6" t="s">
        <v>2121</v>
      </c>
      <c r="B55" s="7" t="s">
        <v>139</v>
      </c>
      <c r="C55" s="7" t="s">
        <v>2049</v>
      </c>
      <c r="D55" s="7" t="s">
        <v>21</v>
      </c>
      <c r="E55" s="7" t="s">
        <v>57</v>
      </c>
      <c r="F55" s="7" t="s">
        <v>2118</v>
      </c>
      <c r="G55" s="7" t="s">
        <v>56</v>
      </c>
      <c r="H55" s="7">
        <v>156</v>
      </c>
      <c r="I55" s="7" t="s">
        <v>58</v>
      </c>
      <c r="J55" s="7" t="s">
        <v>2116</v>
      </c>
    </row>
    <row r="56" spans="1:10" x14ac:dyDescent="0.3">
      <c r="A56" s="6" t="s">
        <v>2123</v>
      </c>
      <c r="B56" s="7" t="s">
        <v>139</v>
      </c>
      <c r="C56" s="7" t="s">
        <v>2049</v>
      </c>
      <c r="D56" s="7" t="s">
        <v>21</v>
      </c>
      <c r="E56" s="7" t="s">
        <v>57</v>
      </c>
      <c r="F56" s="7"/>
      <c r="G56" s="7" t="s">
        <v>56</v>
      </c>
      <c r="H56" s="7">
        <v>5</v>
      </c>
      <c r="I56" s="7" t="s">
        <v>58</v>
      </c>
      <c r="J56" s="7" t="s">
        <v>2116</v>
      </c>
    </row>
    <row r="57" spans="1:10" x14ac:dyDescent="0.3">
      <c r="A57" s="6" t="s">
        <v>2124</v>
      </c>
      <c r="B57" s="7" t="s">
        <v>139</v>
      </c>
      <c r="C57" s="7" t="s">
        <v>2049</v>
      </c>
      <c r="D57" s="7" t="s">
        <v>21</v>
      </c>
      <c r="E57" s="7" t="s">
        <v>57</v>
      </c>
      <c r="F57" s="7"/>
      <c r="G57" s="7" t="s">
        <v>56</v>
      </c>
      <c r="H57" s="7">
        <v>2</v>
      </c>
      <c r="I57" s="7" t="s">
        <v>58</v>
      </c>
      <c r="J57" s="7" t="s">
        <v>2116</v>
      </c>
    </row>
    <row r="58" spans="1:10" x14ac:dyDescent="0.3">
      <c r="A58" s="6" t="s">
        <v>2125</v>
      </c>
      <c r="B58" s="7" t="s">
        <v>139</v>
      </c>
      <c r="C58" s="7" t="s">
        <v>2049</v>
      </c>
      <c r="D58" s="7" t="s">
        <v>21</v>
      </c>
      <c r="E58" s="7" t="s">
        <v>57</v>
      </c>
      <c r="F58" s="7"/>
      <c r="G58" s="7" t="s">
        <v>56</v>
      </c>
      <c r="H58" s="7">
        <v>4</v>
      </c>
      <c r="I58" s="7" t="s">
        <v>58</v>
      </c>
      <c r="J58" s="7" t="s">
        <v>2116</v>
      </c>
    </row>
    <row r="59" spans="1:10" x14ac:dyDescent="0.3">
      <c r="A59" s="6" t="s">
        <v>2129</v>
      </c>
      <c r="B59" s="7" t="s">
        <v>139</v>
      </c>
      <c r="C59" s="7" t="s">
        <v>2049</v>
      </c>
      <c r="D59" s="7" t="s">
        <v>21</v>
      </c>
      <c r="E59" s="7" t="s">
        <v>57</v>
      </c>
      <c r="F59" s="7" t="s">
        <v>2130</v>
      </c>
      <c r="G59" s="7" t="s">
        <v>56</v>
      </c>
      <c r="H59" s="7">
        <v>3</v>
      </c>
      <c r="I59" s="7" t="s">
        <v>58</v>
      </c>
      <c r="J59" s="7" t="s">
        <v>2116</v>
      </c>
    </row>
    <row r="60" spans="1:10" x14ac:dyDescent="0.3">
      <c r="A60" s="6" t="s">
        <v>2128</v>
      </c>
      <c r="B60" s="7" t="s">
        <v>139</v>
      </c>
      <c r="C60" s="7" t="s">
        <v>2049</v>
      </c>
      <c r="D60" s="7" t="s">
        <v>21</v>
      </c>
      <c r="E60" s="7" t="s">
        <v>57</v>
      </c>
      <c r="F60" s="7"/>
      <c r="G60" s="7" t="s">
        <v>56</v>
      </c>
      <c r="H60" s="7">
        <v>2</v>
      </c>
      <c r="I60" s="7" t="s">
        <v>58</v>
      </c>
      <c r="J60" s="7" t="s">
        <v>2116</v>
      </c>
    </row>
    <row r="61" spans="1:10" x14ac:dyDescent="0.3">
      <c r="A61" s="6" t="s">
        <v>2126</v>
      </c>
      <c r="B61" s="7" t="s">
        <v>139</v>
      </c>
      <c r="C61" s="7" t="s">
        <v>2049</v>
      </c>
      <c r="D61" s="7" t="s">
        <v>21</v>
      </c>
      <c r="E61" s="7" t="s">
        <v>57</v>
      </c>
      <c r="F61" s="7"/>
      <c r="G61" s="7" t="s">
        <v>56</v>
      </c>
      <c r="H61" s="7">
        <v>7</v>
      </c>
      <c r="I61" s="7" t="s">
        <v>58</v>
      </c>
      <c r="J61" s="7" t="s">
        <v>2116</v>
      </c>
    </row>
    <row r="62" spans="1:10" x14ac:dyDescent="0.3">
      <c r="A62" s="6" t="s">
        <v>2170</v>
      </c>
      <c r="B62" s="7" t="s">
        <v>139</v>
      </c>
      <c r="C62" s="7" t="s">
        <v>2049</v>
      </c>
      <c r="D62" s="7" t="s">
        <v>21</v>
      </c>
      <c r="E62" s="7" t="s">
        <v>70</v>
      </c>
      <c r="F62" s="7" t="s">
        <v>2163</v>
      </c>
      <c r="G62" s="7" t="s">
        <v>2171</v>
      </c>
      <c r="H62" s="7">
        <v>10</v>
      </c>
      <c r="I62" s="7" t="s">
        <v>94</v>
      </c>
      <c r="J62" s="7" t="s">
        <v>262</v>
      </c>
    </row>
    <row r="63" spans="1:10" x14ac:dyDescent="0.3">
      <c r="A63" s="6" t="s">
        <v>2056</v>
      </c>
      <c r="B63" s="7" t="s">
        <v>139</v>
      </c>
      <c r="C63" s="7" t="s">
        <v>2049</v>
      </c>
      <c r="D63" s="7" t="s">
        <v>21</v>
      </c>
      <c r="E63" s="7" t="s">
        <v>2057</v>
      </c>
      <c r="F63" s="7" t="s">
        <v>2058</v>
      </c>
      <c r="G63" s="7" t="s">
        <v>2059</v>
      </c>
      <c r="H63" s="7">
        <v>28</v>
      </c>
      <c r="I63" s="7" t="s">
        <v>994</v>
      </c>
      <c r="J63" s="7" t="s">
        <v>355</v>
      </c>
    </row>
    <row r="64" spans="1:10" x14ac:dyDescent="0.3">
      <c r="A64" s="6" t="s">
        <v>2238</v>
      </c>
      <c r="B64" s="7" t="s">
        <v>139</v>
      </c>
      <c r="C64" s="7" t="s">
        <v>2049</v>
      </c>
      <c r="D64" s="7" t="s">
        <v>21</v>
      </c>
      <c r="E64" s="7" t="s">
        <v>90</v>
      </c>
      <c r="F64" s="7" t="s">
        <v>2239</v>
      </c>
      <c r="G64" s="7" t="s">
        <v>89</v>
      </c>
      <c r="H64" s="7">
        <v>3</v>
      </c>
      <c r="I64" s="7" t="s">
        <v>91</v>
      </c>
      <c r="J64" s="7" t="s">
        <v>144</v>
      </c>
    </row>
    <row r="65" spans="1:10" x14ac:dyDescent="0.3">
      <c r="A65" s="6" t="s">
        <v>2235</v>
      </c>
      <c r="B65" s="7" t="s">
        <v>139</v>
      </c>
      <c r="C65" s="7" t="s">
        <v>2049</v>
      </c>
      <c r="D65" s="7" t="s">
        <v>21</v>
      </c>
      <c r="E65" s="7" t="s">
        <v>90</v>
      </c>
      <c r="F65" s="7" t="s">
        <v>1989</v>
      </c>
      <c r="G65" s="7" t="s">
        <v>89</v>
      </c>
      <c r="H65" s="7">
        <v>59</v>
      </c>
      <c r="I65" s="7" t="s">
        <v>91</v>
      </c>
      <c r="J65" s="7" t="s">
        <v>144</v>
      </c>
    </row>
    <row r="66" spans="1:10" x14ac:dyDescent="0.3">
      <c r="A66" s="6" t="s">
        <v>2145</v>
      </c>
      <c r="B66" s="7" t="s">
        <v>139</v>
      </c>
      <c r="C66" s="7" t="s">
        <v>2049</v>
      </c>
      <c r="D66" s="7" t="s">
        <v>21</v>
      </c>
      <c r="E66" s="7" t="s">
        <v>66</v>
      </c>
      <c r="F66" s="7" t="s">
        <v>358</v>
      </c>
      <c r="G66" s="7" t="s">
        <v>65</v>
      </c>
      <c r="H66" s="7">
        <v>2</v>
      </c>
      <c r="I66" s="7" t="s">
        <v>67</v>
      </c>
      <c r="J66" s="7" t="s">
        <v>617</v>
      </c>
    </row>
    <row r="67" spans="1:10" x14ac:dyDescent="0.3">
      <c r="A67" s="6" t="s">
        <v>2146</v>
      </c>
      <c r="B67" s="7" t="s">
        <v>139</v>
      </c>
      <c r="C67" s="7" t="s">
        <v>2049</v>
      </c>
      <c r="D67" s="7" t="s">
        <v>21</v>
      </c>
      <c r="E67" s="7" t="s">
        <v>66</v>
      </c>
      <c r="F67" s="7" t="s">
        <v>358</v>
      </c>
      <c r="G67" s="7" t="s">
        <v>65</v>
      </c>
      <c r="H67" s="7">
        <v>1</v>
      </c>
      <c r="I67" s="7" t="s">
        <v>67</v>
      </c>
      <c r="J67" s="7" t="s">
        <v>617</v>
      </c>
    </row>
    <row r="68" spans="1:10" x14ac:dyDescent="0.3">
      <c r="A68" s="6" t="s">
        <v>2144</v>
      </c>
      <c r="B68" s="7" t="s">
        <v>139</v>
      </c>
      <c r="C68" s="7" t="s">
        <v>2049</v>
      </c>
      <c r="D68" s="7" t="s">
        <v>21</v>
      </c>
      <c r="E68" s="7" t="s">
        <v>66</v>
      </c>
      <c r="F68" s="7" t="s">
        <v>358</v>
      </c>
      <c r="G68" s="7" t="s">
        <v>65</v>
      </c>
      <c r="H68" s="7">
        <v>4</v>
      </c>
      <c r="I68" s="7" t="s">
        <v>67</v>
      </c>
      <c r="J68" s="7" t="s">
        <v>617</v>
      </c>
    </row>
    <row r="69" spans="1:10" x14ac:dyDescent="0.3">
      <c r="A69" s="6" t="s">
        <v>2162</v>
      </c>
      <c r="B69" s="7" t="s">
        <v>139</v>
      </c>
      <c r="C69" s="7" t="s">
        <v>2049</v>
      </c>
      <c r="D69" s="7" t="s">
        <v>21</v>
      </c>
      <c r="E69" s="7" t="s">
        <v>70</v>
      </c>
      <c r="F69" s="7" t="s">
        <v>2163</v>
      </c>
      <c r="G69" s="7" t="s">
        <v>2164</v>
      </c>
      <c r="H69" s="7">
        <v>18</v>
      </c>
      <c r="I69" s="7" t="s">
        <v>94</v>
      </c>
      <c r="J69" s="7" t="s">
        <v>262</v>
      </c>
    </row>
    <row r="70" spans="1:10" x14ac:dyDescent="0.3">
      <c r="A70" s="6" t="s">
        <v>2073</v>
      </c>
      <c r="B70" s="7" t="s">
        <v>139</v>
      </c>
      <c r="C70" s="7" t="s">
        <v>2049</v>
      </c>
      <c r="D70" s="7" t="s">
        <v>21</v>
      </c>
      <c r="E70" s="7" t="s">
        <v>2074</v>
      </c>
      <c r="F70" s="7" t="s">
        <v>809</v>
      </c>
      <c r="G70" s="7" t="s">
        <v>2075</v>
      </c>
      <c r="H70" s="7">
        <v>30</v>
      </c>
      <c r="I70" s="7" t="s">
        <v>626</v>
      </c>
      <c r="J70" s="7" t="s">
        <v>1097</v>
      </c>
    </row>
    <row r="71" spans="1:10" x14ac:dyDescent="0.3">
      <c r="A71" s="6" t="s">
        <v>2083</v>
      </c>
      <c r="B71" s="7" t="s">
        <v>139</v>
      </c>
      <c r="C71" s="7" t="s">
        <v>2049</v>
      </c>
      <c r="D71" s="7" t="s">
        <v>21</v>
      </c>
      <c r="E71" s="7" t="s">
        <v>2079</v>
      </c>
      <c r="F71" s="7" t="s">
        <v>1915</v>
      </c>
      <c r="G71" s="7" t="s">
        <v>2084</v>
      </c>
      <c r="H71" s="7">
        <v>26</v>
      </c>
      <c r="I71" s="7" t="s">
        <v>607</v>
      </c>
      <c r="J71" s="7" t="s">
        <v>1757</v>
      </c>
    </row>
    <row r="72" spans="1:10" x14ac:dyDescent="0.3">
      <c r="A72" s="6" t="s">
        <v>2247</v>
      </c>
      <c r="B72" s="7" t="s">
        <v>139</v>
      </c>
      <c r="C72" s="7" t="s">
        <v>2049</v>
      </c>
      <c r="D72" s="7" t="s">
        <v>21</v>
      </c>
      <c r="E72" s="7" t="s">
        <v>2248</v>
      </c>
      <c r="F72" s="7" t="s">
        <v>2249</v>
      </c>
      <c r="G72" s="7" t="s">
        <v>2250</v>
      </c>
      <c r="H72" s="7">
        <v>11</v>
      </c>
      <c r="I72" s="7" t="s">
        <v>2252</v>
      </c>
      <c r="J72" s="7" t="s">
        <v>2253</v>
      </c>
    </row>
    <row r="73" spans="1:10" x14ac:dyDescent="0.3">
      <c r="A73" s="6" t="s">
        <v>2176</v>
      </c>
      <c r="B73" s="7" t="s">
        <v>139</v>
      </c>
      <c r="C73" s="7" t="s">
        <v>2049</v>
      </c>
      <c r="D73" s="7" t="s">
        <v>21</v>
      </c>
      <c r="E73" s="7" t="s">
        <v>70</v>
      </c>
      <c r="F73" s="7" t="s">
        <v>2177</v>
      </c>
      <c r="G73" s="7" t="s">
        <v>69</v>
      </c>
      <c r="H73" s="7">
        <v>3</v>
      </c>
      <c r="I73" s="7" t="s">
        <v>94</v>
      </c>
      <c r="J73" s="7" t="s">
        <v>262</v>
      </c>
    </row>
    <row r="74" spans="1:10" x14ac:dyDescent="0.3">
      <c r="A74" s="6" t="s">
        <v>2178</v>
      </c>
      <c r="B74" s="7" t="s">
        <v>139</v>
      </c>
      <c r="C74" s="7" t="s">
        <v>2049</v>
      </c>
      <c r="D74" s="7" t="s">
        <v>21</v>
      </c>
      <c r="E74" s="7" t="s">
        <v>70</v>
      </c>
      <c r="F74" s="7"/>
      <c r="G74" s="7" t="s">
        <v>69</v>
      </c>
      <c r="H74" s="7">
        <v>2</v>
      </c>
      <c r="I74" s="7" t="s">
        <v>94</v>
      </c>
      <c r="J74" s="7" t="s">
        <v>262</v>
      </c>
    </row>
    <row r="75" spans="1:10" x14ac:dyDescent="0.3">
      <c r="A75" s="6" t="s">
        <v>2173</v>
      </c>
      <c r="B75" s="7" t="s">
        <v>139</v>
      </c>
      <c r="C75" s="7" t="s">
        <v>2049</v>
      </c>
      <c r="D75" s="7" t="s">
        <v>21</v>
      </c>
      <c r="E75" s="7" t="s">
        <v>70</v>
      </c>
      <c r="F75" s="7" t="s">
        <v>2163</v>
      </c>
      <c r="G75" s="7" t="s">
        <v>69</v>
      </c>
      <c r="H75" s="7">
        <v>91</v>
      </c>
      <c r="I75" s="7" t="s">
        <v>1682</v>
      </c>
      <c r="J75" s="7" t="s">
        <v>2175</v>
      </c>
    </row>
    <row r="76" spans="1:10" x14ac:dyDescent="0.3">
      <c r="A76" s="6" t="s">
        <v>2222</v>
      </c>
      <c r="B76" s="7" t="s">
        <v>139</v>
      </c>
      <c r="C76" s="7" t="s">
        <v>2049</v>
      </c>
      <c r="D76" s="7" t="s">
        <v>21</v>
      </c>
      <c r="E76" s="7" t="s">
        <v>2223</v>
      </c>
      <c r="F76" s="7" t="s">
        <v>2224</v>
      </c>
      <c r="G76" s="7" t="s">
        <v>2225</v>
      </c>
      <c r="H76" s="7">
        <v>11</v>
      </c>
      <c r="I76" s="7" t="s">
        <v>2227</v>
      </c>
      <c r="J76" s="7" t="s">
        <v>1436</v>
      </c>
    </row>
    <row r="77" spans="1:10" x14ac:dyDescent="0.3">
      <c r="A77" s="6" t="s">
        <v>2242</v>
      </c>
      <c r="B77" s="7" t="s">
        <v>139</v>
      </c>
      <c r="C77" s="7" t="s">
        <v>2049</v>
      </c>
      <c r="D77" s="7" t="s">
        <v>21</v>
      </c>
      <c r="E77" s="7" t="s">
        <v>90</v>
      </c>
      <c r="F77" s="7"/>
      <c r="G77" s="7" t="s">
        <v>93</v>
      </c>
      <c r="H77" s="7">
        <v>11</v>
      </c>
      <c r="I77" s="7" t="s">
        <v>94</v>
      </c>
      <c r="J77" s="7" t="s">
        <v>961</v>
      </c>
    </row>
    <row r="78" spans="1:10" x14ac:dyDescent="0.3">
      <c r="A78" s="6" t="s">
        <v>2240</v>
      </c>
      <c r="B78" s="7" t="s">
        <v>139</v>
      </c>
      <c r="C78" s="7" t="s">
        <v>2049</v>
      </c>
      <c r="D78" s="7" t="s">
        <v>21</v>
      </c>
      <c r="E78" s="7" t="s">
        <v>90</v>
      </c>
      <c r="F78" s="7" t="s">
        <v>1989</v>
      </c>
      <c r="G78" s="7" t="s">
        <v>93</v>
      </c>
      <c r="H78" s="7">
        <v>139</v>
      </c>
      <c r="I78" s="7" t="s">
        <v>94</v>
      </c>
      <c r="J78" s="7" t="s">
        <v>961</v>
      </c>
    </row>
    <row r="79" spans="1:10" x14ac:dyDescent="0.3">
      <c r="A79" s="6" t="s">
        <v>2179</v>
      </c>
      <c r="B79" s="7" t="s">
        <v>139</v>
      </c>
      <c r="C79" s="7" t="s">
        <v>2049</v>
      </c>
      <c r="D79" s="7" t="s">
        <v>21</v>
      </c>
      <c r="E79" s="7" t="s">
        <v>2180</v>
      </c>
      <c r="F79" s="7"/>
      <c r="G79" s="7" t="s">
        <v>2181</v>
      </c>
      <c r="H79" s="7">
        <v>10</v>
      </c>
      <c r="I79" s="7" t="s">
        <v>2092</v>
      </c>
      <c r="J79" s="7" t="s">
        <v>1161</v>
      </c>
    </row>
    <row r="80" spans="1:10" x14ac:dyDescent="0.3">
      <c r="A80" s="6" t="s">
        <v>2087</v>
      </c>
      <c r="B80" s="7" t="s">
        <v>139</v>
      </c>
      <c r="C80" s="7" t="s">
        <v>2049</v>
      </c>
      <c r="D80" s="7" t="s">
        <v>21</v>
      </c>
      <c r="E80" s="7" t="s">
        <v>2088</v>
      </c>
      <c r="F80" s="7"/>
      <c r="G80" s="7" t="s">
        <v>2089</v>
      </c>
      <c r="H80" s="7">
        <v>11</v>
      </c>
      <c r="I80" s="7" t="s">
        <v>2092</v>
      </c>
      <c r="J80" s="7" t="s">
        <v>1708</v>
      </c>
    </row>
    <row r="81" spans="1:10" x14ac:dyDescent="0.3">
      <c r="A81" s="6" t="s">
        <v>2543</v>
      </c>
      <c r="B81" s="7" t="s">
        <v>139</v>
      </c>
      <c r="C81" s="7" t="s">
        <v>643</v>
      </c>
      <c r="D81" s="7" t="s">
        <v>34</v>
      </c>
      <c r="E81" s="7" t="s">
        <v>2148</v>
      </c>
      <c r="F81" s="7" t="s">
        <v>366</v>
      </c>
      <c r="G81" s="7" t="s">
        <v>2544</v>
      </c>
      <c r="H81" s="7">
        <v>2</v>
      </c>
      <c r="I81" s="7" t="s">
        <v>2319</v>
      </c>
      <c r="J81" s="7" t="s">
        <v>1304</v>
      </c>
    </row>
    <row r="82" spans="1:10" x14ac:dyDescent="0.3">
      <c r="A82" s="6" t="s">
        <v>2315</v>
      </c>
      <c r="B82" s="7" t="s">
        <v>139</v>
      </c>
      <c r="C82" s="7" t="s">
        <v>643</v>
      </c>
      <c r="D82" s="7" t="s">
        <v>26</v>
      </c>
      <c r="E82" s="7" t="s">
        <v>2316</v>
      </c>
      <c r="F82" s="7" t="s">
        <v>366</v>
      </c>
      <c r="G82" s="7" t="s">
        <v>2317</v>
      </c>
      <c r="H82" s="7"/>
      <c r="I82" s="7" t="s">
        <v>2319</v>
      </c>
      <c r="J82" s="7"/>
    </row>
    <row r="83" spans="1:10" x14ac:dyDescent="0.3">
      <c r="A83" s="6" t="s">
        <v>397</v>
      </c>
      <c r="B83" s="7" t="s">
        <v>139</v>
      </c>
      <c r="C83" s="7" t="s">
        <v>140</v>
      </c>
      <c r="D83" s="7" t="s">
        <v>10</v>
      </c>
      <c r="E83" s="7" t="s">
        <v>398</v>
      </c>
      <c r="F83" s="7"/>
      <c r="G83" s="7" t="s">
        <v>399</v>
      </c>
      <c r="H83" s="7">
        <v>4</v>
      </c>
      <c r="I83" s="7" t="s">
        <v>196</v>
      </c>
      <c r="J83" s="7" t="s">
        <v>174</v>
      </c>
    </row>
    <row r="84" spans="1:10" x14ac:dyDescent="0.3">
      <c r="A84" s="6" t="s">
        <v>1109</v>
      </c>
      <c r="B84" s="7" t="s">
        <v>139</v>
      </c>
      <c r="C84" s="7" t="s">
        <v>773</v>
      </c>
      <c r="D84" s="7" t="s">
        <v>16</v>
      </c>
      <c r="E84" s="7" t="s">
        <v>1110</v>
      </c>
      <c r="F84" s="7" t="s">
        <v>1111</v>
      </c>
      <c r="G84" s="7" t="s">
        <v>1046</v>
      </c>
      <c r="H84" s="7">
        <v>8</v>
      </c>
      <c r="I84" s="7" t="s">
        <v>1112</v>
      </c>
      <c r="J84" s="7"/>
    </row>
    <row r="85" spans="1:10" x14ac:dyDescent="0.3">
      <c r="A85" s="6" t="s">
        <v>1043</v>
      </c>
      <c r="B85" s="7" t="s">
        <v>139</v>
      </c>
      <c r="C85" s="7" t="s">
        <v>773</v>
      </c>
      <c r="D85" s="7" t="s">
        <v>16</v>
      </c>
      <c r="E85" s="7" t="s">
        <v>1044</v>
      </c>
      <c r="F85" s="7" t="s">
        <v>1045</v>
      </c>
      <c r="G85" s="7" t="s">
        <v>1046</v>
      </c>
      <c r="H85" s="7">
        <v>5</v>
      </c>
      <c r="I85" s="7" t="s">
        <v>1047</v>
      </c>
      <c r="J85" s="7" t="s">
        <v>174</v>
      </c>
    </row>
    <row r="86" spans="1:10" x14ac:dyDescent="0.3">
      <c r="A86" s="6" t="s">
        <v>872</v>
      </c>
      <c r="B86" s="7" t="s">
        <v>139</v>
      </c>
      <c r="C86" s="7" t="s">
        <v>773</v>
      </c>
      <c r="D86" s="7" t="s">
        <v>16</v>
      </c>
      <c r="E86" s="7" t="s">
        <v>873</v>
      </c>
      <c r="F86" s="7" t="s">
        <v>874</v>
      </c>
      <c r="G86" s="7" t="s">
        <v>875</v>
      </c>
      <c r="H86" s="7">
        <v>13</v>
      </c>
      <c r="I86" s="7" t="s">
        <v>876</v>
      </c>
      <c r="J86" s="7" t="s">
        <v>480</v>
      </c>
    </row>
    <row r="87" spans="1:10" x14ac:dyDescent="0.3">
      <c r="A87" s="6" t="s">
        <v>1997</v>
      </c>
      <c r="B87" s="7" t="s">
        <v>139</v>
      </c>
      <c r="C87" s="7" t="s">
        <v>1156</v>
      </c>
      <c r="D87" s="7" t="s">
        <v>18</v>
      </c>
      <c r="E87" s="7" t="s">
        <v>1998</v>
      </c>
      <c r="F87" s="7" t="s">
        <v>1999</v>
      </c>
      <c r="G87" s="7" t="s">
        <v>2000</v>
      </c>
      <c r="H87" s="7">
        <v>1</v>
      </c>
      <c r="I87" s="7" t="s">
        <v>1996</v>
      </c>
      <c r="J87" s="7" t="s">
        <v>174</v>
      </c>
    </row>
    <row r="88" spans="1:10" x14ac:dyDescent="0.3">
      <c r="A88" s="6" t="s">
        <v>2183</v>
      </c>
      <c r="B88" s="7" t="s">
        <v>139</v>
      </c>
      <c r="C88" s="7" t="s">
        <v>2049</v>
      </c>
      <c r="D88" s="7" t="s">
        <v>21</v>
      </c>
      <c r="E88" s="7" t="s">
        <v>2184</v>
      </c>
      <c r="F88" s="7" t="s">
        <v>2185</v>
      </c>
      <c r="G88" s="7" t="s">
        <v>2186</v>
      </c>
      <c r="H88" s="7">
        <v>1</v>
      </c>
      <c r="I88" s="7"/>
      <c r="J88" s="7"/>
    </row>
    <row r="89" spans="1:10" x14ac:dyDescent="0.3">
      <c r="A89" s="6" t="s">
        <v>882</v>
      </c>
      <c r="B89" s="7" t="s">
        <v>139</v>
      </c>
      <c r="C89" s="7" t="s">
        <v>773</v>
      </c>
      <c r="D89" s="7" t="s">
        <v>16</v>
      </c>
      <c r="E89" s="7" t="s">
        <v>883</v>
      </c>
      <c r="F89" s="7" t="s">
        <v>884</v>
      </c>
      <c r="G89" s="7" t="s">
        <v>885</v>
      </c>
      <c r="H89" s="7">
        <v>1</v>
      </c>
      <c r="I89" s="7" t="s">
        <v>886</v>
      </c>
      <c r="J89" s="7" t="s">
        <v>243</v>
      </c>
    </row>
    <row r="90" spans="1:10" x14ac:dyDescent="0.3">
      <c r="A90" s="6" t="s">
        <v>1337</v>
      </c>
      <c r="B90" s="7" t="s">
        <v>139</v>
      </c>
      <c r="C90" s="7" t="s">
        <v>643</v>
      </c>
      <c r="D90" s="7" t="s">
        <v>27</v>
      </c>
      <c r="E90" s="7" t="s">
        <v>1338</v>
      </c>
      <c r="F90" s="7" t="s">
        <v>1339</v>
      </c>
      <c r="G90" s="7" t="s">
        <v>1340</v>
      </c>
      <c r="H90" s="7"/>
      <c r="I90" s="7" t="s">
        <v>1341</v>
      </c>
      <c r="J90" s="7" t="s">
        <v>174</v>
      </c>
    </row>
    <row r="91" spans="1:10" x14ac:dyDescent="0.3">
      <c r="A91" s="6" t="s">
        <v>311</v>
      </c>
      <c r="B91" s="7" t="s">
        <v>139</v>
      </c>
      <c r="C91" s="7" t="s">
        <v>140</v>
      </c>
      <c r="D91" s="7" t="s">
        <v>10</v>
      </c>
      <c r="E91" s="7" t="s">
        <v>312</v>
      </c>
      <c r="F91" s="7" t="s">
        <v>313</v>
      </c>
      <c r="G91" s="7" t="s">
        <v>314</v>
      </c>
      <c r="H91" s="7">
        <v>3</v>
      </c>
      <c r="I91" s="7" t="s">
        <v>315</v>
      </c>
      <c r="J91" s="7" t="s">
        <v>174</v>
      </c>
    </row>
    <row r="92" spans="1:10" x14ac:dyDescent="0.3">
      <c r="A92" s="6" t="s">
        <v>622</v>
      </c>
      <c r="B92" s="7" t="s">
        <v>139</v>
      </c>
      <c r="C92" s="7" t="s">
        <v>140</v>
      </c>
      <c r="D92" s="7" t="s">
        <v>10</v>
      </c>
      <c r="E92" s="7" t="s">
        <v>623</v>
      </c>
      <c r="F92" s="7" t="s">
        <v>624</v>
      </c>
      <c r="G92" s="7" t="s">
        <v>625</v>
      </c>
      <c r="H92" s="7">
        <v>2</v>
      </c>
      <c r="I92" s="7" t="s">
        <v>626</v>
      </c>
      <c r="J92" s="7" t="s">
        <v>149</v>
      </c>
    </row>
    <row r="93" spans="1:10" x14ac:dyDescent="0.3">
      <c r="A93" s="6" t="s">
        <v>2588</v>
      </c>
      <c r="B93" s="7" t="s">
        <v>139</v>
      </c>
      <c r="C93" s="7"/>
      <c r="D93" s="7" t="s">
        <v>35</v>
      </c>
      <c r="E93" s="7" t="s">
        <v>2589</v>
      </c>
      <c r="F93" s="7" t="s">
        <v>2590</v>
      </c>
      <c r="G93" s="7" t="s">
        <v>2591</v>
      </c>
      <c r="H93" s="7">
        <v>2</v>
      </c>
      <c r="I93" s="7" t="s">
        <v>444</v>
      </c>
      <c r="J93" s="7" t="s">
        <v>2594</v>
      </c>
    </row>
    <row r="94" spans="1:10" x14ac:dyDescent="0.3">
      <c r="A94" s="6" t="s">
        <v>1113</v>
      </c>
      <c r="B94" s="7" t="s">
        <v>139</v>
      </c>
      <c r="C94" s="7" t="s">
        <v>773</v>
      </c>
      <c r="D94" s="7" t="s">
        <v>16</v>
      </c>
      <c r="E94" s="7" t="s">
        <v>1114</v>
      </c>
      <c r="F94" s="7" t="s">
        <v>1115</v>
      </c>
      <c r="G94" s="7" t="s">
        <v>1116</v>
      </c>
      <c r="H94" s="7">
        <v>5</v>
      </c>
      <c r="I94" s="7" t="s">
        <v>498</v>
      </c>
      <c r="J94" s="7" t="s">
        <v>1117</v>
      </c>
    </row>
    <row r="95" spans="1:10" x14ac:dyDescent="0.3">
      <c r="A95" s="6" t="s">
        <v>1935</v>
      </c>
      <c r="B95" s="7" t="s">
        <v>139</v>
      </c>
      <c r="C95" s="7" t="s">
        <v>1156</v>
      </c>
      <c r="D95" s="7" t="s">
        <v>18</v>
      </c>
      <c r="E95" s="7" t="s">
        <v>1936</v>
      </c>
      <c r="F95" s="7" t="s">
        <v>1937</v>
      </c>
      <c r="G95" s="7" t="s">
        <v>1938</v>
      </c>
      <c r="H95" s="7">
        <v>14</v>
      </c>
      <c r="I95" s="7" t="s">
        <v>1940</v>
      </c>
      <c r="J95" s="7" t="s">
        <v>962</v>
      </c>
    </row>
    <row r="96" spans="1:10" x14ac:dyDescent="0.3">
      <c r="A96" s="6" t="s">
        <v>1976</v>
      </c>
      <c r="B96" s="7" t="s">
        <v>139</v>
      </c>
      <c r="C96" s="7" t="s">
        <v>1156</v>
      </c>
      <c r="D96" s="7" t="s">
        <v>18</v>
      </c>
      <c r="E96" s="7" t="s">
        <v>1977</v>
      </c>
      <c r="F96" s="7" t="s">
        <v>507</v>
      </c>
      <c r="G96" s="7" t="s">
        <v>103</v>
      </c>
      <c r="H96" s="7">
        <v>61</v>
      </c>
      <c r="I96" s="7" t="s">
        <v>105</v>
      </c>
      <c r="J96" s="7"/>
    </row>
    <row r="97" spans="1:10" x14ac:dyDescent="0.3">
      <c r="A97" s="6" t="s">
        <v>1979</v>
      </c>
      <c r="B97" s="7" t="s">
        <v>139</v>
      </c>
      <c r="C97" s="7" t="s">
        <v>1156</v>
      </c>
      <c r="D97" s="7" t="s">
        <v>18</v>
      </c>
      <c r="E97" s="7" t="s">
        <v>1980</v>
      </c>
      <c r="F97" s="7" t="s">
        <v>510</v>
      </c>
      <c r="G97" s="7" t="s">
        <v>103</v>
      </c>
      <c r="H97" s="7">
        <v>22</v>
      </c>
      <c r="I97" s="7" t="s">
        <v>105</v>
      </c>
      <c r="J97" s="7"/>
    </row>
    <row r="98" spans="1:10" x14ac:dyDescent="0.3">
      <c r="A98" s="6" t="s">
        <v>1920</v>
      </c>
      <c r="B98" s="7" t="s">
        <v>139</v>
      </c>
      <c r="C98" s="7" t="s">
        <v>1156</v>
      </c>
      <c r="D98" s="7" t="s">
        <v>18</v>
      </c>
      <c r="E98" s="7" t="s">
        <v>1921</v>
      </c>
      <c r="F98" s="7"/>
      <c r="G98" s="7" t="s">
        <v>1922</v>
      </c>
      <c r="H98" s="7">
        <v>2</v>
      </c>
      <c r="I98" s="7" t="s">
        <v>1925</v>
      </c>
      <c r="J98" s="7"/>
    </row>
    <row r="99" spans="1:10" x14ac:dyDescent="0.3">
      <c r="A99" s="6" t="s">
        <v>1950</v>
      </c>
      <c r="B99" s="7" t="s">
        <v>139</v>
      </c>
      <c r="C99" s="7" t="s">
        <v>1156</v>
      </c>
      <c r="D99" s="7" t="s">
        <v>18</v>
      </c>
      <c r="E99" s="7" t="s">
        <v>1951</v>
      </c>
      <c r="F99" s="7" t="s">
        <v>1952</v>
      </c>
      <c r="G99" s="7" t="s">
        <v>1953</v>
      </c>
      <c r="H99" s="7">
        <v>27</v>
      </c>
      <c r="I99" s="7" t="s">
        <v>233</v>
      </c>
      <c r="J99" s="7" t="s">
        <v>1956</v>
      </c>
    </row>
    <row r="100" spans="1:10" x14ac:dyDescent="0.3">
      <c r="A100" s="6" t="s">
        <v>877</v>
      </c>
      <c r="B100" s="7" t="s">
        <v>139</v>
      </c>
      <c r="C100" s="7" t="s">
        <v>773</v>
      </c>
      <c r="D100" s="7" t="s">
        <v>16</v>
      </c>
      <c r="E100" s="7" t="s">
        <v>878</v>
      </c>
      <c r="F100" s="7" t="s">
        <v>879</v>
      </c>
      <c r="G100" s="7" t="s">
        <v>880</v>
      </c>
      <c r="H100" s="7">
        <v>6</v>
      </c>
      <c r="I100" s="7" t="s">
        <v>881</v>
      </c>
      <c r="J100" s="7" t="s">
        <v>234</v>
      </c>
    </row>
    <row r="101" spans="1:10" x14ac:dyDescent="0.3">
      <c r="A101" s="6" t="s">
        <v>1821</v>
      </c>
      <c r="B101" s="7" t="s">
        <v>139</v>
      </c>
      <c r="C101" s="7" t="s">
        <v>773</v>
      </c>
      <c r="D101" s="7" t="s">
        <v>16</v>
      </c>
      <c r="E101" s="7" t="s">
        <v>1822</v>
      </c>
      <c r="F101" s="7" t="s">
        <v>1823</v>
      </c>
      <c r="G101" s="7" t="s">
        <v>1824</v>
      </c>
      <c r="H101" s="7">
        <v>5</v>
      </c>
      <c r="I101" s="7" t="s">
        <v>647</v>
      </c>
      <c r="J101" s="7" t="s">
        <v>1828</v>
      </c>
    </row>
    <row r="102" spans="1:10" x14ac:dyDescent="0.3">
      <c r="A102" s="6" t="s">
        <v>867</v>
      </c>
      <c r="B102" s="7" t="s">
        <v>139</v>
      </c>
      <c r="C102" s="7" t="s">
        <v>773</v>
      </c>
      <c r="D102" s="7" t="s">
        <v>16</v>
      </c>
      <c r="E102" s="7" t="s">
        <v>868</v>
      </c>
      <c r="F102" s="7" t="s">
        <v>290</v>
      </c>
      <c r="G102" s="7" t="s">
        <v>869</v>
      </c>
      <c r="H102" s="7">
        <v>2</v>
      </c>
      <c r="I102" s="7" t="s">
        <v>870</v>
      </c>
      <c r="J102" s="7" t="s">
        <v>871</v>
      </c>
    </row>
    <row r="103" spans="1:10" x14ac:dyDescent="0.3">
      <c r="A103" s="6" t="s">
        <v>985</v>
      </c>
      <c r="B103" s="7" t="s">
        <v>139</v>
      </c>
      <c r="C103" s="7" t="s">
        <v>773</v>
      </c>
      <c r="D103" s="7" t="s">
        <v>16</v>
      </c>
      <c r="E103" s="7" t="s">
        <v>986</v>
      </c>
      <c r="F103" s="7" t="s">
        <v>987</v>
      </c>
      <c r="G103" s="7" t="s">
        <v>988</v>
      </c>
      <c r="H103" s="7"/>
      <c r="I103" s="7" t="s">
        <v>989</v>
      </c>
      <c r="J103" s="7" t="s">
        <v>990</v>
      </c>
    </row>
    <row r="104" spans="1:10" x14ac:dyDescent="0.3">
      <c r="A104" s="6" t="s">
        <v>941</v>
      </c>
      <c r="B104" s="7" t="s">
        <v>139</v>
      </c>
      <c r="C104" s="7" t="s">
        <v>773</v>
      </c>
      <c r="D104" s="7" t="s">
        <v>16</v>
      </c>
      <c r="E104" s="7" t="s">
        <v>942</v>
      </c>
      <c r="F104" s="7" t="s">
        <v>943</v>
      </c>
      <c r="G104" s="7" t="s">
        <v>944</v>
      </c>
      <c r="H104" s="7">
        <v>7</v>
      </c>
      <c r="I104" s="7" t="s">
        <v>678</v>
      </c>
      <c r="J104" s="7" t="s">
        <v>945</v>
      </c>
    </row>
    <row r="105" spans="1:10" x14ac:dyDescent="0.3">
      <c r="A105" s="6" t="s">
        <v>1152</v>
      </c>
      <c r="B105" s="7" t="s">
        <v>139</v>
      </c>
      <c r="C105" s="7" t="s">
        <v>773</v>
      </c>
      <c r="D105" s="7" t="s">
        <v>16</v>
      </c>
      <c r="E105" s="7" t="s">
        <v>638</v>
      </c>
      <c r="F105" s="7" t="s">
        <v>764</v>
      </c>
      <c r="G105" s="7" t="s">
        <v>1153</v>
      </c>
      <c r="H105" s="7">
        <v>49</v>
      </c>
      <c r="I105" s="7" t="s">
        <v>1154</v>
      </c>
      <c r="J105" s="7" t="s">
        <v>174</v>
      </c>
    </row>
    <row r="106" spans="1:10" x14ac:dyDescent="0.3">
      <c r="A106" s="6" t="s">
        <v>906</v>
      </c>
      <c r="B106" s="7" t="s">
        <v>139</v>
      </c>
      <c r="C106" s="7" t="s">
        <v>773</v>
      </c>
      <c r="D106" s="7" t="s">
        <v>16</v>
      </c>
      <c r="E106" s="7" t="s">
        <v>907</v>
      </c>
      <c r="F106" s="7" t="s">
        <v>908</v>
      </c>
      <c r="G106" s="7" t="s">
        <v>909</v>
      </c>
      <c r="H106" s="7"/>
      <c r="I106" s="7" t="s">
        <v>337</v>
      </c>
      <c r="J106" s="7" t="s">
        <v>910</v>
      </c>
    </row>
    <row r="107" spans="1:10" x14ac:dyDescent="0.3">
      <c r="A107" s="6" t="s">
        <v>2571</v>
      </c>
      <c r="B107" s="7" t="s">
        <v>139</v>
      </c>
      <c r="C107" s="7"/>
      <c r="D107" s="7" t="s">
        <v>35</v>
      </c>
      <c r="E107" s="7" t="s">
        <v>2572</v>
      </c>
      <c r="F107" s="7" t="s">
        <v>2573</v>
      </c>
      <c r="G107" s="7" t="s">
        <v>2574</v>
      </c>
      <c r="H107" s="7">
        <v>7</v>
      </c>
      <c r="I107" s="7" t="s">
        <v>184</v>
      </c>
      <c r="J107" s="7" t="s">
        <v>1470</v>
      </c>
    </row>
    <row r="108" spans="1:10" x14ac:dyDescent="0.3">
      <c r="A108" s="6" t="s">
        <v>2602</v>
      </c>
      <c r="B108" s="7" t="s">
        <v>139</v>
      </c>
      <c r="C108" s="7"/>
      <c r="D108" s="7" t="s">
        <v>35</v>
      </c>
      <c r="E108" s="7" t="s">
        <v>2603</v>
      </c>
      <c r="F108" s="7" t="s">
        <v>2604</v>
      </c>
      <c r="G108" s="7" t="s">
        <v>2605</v>
      </c>
      <c r="H108" s="7">
        <v>1</v>
      </c>
      <c r="I108" s="7" t="s">
        <v>1184</v>
      </c>
      <c r="J108" s="7" t="s">
        <v>2607</v>
      </c>
    </row>
    <row r="109" spans="1:10" x14ac:dyDescent="0.3">
      <c r="A109" s="6" t="s">
        <v>969</v>
      </c>
      <c r="B109" s="7" t="s">
        <v>139</v>
      </c>
      <c r="C109" s="7" t="s">
        <v>773</v>
      </c>
      <c r="D109" s="7" t="s">
        <v>16</v>
      </c>
      <c r="E109" s="7" t="s">
        <v>970</v>
      </c>
      <c r="F109" s="7" t="s">
        <v>971</v>
      </c>
      <c r="G109" s="7" t="s">
        <v>972</v>
      </c>
      <c r="H109" s="7"/>
      <c r="I109" s="7" t="s">
        <v>237</v>
      </c>
      <c r="J109" s="7" t="s">
        <v>174</v>
      </c>
    </row>
    <row r="110" spans="1:10" x14ac:dyDescent="0.3">
      <c r="A110" s="6" t="s">
        <v>1085</v>
      </c>
      <c r="B110" s="7" t="s">
        <v>139</v>
      </c>
      <c r="C110" s="7" t="s">
        <v>773</v>
      </c>
      <c r="D110" s="7" t="s">
        <v>16</v>
      </c>
      <c r="E110" s="7" t="s">
        <v>1086</v>
      </c>
      <c r="F110" s="7" t="s">
        <v>1087</v>
      </c>
      <c r="G110" s="7" t="s">
        <v>1088</v>
      </c>
      <c r="H110" s="7"/>
      <c r="I110" s="7" t="s">
        <v>396</v>
      </c>
      <c r="J110" s="7" t="s">
        <v>1089</v>
      </c>
    </row>
    <row r="111" spans="1:10" x14ac:dyDescent="0.3">
      <c r="A111" s="6" t="s">
        <v>1199</v>
      </c>
      <c r="B111" s="7" t="s">
        <v>139</v>
      </c>
      <c r="C111" s="7" t="s">
        <v>1156</v>
      </c>
      <c r="D111" s="7" t="s">
        <v>18</v>
      </c>
      <c r="E111" s="7" t="s">
        <v>78</v>
      </c>
      <c r="F111" s="7" t="s">
        <v>290</v>
      </c>
      <c r="G111" s="7" t="s">
        <v>1200</v>
      </c>
      <c r="H111" s="7">
        <v>36</v>
      </c>
      <c r="I111" s="7" t="s">
        <v>1201</v>
      </c>
      <c r="J111" s="7" t="s">
        <v>1202</v>
      </c>
    </row>
    <row r="112" spans="1:10" x14ac:dyDescent="0.3">
      <c r="A112" s="6" t="s">
        <v>1796</v>
      </c>
      <c r="B112" s="7" t="s">
        <v>139</v>
      </c>
      <c r="C112" s="7" t="s">
        <v>773</v>
      </c>
      <c r="D112" s="7" t="s">
        <v>16</v>
      </c>
      <c r="E112" s="7" t="s">
        <v>1797</v>
      </c>
      <c r="F112" s="7" t="s">
        <v>1798</v>
      </c>
      <c r="G112" s="7" t="s">
        <v>1799</v>
      </c>
      <c r="H112" s="7"/>
      <c r="I112" s="7" t="s">
        <v>207</v>
      </c>
      <c r="J112" s="7" t="s">
        <v>174</v>
      </c>
    </row>
    <row r="113" spans="1:10" x14ac:dyDescent="0.3">
      <c r="A113" s="6" t="s">
        <v>1171</v>
      </c>
      <c r="B113" s="7" t="s">
        <v>139</v>
      </c>
      <c r="C113" s="7" t="s">
        <v>1156</v>
      </c>
      <c r="D113" s="7" t="s">
        <v>18</v>
      </c>
      <c r="E113" s="7" t="s">
        <v>1172</v>
      </c>
      <c r="F113" s="7" t="s">
        <v>242</v>
      </c>
      <c r="G113" s="7" t="s">
        <v>1173</v>
      </c>
      <c r="H113" s="7">
        <v>38</v>
      </c>
      <c r="I113" s="7" t="s">
        <v>1174</v>
      </c>
      <c r="J113" s="7" t="s">
        <v>243</v>
      </c>
    </row>
    <row r="114" spans="1:10" x14ac:dyDescent="0.3">
      <c r="A114" s="6" t="s">
        <v>1866</v>
      </c>
      <c r="B114" s="7" t="s">
        <v>139</v>
      </c>
      <c r="C114" s="7" t="s">
        <v>773</v>
      </c>
      <c r="D114" s="7" t="s">
        <v>16</v>
      </c>
      <c r="E114" s="7" t="s">
        <v>1060</v>
      </c>
      <c r="F114" s="7" t="s">
        <v>1061</v>
      </c>
      <c r="G114" s="7" t="s">
        <v>1867</v>
      </c>
      <c r="H114" s="7"/>
      <c r="I114" s="7" t="s">
        <v>1871</v>
      </c>
      <c r="J114" s="7" t="s">
        <v>1872</v>
      </c>
    </row>
    <row r="115" spans="1:10" x14ac:dyDescent="0.3">
      <c r="A115" s="6" t="s">
        <v>2554</v>
      </c>
      <c r="B115" s="7" t="s">
        <v>139</v>
      </c>
      <c r="C115" s="7"/>
      <c r="D115" s="7" t="s">
        <v>35</v>
      </c>
      <c r="E115" s="7" t="s">
        <v>2555</v>
      </c>
      <c r="F115" s="7" t="s">
        <v>2556</v>
      </c>
      <c r="G115" s="7" t="s">
        <v>2557</v>
      </c>
      <c r="H115" s="7">
        <v>11</v>
      </c>
      <c r="I115" s="7" t="s">
        <v>647</v>
      </c>
      <c r="J115" s="7" t="s">
        <v>924</v>
      </c>
    </row>
    <row r="116" spans="1:10" x14ac:dyDescent="0.3">
      <c r="A116" s="6" t="s">
        <v>1175</v>
      </c>
      <c r="B116" s="7" t="s">
        <v>139</v>
      </c>
      <c r="C116" s="7" t="s">
        <v>1156</v>
      </c>
      <c r="D116" s="7" t="s">
        <v>18</v>
      </c>
      <c r="E116" s="7" t="s">
        <v>795</v>
      </c>
      <c r="F116" s="7" t="s">
        <v>796</v>
      </c>
      <c r="G116" s="7" t="s">
        <v>1176</v>
      </c>
      <c r="H116" s="7">
        <v>26</v>
      </c>
      <c r="I116" s="7" t="s">
        <v>1177</v>
      </c>
      <c r="J116" s="7" t="s">
        <v>1073</v>
      </c>
    </row>
    <row r="117" spans="1:10" x14ac:dyDescent="0.3">
      <c r="A117" s="6" t="s">
        <v>1090</v>
      </c>
      <c r="B117" s="7" t="s">
        <v>139</v>
      </c>
      <c r="C117" s="7" t="s">
        <v>773</v>
      </c>
      <c r="D117" s="7" t="s">
        <v>16</v>
      </c>
      <c r="E117" s="7" t="s">
        <v>1086</v>
      </c>
      <c r="F117" s="7" t="s">
        <v>1087</v>
      </c>
      <c r="G117" s="7" t="s">
        <v>1091</v>
      </c>
      <c r="H117" s="7">
        <v>2</v>
      </c>
      <c r="I117" s="7" t="s">
        <v>1092</v>
      </c>
      <c r="J117" s="7" t="s">
        <v>144</v>
      </c>
    </row>
    <row r="118" spans="1:10" x14ac:dyDescent="0.3">
      <c r="A118" s="6" t="s">
        <v>1941</v>
      </c>
      <c r="B118" s="7" t="s">
        <v>139</v>
      </c>
      <c r="C118" s="7" t="s">
        <v>1156</v>
      </c>
      <c r="D118" s="7" t="s">
        <v>18</v>
      </c>
      <c r="E118" s="7" t="s">
        <v>1224</v>
      </c>
      <c r="F118" s="7" t="s">
        <v>1225</v>
      </c>
      <c r="G118" s="7" t="s">
        <v>1942</v>
      </c>
      <c r="H118" s="7">
        <v>2</v>
      </c>
      <c r="I118" s="7" t="s">
        <v>411</v>
      </c>
      <c r="J118" s="7" t="s">
        <v>326</v>
      </c>
    </row>
    <row r="119" spans="1:10" x14ac:dyDescent="0.3">
      <c r="A119" s="6" t="s">
        <v>807</v>
      </c>
      <c r="B119" s="7" t="s">
        <v>139</v>
      </c>
      <c r="C119" s="7" t="s">
        <v>773</v>
      </c>
      <c r="D119" s="7" t="s">
        <v>16</v>
      </c>
      <c r="E119" s="7" t="s">
        <v>808</v>
      </c>
      <c r="F119" s="7" t="s">
        <v>809</v>
      </c>
      <c r="G119" s="7" t="s">
        <v>810</v>
      </c>
      <c r="H119" s="7">
        <v>4</v>
      </c>
      <c r="I119" s="7" t="s">
        <v>811</v>
      </c>
      <c r="J119" s="7" t="s">
        <v>144</v>
      </c>
    </row>
    <row r="120" spans="1:10" x14ac:dyDescent="0.3">
      <c r="A120" s="6" t="s">
        <v>1093</v>
      </c>
      <c r="B120" s="7" t="s">
        <v>139</v>
      </c>
      <c r="C120" s="7" t="s">
        <v>773</v>
      </c>
      <c r="D120" s="7" t="s">
        <v>16</v>
      </c>
      <c r="E120" s="7" t="s">
        <v>1086</v>
      </c>
      <c r="F120" s="7" t="s">
        <v>1087</v>
      </c>
      <c r="G120" s="7" t="s">
        <v>1094</v>
      </c>
      <c r="H120" s="7">
        <v>5</v>
      </c>
      <c r="I120" s="7" t="s">
        <v>430</v>
      </c>
      <c r="J120" s="7" t="s">
        <v>617</v>
      </c>
    </row>
    <row r="121" spans="1:10" x14ac:dyDescent="0.3">
      <c r="A121" s="6" t="s">
        <v>1325</v>
      </c>
      <c r="B121" s="7" t="s">
        <v>139</v>
      </c>
      <c r="C121" s="7" t="s">
        <v>1156</v>
      </c>
      <c r="D121" s="7" t="s">
        <v>18</v>
      </c>
      <c r="E121" s="7" t="s">
        <v>1326</v>
      </c>
      <c r="F121" s="7" t="s">
        <v>1142</v>
      </c>
      <c r="G121" s="7" t="s">
        <v>1327</v>
      </c>
      <c r="H121" s="7">
        <v>23</v>
      </c>
      <c r="I121" s="7" t="s">
        <v>1328</v>
      </c>
      <c r="J121" s="7" t="s">
        <v>332</v>
      </c>
    </row>
    <row r="122" spans="1:10" x14ac:dyDescent="0.3">
      <c r="A122" s="6" t="s">
        <v>1873</v>
      </c>
      <c r="B122" s="7" t="s">
        <v>139</v>
      </c>
      <c r="C122" s="7" t="s">
        <v>773</v>
      </c>
      <c r="D122" s="7" t="s">
        <v>16</v>
      </c>
      <c r="E122" s="7" t="s">
        <v>1086</v>
      </c>
      <c r="F122" s="7" t="s">
        <v>1087</v>
      </c>
      <c r="G122" s="7" t="s">
        <v>1874</v>
      </c>
      <c r="H122" s="7"/>
      <c r="I122" s="7" t="s">
        <v>777</v>
      </c>
      <c r="J122" s="7" t="s">
        <v>144</v>
      </c>
    </row>
    <row r="123" spans="1:10" x14ac:dyDescent="0.3">
      <c r="A123" s="6" t="s">
        <v>2298</v>
      </c>
      <c r="B123" s="7" t="s">
        <v>1334</v>
      </c>
      <c r="C123" s="7" t="s">
        <v>1156</v>
      </c>
      <c r="D123" s="7" t="s">
        <v>25</v>
      </c>
      <c r="E123" s="7" t="s">
        <v>2299</v>
      </c>
      <c r="F123" s="7" t="s">
        <v>2300</v>
      </c>
      <c r="G123" s="7" t="s">
        <v>2301</v>
      </c>
      <c r="H123" s="7">
        <v>6</v>
      </c>
      <c r="I123" s="7" t="s">
        <v>396</v>
      </c>
      <c r="J123" s="7" t="s">
        <v>1757</v>
      </c>
    </row>
    <row r="124" spans="1:10" x14ac:dyDescent="0.3">
      <c r="A124" s="6" t="s">
        <v>973</v>
      </c>
      <c r="B124" s="7" t="s">
        <v>139</v>
      </c>
      <c r="C124" s="7" t="s">
        <v>773</v>
      </c>
      <c r="D124" s="7" t="s">
        <v>16</v>
      </c>
      <c r="E124" s="7" t="s">
        <v>974</v>
      </c>
      <c r="F124" s="7" t="s">
        <v>975</v>
      </c>
      <c r="G124" s="7" t="s">
        <v>976</v>
      </c>
      <c r="H124" s="7">
        <v>16</v>
      </c>
      <c r="I124" s="7" t="s">
        <v>153</v>
      </c>
      <c r="J124" s="7" t="s">
        <v>174</v>
      </c>
    </row>
    <row r="125" spans="1:10" x14ac:dyDescent="0.3">
      <c r="A125" s="6" t="s">
        <v>1079</v>
      </c>
      <c r="B125" s="7" t="s">
        <v>139</v>
      </c>
      <c r="C125" s="7" t="s">
        <v>773</v>
      </c>
      <c r="D125" s="7" t="s">
        <v>16</v>
      </c>
      <c r="E125" s="7" t="s">
        <v>1080</v>
      </c>
      <c r="F125" s="7" t="s">
        <v>1081</v>
      </c>
      <c r="G125" s="7" t="s">
        <v>1082</v>
      </c>
      <c r="H125" s="7">
        <v>6</v>
      </c>
      <c r="I125" s="7" t="s">
        <v>1083</v>
      </c>
      <c r="J125" s="7" t="s">
        <v>1084</v>
      </c>
    </row>
    <row r="126" spans="1:10" x14ac:dyDescent="0.3">
      <c r="A126" s="6" t="s">
        <v>1095</v>
      </c>
      <c r="B126" s="7" t="s">
        <v>139</v>
      </c>
      <c r="C126" s="7" t="s">
        <v>773</v>
      </c>
      <c r="D126" s="7" t="s">
        <v>16</v>
      </c>
      <c r="E126" s="7" t="s">
        <v>1086</v>
      </c>
      <c r="F126" s="7" t="s">
        <v>1087</v>
      </c>
      <c r="G126" s="7" t="s">
        <v>1096</v>
      </c>
      <c r="H126" s="7">
        <v>2</v>
      </c>
      <c r="I126" s="7" t="s">
        <v>1097</v>
      </c>
      <c r="J126" s="7" t="s">
        <v>422</v>
      </c>
    </row>
    <row r="127" spans="1:10" x14ac:dyDescent="0.3">
      <c r="A127" s="6" t="s">
        <v>1931</v>
      </c>
      <c r="B127" s="7" t="s">
        <v>139</v>
      </c>
      <c r="C127" s="7" t="s">
        <v>1156</v>
      </c>
      <c r="D127" s="7" t="s">
        <v>18</v>
      </c>
      <c r="E127" s="7" t="s">
        <v>1932</v>
      </c>
      <c r="F127" s="7" t="s">
        <v>329</v>
      </c>
      <c r="G127" s="7" t="s">
        <v>1933</v>
      </c>
      <c r="H127" s="7">
        <v>5</v>
      </c>
      <c r="I127" s="7" t="s">
        <v>411</v>
      </c>
      <c r="J127" s="7" t="s">
        <v>174</v>
      </c>
    </row>
    <row r="128" spans="1:10" x14ac:dyDescent="0.3">
      <c r="A128" s="6" t="s">
        <v>2292</v>
      </c>
      <c r="B128" s="7" t="s">
        <v>1334</v>
      </c>
      <c r="C128" s="7" t="s">
        <v>1156</v>
      </c>
      <c r="D128" s="7" t="s">
        <v>25</v>
      </c>
      <c r="E128" s="7" t="s">
        <v>2293</v>
      </c>
      <c r="F128" s="7" t="s">
        <v>300</v>
      </c>
      <c r="G128" s="7" t="s">
        <v>2294</v>
      </c>
      <c r="H128" s="7">
        <v>6</v>
      </c>
      <c r="I128" s="7" t="s">
        <v>207</v>
      </c>
      <c r="J128" s="7" t="s">
        <v>174</v>
      </c>
    </row>
    <row r="129" spans="1:10" x14ac:dyDescent="0.3">
      <c r="A129" s="6" t="s">
        <v>1067</v>
      </c>
      <c r="B129" s="7" t="s">
        <v>139</v>
      </c>
      <c r="C129" s="7" t="s">
        <v>773</v>
      </c>
      <c r="D129" s="7" t="s">
        <v>16</v>
      </c>
      <c r="E129" s="7" t="s">
        <v>1068</v>
      </c>
      <c r="F129" s="7" t="s">
        <v>1069</v>
      </c>
      <c r="G129" s="7" t="s">
        <v>1070</v>
      </c>
      <c r="H129" s="7">
        <v>11</v>
      </c>
      <c r="I129" s="7" t="s">
        <v>396</v>
      </c>
      <c r="J129" s="7" t="s">
        <v>485</v>
      </c>
    </row>
    <row r="130" spans="1:10" x14ac:dyDescent="0.3">
      <c r="A130" s="6" t="s">
        <v>812</v>
      </c>
      <c r="B130" s="7" t="s">
        <v>139</v>
      </c>
      <c r="C130" s="7" t="s">
        <v>773</v>
      </c>
      <c r="D130" s="7" t="s">
        <v>16</v>
      </c>
      <c r="E130" s="7" t="s">
        <v>808</v>
      </c>
      <c r="F130" s="7" t="s">
        <v>809</v>
      </c>
      <c r="G130" s="7" t="s">
        <v>813</v>
      </c>
      <c r="H130" s="7">
        <v>4</v>
      </c>
      <c r="I130" s="7" t="s">
        <v>814</v>
      </c>
      <c r="J130" s="7" t="s">
        <v>815</v>
      </c>
    </row>
    <row r="131" spans="1:10" x14ac:dyDescent="0.3">
      <c r="A131" s="6" t="s">
        <v>816</v>
      </c>
      <c r="B131" s="7" t="s">
        <v>139</v>
      </c>
      <c r="C131" s="7" t="s">
        <v>773</v>
      </c>
      <c r="D131" s="7" t="s">
        <v>16</v>
      </c>
      <c r="E131" s="7" t="s">
        <v>808</v>
      </c>
      <c r="F131" s="7" t="s">
        <v>809</v>
      </c>
      <c r="G131" s="7" t="s">
        <v>817</v>
      </c>
      <c r="H131" s="7">
        <v>7</v>
      </c>
      <c r="I131" s="7" t="s">
        <v>583</v>
      </c>
      <c r="J131" s="7" t="s">
        <v>818</v>
      </c>
    </row>
    <row r="132" spans="1:10" x14ac:dyDescent="0.3">
      <c r="A132" s="6" t="s">
        <v>794</v>
      </c>
      <c r="B132" s="7" t="s">
        <v>139</v>
      </c>
      <c r="C132" s="7" t="s">
        <v>773</v>
      </c>
      <c r="D132" s="7" t="s">
        <v>16</v>
      </c>
      <c r="E132" s="7" t="s">
        <v>795</v>
      </c>
      <c r="F132" s="7" t="s">
        <v>796</v>
      </c>
      <c r="G132" s="7" t="s">
        <v>797</v>
      </c>
      <c r="H132" s="7">
        <v>19</v>
      </c>
      <c r="I132" s="7" t="s">
        <v>798</v>
      </c>
      <c r="J132" s="7" t="s">
        <v>391</v>
      </c>
    </row>
    <row r="133" spans="1:10" x14ac:dyDescent="0.3">
      <c r="A133" s="6" t="s">
        <v>1305</v>
      </c>
      <c r="B133" s="7" t="s">
        <v>139</v>
      </c>
      <c r="C133" s="7" t="s">
        <v>1156</v>
      </c>
      <c r="D133" s="7" t="s">
        <v>18</v>
      </c>
      <c r="E133" s="7" t="s">
        <v>1306</v>
      </c>
      <c r="F133" s="7" t="s">
        <v>1307</v>
      </c>
      <c r="G133" s="7" t="s">
        <v>1308</v>
      </c>
      <c r="H133" s="7">
        <v>16</v>
      </c>
      <c r="I133" s="7" t="s">
        <v>1309</v>
      </c>
      <c r="J133" s="7" t="s">
        <v>262</v>
      </c>
    </row>
    <row r="134" spans="1:10" x14ac:dyDescent="0.3">
      <c r="A134" s="6" t="s">
        <v>920</v>
      </c>
      <c r="B134" s="7" t="s">
        <v>139</v>
      </c>
      <c r="C134" s="7" t="s">
        <v>773</v>
      </c>
      <c r="D134" s="7" t="s">
        <v>16</v>
      </c>
      <c r="E134" s="7" t="s">
        <v>921</v>
      </c>
      <c r="F134" s="7" t="s">
        <v>922</v>
      </c>
      <c r="G134" s="7" t="s">
        <v>923</v>
      </c>
      <c r="H134" s="7">
        <v>2</v>
      </c>
      <c r="I134" s="7" t="s">
        <v>434</v>
      </c>
      <c r="J134" s="7" t="s">
        <v>924</v>
      </c>
    </row>
    <row r="135" spans="1:10" x14ac:dyDescent="0.3">
      <c r="A135" s="6" t="s">
        <v>1071</v>
      </c>
      <c r="B135" s="7" t="s">
        <v>139</v>
      </c>
      <c r="C135" s="7" t="s">
        <v>773</v>
      </c>
      <c r="D135" s="7" t="s">
        <v>16</v>
      </c>
      <c r="E135" s="7" t="s">
        <v>1068</v>
      </c>
      <c r="F135" s="7" t="s">
        <v>1069</v>
      </c>
      <c r="G135" s="7" t="s">
        <v>1072</v>
      </c>
      <c r="H135" s="7">
        <v>8</v>
      </c>
      <c r="I135" s="7" t="s">
        <v>583</v>
      </c>
      <c r="J135" s="7" t="s">
        <v>1073</v>
      </c>
    </row>
    <row r="136" spans="1:10" x14ac:dyDescent="0.3">
      <c r="A136" s="6" t="s">
        <v>1098</v>
      </c>
      <c r="B136" s="7" t="s">
        <v>139</v>
      </c>
      <c r="C136" s="7" t="s">
        <v>773</v>
      </c>
      <c r="D136" s="7" t="s">
        <v>16</v>
      </c>
      <c r="E136" s="7" t="s">
        <v>1086</v>
      </c>
      <c r="F136" s="7" t="s">
        <v>1087</v>
      </c>
      <c r="G136" s="7" t="s">
        <v>1099</v>
      </c>
      <c r="H136" s="7"/>
      <c r="I136" s="7" t="s">
        <v>1100</v>
      </c>
      <c r="J136" s="7" t="s">
        <v>737</v>
      </c>
    </row>
    <row r="137" spans="1:10" x14ac:dyDescent="0.3">
      <c r="A137" s="6" t="s">
        <v>1981</v>
      </c>
      <c r="B137" s="7" t="s">
        <v>139</v>
      </c>
      <c r="C137" s="7" t="s">
        <v>1156</v>
      </c>
      <c r="D137" s="7" t="s">
        <v>18</v>
      </c>
      <c r="E137" s="7" t="s">
        <v>1982</v>
      </c>
      <c r="F137" s="7" t="s">
        <v>1983</v>
      </c>
      <c r="G137" s="7" t="s">
        <v>1984</v>
      </c>
      <c r="H137" s="7">
        <v>27</v>
      </c>
      <c r="I137" s="7" t="s">
        <v>1083</v>
      </c>
      <c r="J137" s="7" t="s">
        <v>1751</v>
      </c>
    </row>
    <row r="138" spans="1:10" x14ac:dyDescent="0.3">
      <c r="A138" s="6" t="s">
        <v>819</v>
      </c>
      <c r="B138" s="7" t="s">
        <v>139</v>
      </c>
      <c r="C138" s="7" t="s">
        <v>773</v>
      </c>
      <c r="D138" s="7" t="s">
        <v>16</v>
      </c>
      <c r="E138" s="7" t="s">
        <v>808</v>
      </c>
      <c r="F138" s="7" t="s">
        <v>809</v>
      </c>
      <c r="G138" s="7" t="s">
        <v>820</v>
      </c>
      <c r="H138" s="7">
        <v>3</v>
      </c>
      <c r="I138" s="7" t="s">
        <v>821</v>
      </c>
      <c r="J138" s="7" t="s">
        <v>822</v>
      </c>
    </row>
    <row r="139" spans="1:10" x14ac:dyDescent="0.3">
      <c r="A139" s="6" t="s">
        <v>2011</v>
      </c>
      <c r="B139" s="7" t="s">
        <v>139</v>
      </c>
      <c r="C139" s="7" t="s">
        <v>1156</v>
      </c>
      <c r="D139" s="7" t="s">
        <v>18</v>
      </c>
      <c r="E139" s="7" t="s">
        <v>1306</v>
      </c>
      <c r="F139" s="7" t="s">
        <v>1307</v>
      </c>
      <c r="G139" s="7" t="s">
        <v>2012</v>
      </c>
      <c r="H139" s="7">
        <v>52</v>
      </c>
      <c r="I139" s="7" t="s">
        <v>411</v>
      </c>
      <c r="J139" s="7" t="s">
        <v>617</v>
      </c>
    </row>
    <row r="140" spans="1:10" x14ac:dyDescent="0.3">
      <c r="A140" s="6" t="s">
        <v>1292</v>
      </c>
      <c r="B140" s="7" t="s">
        <v>139</v>
      </c>
      <c r="C140" s="7" t="s">
        <v>1156</v>
      </c>
      <c r="D140" s="7" t="s">
        <v>18</v>
      </c>
      <c r="E140" s="7" t="s">
        <v>1293</v>
      </c>
      <c r="F140" s="7" t="s">
        <v>1061</v>
      </c>
      <c r="G140" s="7" t="s">
        <v>1294</v>
      </c>
      <c r="H140" s="7">
        <v>7</v>
      </c>
      <c r="I140" s="7" t="s">
        <v>1295</v>
      </c>
      <c r="J140" s="7" t="s">
        <v>1296</v>
      </c>
    </row>
    <row r="141" spans="1:10" x14ac:dyDescent="0.3">
      <c r="A141" s="6" t="s">
        <v>1213</v>
      </c>
      <c r="B141" s="7" t="s">
        <v>139</v>
      </c>
      <c r="C141" s="7" t="s">
        <v>1156</v>
      </c>
      <c r="D141" s="7" t="s">
        <v>18</v>
      </c>
      <c r="E141" s="7" t="s">
        <v>1214</v>
      </c>
      <c r="F141" s="7" t="s">
        <v>1215</v>
      </c>
      <c r="G141" s="7" t="s">
        <v>1216</v>
      </c>
      <c r="H141" s="7">
        <v>20</v>
      </c>
      <c r="I141" s="7" t="s">
        <v>1056</v>
      </c>
      <c r="J141" s="7" t="s">
        <v>1217</v>
      </c>
    </row>
    <row r="142" spans="1:10" x14ac:dyDescent="0.3">
      <c r="A142" s="6" t="s">
        <v>1241</v>
      </c>
      <c r="B142" s="7" t="s">
        <v>139</v>
      </c>
      <c r="C142" s="7" t="s">
        <v>1156</v>
      </c>
      <c r="D142" s="7" t="s">
        <v>18</v>
      </c>
      <c r="E142" s="7" t="s">
        <v>1242</v>
      </c>
      <c r="F142" s="7" t="s">
        <v>1243</v>
      </c>
      <c r="G142" s="7" t="s">
        <v>1244</v>
      </c>
      <c r="H142" s="7">
        <v>23</v>
      </c>
      <c r="I142" s="7" t="s">
        <v>1245</v>
      </c>
      <c r="J142" s="7" t="s">
        <v>1246</v>
      </c>
    </row>
    <row r="143" spans="1:10" x14ac:dyDescent="0.3">
      <c r="A143" s="6" t="s">
        <v>2002</v>
      </c>
      <c r="B143" s="7" t="s">
        <v>139</v>
      </c>
      <c r="C143" s="7" t="s">
        <v>1156</v>
      </c>
      <c r="D143" s="7" t="s">
        <v>18</v>
      </c>
      <c r="E143" s="7" t="s">
        <v>2003</v>
      </c>
      <c r="F143" s="7" t="s">
        <v>2004</v>
      </c>
      <c r="G143" s="7" t="s">
        <v>2005</v>
      </c>
      <c r="H143" s="7">
        <v>7</v>
      </c>
      <c r="I143" s="7" t="s">
        <v>2009</v>
      </c>
      <c r="J143" s="7" t="s">
        <v>2010</v>
      </c>
    </row>
    <row r="144" spans="1:10" x14ac:dyDescent="0.3">
      <c r="A144" s="6" t="s">
        <v>1012</v>
      </c>
      <c r="B144" s="7" t="s">
        <v>139</v>
      </c>
      <c r="C144" s="7" t="s">
        <v>773</v>
      </c>
      <c r="D144" s="7" t="s">
        <v>16</v>
      </c>
      <c r="E144" s="7" t="s">
        <v>1013</v>
      </c>
      <c r="F144" s="7" t="s">
        <v>510</v>
      </c>
      <c r="G144" s="7" t="s">
        <v>100</v>
      </c>
      <c r="H144" s="7">
        <v>23</v>
      </c>
      <c r="I144" s="7" t="s">
        <v>87</v>
      </c>
      <c r="J144" s="7" t="s">
        <v>419</v>
      </c>
    </row>
    <row r="145" spans="1:10" x14ac:dyDescent="0.3">
      <c r="A145" s="6" t="s">
        <v>1010</v>
      </c>
      <c r="B145" s="7" t="s">
        <v>139</v>
      </c>
      <c r="C145" s="7" t="s">
        <v>773</v>
      </c>
      <c r="D145" s="7" t="s">
        <v>16</v>
      </c>
      <c r="E145" s="7" t="s">
        <v>1011</v>
      </c>
      <c r="F145" s="7" t="s">
        <v>507</v>
      </c>
      <c r="G145" s="7" t="s">
        <v>100</v>
      </c>
      <c r="H145" s="7">
        <v>85</v>
      </c>
      <c r="I145" s="7" t="s">
        <v>87</v>
      </c>
      <c r="J145" s="7" t="s">
        <v>419</v>
      </c>
    </row>
    <row r="146" spans="1:10" x14ac:dyDescent="0.3">
      <c r="A146" s="6" t="s">
        <v>1191</v>
      </c>
      <c r="B146" s="7" t="s">
        <v>139</v>
      </c>
      <c r="C146" s="7" t="s">
        <v>1156</v>
      </c>
      <c r="D146" s="7" t="s">
        <v>18</v>
      </c>
      <c r="E146" s="7" t="s">
        <v>1192</v>
      </c>
      <c r="F146" s="7" t="s">
        <v>845</v>
      </c>
      <c r="G146" s="7" t="s">
        <v>1193</v>
      </c>
      <c r="H146" s="7">
        <v>12</v>
      </c>
      <c r="I146" s="7" t="s">
        <v>1194</v>
      </c>
      <c r="J146" s="7" t="s">
        <v>630</v>
      </c>
    </row>
    <row r="147" spans="1:10" x14ac:dyDescent="0.3">
      <c r="A147" s="6" t="s">
        <v>2015</v>
      </c>
      <c r="B147" s="7" t="s">
        <v>139</v>
      </c>
      <c r="C147" s="7" t="s">
        <v>1156</v>
      </c>
      <c r="D147" s="7" t="s">
        <v>18</v>
      </c>
      <c r="E147" s="7" t="s">
        <v>1306</v>
      </c>
      <c r="F147" s="7" t="s">
        <v>1307</v>
      </c>
      <c r="G147" s="7" t="s">
        <v>2016</v>
      </c>
      <c r="H147" s="7">
        <v>54</v>
      </c>
      <c r="I147" s="7" t="s">
        <v>2018</v>
      </c>
      <c r="J147" s="7" t="s">
        <v>2019</v>
      </c>
    </row>
    <row r="148" spans="1:10" x14ac:dyDescent="0.3">
      <c r="A148" s="6" t="s">
        <v>1944</v>
      </c>
      <c r="B148" s="7" t="s">
        <v>139</v>
      </c>
      <c r="C148" s="7" t="s">
        <v>1156</v>
      </c>
      <c r="D148" s="7" t="s">
        <v>18</v>
      </c>
      <c r="E148" s="7" t="s">
        <v>1224</v>
      </c>
      <c r="F148" s="7" t="s">
        <v>1225</v>
      </c>
      <c r="G148" s="7" t="s">
        <v>1945</v>
      </c>
      <c r="H148" s="7">
        <v>10</v>
      </c>
      <c r="I148" s="7" t="s">
        <v>1947</v>
      </c>
      <c r="J148" s="7" t="s">
        <v>1948</v>
      </c>
    </row>
    <row r="149" spans="1:10" x14ac:dyDescent="0.3">
      <c r="A149" s="6" t="s">
        <v>1284</v>
      </c>
      <c r="B149" s="7" t="s">
        <v>139</v>
      </c>
      <c r="C149" s="7" t="s">
        <v>1156</v>
      </c>
      <c r="D149" s="7" t="s">
        <v>18</v>
      </c>
      <c r="E149" s="7" t="s">
        <v>1285</v>
      </c>
      <c r="F149" s="7" t="s">
        <v>1286</v>
      </c>
      <c r="G149" s="7" t="s">
        <v>1287</v>
      </c>
      <c r="H149" s="7">
        <v>22</v>
      </c>
      <c r="I149" s="7" t="s">
        <v>697</v>
      </c>
      <c r="J149" s="7" t="s">
        <v>1288</v>
      </c>
    </row>
    <row r="150" spans="1:10" x14ac:dyDescent="0.3">
      <c r="A150" s="6" t="s">
        <v>1971</v>
      </c>
      <c r="B150" s="7" t="s">
        <v>139</v>
      </c>
      <c r="C150" s="7" t="s">
        <v>1156</v>
      </c>
      <c r="D150" s="7" t="s">
        <v>18</v>
      </c>
      <c r="E150" s="7" t="s">
        <v>1972</v>
      </c>
      <c r="F150" s="7" t="s">
        <v>998</v>
      </c>
      <c r="G150" s="7" t="s">
        <v>1973</v>
      </c>
      <c r="H150" s="7">
        <v>20</v>
      </c>
      <c r="I150" s="7" t="s">
        <v>1975</v>
      </c>
      <c r="J150" s="7" t="s">
        <v>1601</v>
      </c>
    </row>
    <row r="151" spans="1:10" x14ac:dyDescent="0.3">
      <c r="A151" s="6" t="s">
        <v>1297</v>
      </c>
      <c r="B151" s="7" t="s">
        <v>139</v>
      </c>
      <c r="C151" s="7" t="s">
        <v>1156</v>
      </c>
      <c r="D151" s="7" t="s">
        <v>18</v>
      </c>
      <c r="E151" s="7" t="s">
        <v>1298</v>
      </c>
      <c r="F151" s="7" t="s">
        <v>1081</v>
      </c>
      <c r="G151" s="7" t="s">
        <v>1299</v>
      </c>
      <c r="H151" s="7">
        <v>4</v>
      </c>
      <c r="I151" s="7" t="s">
        <v>1300</v>
      </c>
      <c r="J151" s="7" t="s">
        <v>184</v>
      </c>
    </row>
    <row r="152" spans="1:10" x14ac:dyDescent="0.3">
      <c r="A152" s="6" t="s">
        <v>1314</v>
      </c>
      <c r="B152" s="7" t="s">
        <v>139</v>
      </c>
      <c r="C152" s="7" t="s">
        <v>1156</v>
      </c>
      <c r="D152" s="7" t="s">
        <v>18</v>
      </c>
      <c r="E152" s="7" t="s">
        <v>1315</v>
      </c>
      <c r="F152" s="7" t="s">
        <v>1316</v>
      </c>
      <c r="G152" s="7" t="s">
        <v>1317</v>
      </c>
      <c r="H152" s="7">
        <v>26</v>
      </c>
      <c r="I152" s="7" t="s">
        <v>1318</v>
      </c>
      <c r="J152" s="7" t="s">
        <v>1319</v>
      </c>
    </row>
    <row r="153" spans="1:10" x14ac:dyDescent="0.3">
      <c r="A153" s="6" t="s">
        <v>1223</v>
      </c>
      <c r="B153" s="7" t="s">
        <v>139</v>
      </c>
      <c r="C153" s="7" t="s">
        <v>1156</v>
      </c>
      <c r="D153" s="7" t="s">
        <v>18</v>
      </c>
      <c r="E153" s="7" t="s">
        <v>1224</v>
      </c>
      <c r="F153" s="7" t="s">
        <v>1225</v>
      </c>
      <c r="G153" s="7" t="s">
        <v>1226</v>
      </c>
      <c r="H153" s="7">
        <v>17</v>
      </c>
      <c r="I153" s="7" t="s">
        <v>390</v>
      </c>
      <c r="J153" s="7" t="s">
        <v>815</v>
      </c>
    </row>
    <row r="154" spans="1:10" x14ac:dyDescent="0.3">
      <c r="A154" s="6" t="s">
        <v>1275</v>
      </c>
      <c r="B154" s="7" t="s">
        <v>139</v>
      </c>
      <c r="C154" s="7" t="s">
        <v>1156</v>
      </c>
      <c r="D154" s="7" t="s">
        <v>18</v>
      </c>
      <c r="E154" s="7" t="s">
        <v>548</v>
      </c>
      <c r="F154" s="7" t="s">
        <v>549</v>
      </c>
      <c r="G154" s="7" t="s">
        <v>1276</v>
      </c>
      <c r="H154" s="7">
        <v>10</v>
      </c>
      <c r="I154" s="7" t="s">
        <v>626</v>
      </c>
      <c r="J154" s="7" t="s">
        <v>815</v>
      </c>
    </row>
    <row r="155" spans="1:10" x14ac:dyDescent="0.3">
      <c r="A155" s="6" t="s">
        <v>1913</v>
      </c>
      <c r="B155" s="7" t="s">
        <v>139</v>
      </c>
      <c r="C155" s="7" t="s">
        <v>1156</v>
      </c>
      <c r="D155" s="7" t="s">
        <v>18</v>
      </c>
      <c r="E155" s="7" t="s">
        <v>1914</v>
      </c>
      <c r="F155" s="7" t="s">
        <v>1915</v>
      </c>
      <c r="G155" s="7" t="s">
        <v>1916</v>
      </c>
      <c r="H155" s="7">
        <v>15</v>
      </c>
      <c r="I155" s="7" t="s">
        <v>1919</v>
      </c>
      <c r="J155" s="7" t="s">
        <v>337</v>
      </c>
    </row>
    <row r="156" spans="1:10" x14ac:dyDescent="0.3">
      <c r="A156" s="6" t="s">
        <v>1906</v>
      </c>
      <c r="B156" s="7" t="s">
        <v>139</v>
      </c>
      <c r="C156" s="7" t="s">
        <v>1156</v>
      </c>
      <c r="D156" s="7" t="s">
        <v>18</v>
      </c>
      <c r="E156" s="7" t="s">
        <v>1907</v>
      </c>
      <c r="F156" s="7" t="s">
        <v>1908</v>
      </c>
      <c r="G156" s="7" t="s">
        <v>1909</v>
      </c>
      <c r="H156" s="7">
        <v>4</v>
      </c>
      <c r="I156" s="7" t="s">
        <v>1912</v>
      </c>
      <c r="J156" s="7" t="s">
        <v>360</v>
      </c>
    </row>
    <row r="157" spans="1:10" x14ac:dyDescent="0.3">
      <c r="A157" s="6" t="s">
        <v>1247</v>
      </c>
      <c r="B157" s="7" t="s">
        <v>139</v>
      </c>
      <c r="C157" s="7" t="s">
        <v>1156</v>
      </c>
      <c r="D157" s="7" t="s">
        <v>18</v>
      </c>
      <c r="E157" s="7" t="s">
        <v>1242</v>
      </c>
      <c r="F157" s="7" t="s">
        <v>1243</v>
      </c>
      <c r="G157" s="7" t="s">
        <v>1248</v>
      </c>
      <c r="H157" s="7">
        <v>5</v>
      </c>
      <c r="I157" s="7" t="s">
        <v>1249</v>
      </c>
      <c r="J157" s="7" t="s">
        <v>1250</v>
      </c>
    </row>
    <row r="158" spans="1:10" x14ac:dyDescent="0.3">
      <c r="A158" s="6" t="s">
        <v>1272</v>
      </c>
      <c r="B158" s="7" t="s">
        <v>139</v>
      </c>
      <c r="C158" s="7" t="s">
        <v>1156</v>
      </c>
      <c r="D158" s="7" t="s">
        <v>18</v>
      </c>
      <c r="E158" s="7" t="s">
        <v>1273</v>
      </c>
      <c r="F158" s="7" t="s">
        <v>1033</v>
      </c>
      <c r="G158" s="7" t="s">
        <v>1274</v>
      </c>
      <c r="H158" s="7">
        <v>6</v>
      </c>
      <c r="I158" s="7" t="s">
        <v>1198</v>
      </c>
      <c r="J158" s="7" t="s">
        <v>169</v>
      </c>
    </row>
    <row r="159" spans="1:10" x14ac:dyDescent="0.3">
      <c r="A159" s="6" t="s">
        <v>1277</v>
      </c>
      <c r="B159" s="7" t="s">
        <v>139</v>
      </c>
      <c r="C159" s="7" t="s">
        <v>1156</v>
      </c>
      <c r="D159" s="7" t="s">
        <v>18</v>
      </c>
      <c r="E159" s="7" t="s">
        <v>1278</v>
      </c>
      <c r="F159" s="7" t="s">
        <v>1279</v>
      </c>
      <c r="G159" s="7" t="s">
        <v>1280</v>
      </c>
      <c r="H159" s="7">
        <v>4</v>
      </c>
      <c r="I159" s="7" t="s">
        <v>1198</v>
      </c>
      <c r="J159" s="7" t="s">
        <v>662</v>
      </c>
    </row>
    <row r="160" spans="1:10" x14ac:dyDescent="0.3">
      <c r="A160" s="6" t="s">
        <v>1195</v>
      </c>
      <c r="B160" s="7" t="s">
        <v>139</v>
      </c>
      <c r="C160" s="7" t="s">
        <v>1156</v>
      </c>
      <c r="D160" s="7" t="s">
        <v>18</v>
      </c>
      <c r="E160" s="7" t="s">
        <v>1192</v>
      </c>
      <c r="F160" s="7" t="s">
        <v>1196</v>
      </c>
      <c r="G160" s="7" t="s">
        <v>1197</v>
      </c>
      <c r="H160" s="7">
        <v>6</v>
      </c>
      <c r="I160" s="7" t="s">
        <v>1198</v>
      </c>
      <c r="J160" s="7" t="s">
        <v>818</v>
      </c>
    </row>
    <row r="161" spans="1:10" x14ac:dyDescent="0.3">
      <c r="A161" s="6" t="s">
        <v>1185</v>
      </c>
      <c r="B161" s="7" t="s">
        <v>139</v>
      </c>
      <c r="C161" s="7" t="s">
        <v>1156</v>
      </c>
      <c r="D161" s="7" t="s">
        <v>18</v>
      </c>
      <c r="E161" s="7" t="s">
        <v>1186</v>
      </c>
      <c r="F161" s="7" t="s">
        <v>1187</v>
      </c>
      <c r="G161" s="7" t="s">
        <v>1188</v>
      </c>
      <c r="H161" s="7">
        <v>2</v>
      </c>
      <c r="I161" s="7" t="s">
        <v>1189</v>
      </c>
      <c r="J161" s="7" t="s">
        <v>1190</v>
      </c>
    </row>
    <row r="162" spans="1:10" x14ac:dyDescent="0.3">
      <c r="A162" s="6" t="s">
        <v>1237</v>
      </c>
      <c r="B162" s="7" t="s">
        <v>139</v>
      </c>
      <c r="C162" s="7" t="s">
        <v>1156</v>
      </c>
      <c r="D162" s="7" t="s">
        <v>18</v>
      </c>
      <c r="E162" s="7" t="s">
        <v>1238</v>
      </c>
      <c r="F162" s="7" t="s">
        <v>1239</v>
      </c>
      <c r="G162" s="7" t="s">
        <v>1240</v>
      </c>
      <c r="H162" s="7">
        <v>14</v>
      </c>
      <c r="I162" s="7" t="s">
        <v>1189</v>
      </c>
      <c r="J162" s="7" t="s">
        <v>221</v>
      </c>
    </row>
    <row r="163" spans="1:10" x14ac:dyDescent="0.3">
      <c r="A163" s="6" t="s">
        <v>1178</v>
      </c>
      <c r="B163" s="7" t="s">
        <v>139</v>
      </c>
      <c r="C163" s="7" t="s">
        <v>1156</v>
      </c>
      <c r="D163" s="7" t="s">
        <v>18</v>
      </c>
      <c r="E163" s="7" t="s">
        <v>795</v>
      </c>
      <c r="F163" s="7" t="s">
        <v>796</v>
      </c>
      <c r="G163" s="7" t="s">
        <v>1179</v>
      </c>
      <c r="H163" s="7">
        <v>10</v>
      </c>
      <c r="I163" s="7" t="s">
        <v>1180</v>
      </c>
      <c r="J163" s="7" t="s">
        <v>1181</v>
      </c>
    </row>
    <row r="164" spans="1:10" x14ac:dyDescent="0.3">
      <c r="A164" s="6" t="s">
        <v>1957</v>
      </c>
      <c r="B164" s="7" t="s">
        <v>139</v>
      </c>
      <c r="C164" s="7" t="s">
        <v>1156</v>
      </c>
      <c r="D164" s="7" t="s">
        <v>18</v>
      </c>
      <c r="E164" s="7" t="s">
        <v>1233</v>
      </c>
      <c r="F164" s="7" t="s">
        <v>1234</v>
      </c>
      <c r="G164" s="7" t="s">
        <v>1958</v>
      </c>
      <c r="H164" s="7">
        <v>4</v>
      </c>
      <c r="I164" s="7" t="s">
        <v>1139</v>
      </c>
      <c r="J164" s="7" t="s">
        <v>174</v>
      </c>
    </row>
    <row r="165" spans="1:10" x14ac:dyDescent="0.3">
      <c r="A165" s="6" t="s">
        <v>1926</v>
      </c>
      <c r="B165" s="7" t="s">
        <v>139</v>
      </c>
      <c r="C165" s="7" t="s">
        <v>1156</v>
      </c>
      <c r="D165" s="7" t="s">
        <v>18</v>
      </c>
      <c r="E165" s="7" t="s">
        <v>1204</v>
      </c>
      <c r="F165" s="7" t="s">
        <v>1002</v>
      </c>
      <c r="G165" s="7" t="s">
        <v>1927</v>
      </c>
      <c r="H165" s="7">
        <v>20</v>
      </c>
      <c r="I165" s="7" t="s">
        <v>1929</v>
      </c>
      <c r="J165" s="7" t="s">
        <v>1930</v>
      </c>
    </row>
    <row r="166" spans="1:10" x14ac:dyDescent="0.3">
      <c r="A166" s="6" t="s">
        <v>1310</v>
      </c>
      <c r="B166" s="7" t="s">
        <v>139</v>
      </c>
      <c r="C166" s="7" t="s">
        <v>1156</v>
      </c>
      <c r="D166" s="7" t="s">
        <v>18</v>
      </c>
      <c r="E166" s="7" t="s">
        <v>1306</v>
      </c>
      <c r="F166" s="7" t="s">
        <v>1307</v>
      </c>
      <c r="G166" s="7" t="s">
        <v>1311</v>
      </c>
      <c r="H166" s="7">
        <v>11</v>
      </c>
      <c r="I166" s="7" t="s">
        <v>1312</v>
      </c>
      <c r="J166" s="7" t="s">
        <v>1313</v>
      </c>
    </row>
    <row r="167" spans="1:10" x14ac:dyDescent="0.3">
      <c r="A167" s="6" t="s">
        <v>1014</v>
      </c>
      <c r="B167" s="7" t="s">
        <v>139</v>
      </c>
      <c r="C167" s="7" t="s">
        <v>773</v>
      </c>
      <c r="D167" s="7" t="s">
        <v>16</v>
      </c>
      <c r="E167" s="7" t="s">
        <v>1015</v>
      </c>
      <c r="F167" s="7" t="s">
        <v>1016</v>
      </c>
      <c r="G167" s="7" t="s">
        <v>1017</v>
      </c>
      <c r="H167" s="7">
        <v>6</v>
      </c>
      <c r="I167" s="7" t="s">
        <v>1018</v>
      </c>
      <c r="J167" s="7" t="s">
        <v>391</v>
      </c>
    </row>
    <row r="168" spans="1:10" x14ac:dyDescent="0.3">
      <c r="A168" s="6" t="s">
        <v>1059</v>
      </c>
      <c r="B168" s="7" t="s">
        <v>139</v>
      </c>
      <c r="C168" s="7" t="s">
        <v>773</v>
      </c>
      <c r="D168" s="7" t="s">
        <v>16</v>
      </c>
      <c r="E168" s="7" t="s">
        <v>1060</v>
      </c>
      <c r="F168" s="7" t="s">
        <v>1061</v>
      </c>
      <c r="G168" s="7" t="s">
        <v>1062</v>
      </c>
      <c r="H168" s="7">
        <v>2</v>
      </c>
      <c r="I168" s="7" t="s">
        <v>1063</v>
      </c>
      <c r="J168" s="7" t="s">
        <v>174</v>
      </c>
    </row>
    <row r="169" spans="1:10" x14ac:dyDescent="0.3">
      <c r="A169" s="6" t="s">
        <v>799</v>
      </c>
      <c r="B169" s="7" t="s">
        <v>139</v>
      </c>
      <c r="C169" s="7" t="s">
        <v>773</v>
      </c>
      <c r="D169" s="7" t="s">
        <v>16</v>
      </c>
      <c r="E169" s="7" t="s">
        <v>795</v>
      </c>
      <c r="F169" s="7" t="s">
        <v>796</v>
      </c>
      <c r="G169" s="7" t="s">
        <v>800</v>
      </c>
      <c r="H169" s="7">
        <v>9</v>
      </c>
      <c r="I169" s="7" t="s">
        <v>801</v>
      </c>
      <c r="J169" s="7" t="s">
        <v>802</v>
      </c>
    </row>
    <row r="170" spans="1:10" x14ac:dyDescent="0.3">
      <c r="A170" s="6" t="s">
        <v>933</v>
      </c>
      <c r="B170" s="7" t="s">
        <v>139</v>
      </c>
      <c r="C170" s="7" t="s">
        <v>773</v>
      </c>
      <c r="D170" s="7" t="s">
        <v>16</v>
      </c>
      <c r="E170" s="7" t="s">
        <v>934</v>
      </c>
      <c r="F170" s="7" t="s">
        <v>935</v>
      </c>
      <c r="G170" s="7" t="s">
        <v>936</v>
      </c>
      <c r="H170" s="7">
        <v>12</v>
      </c>
      <c r="I170" s="7" t="s">
        <v>937</v>
      </c>
      <c r="J170" s="7" t="s">
        <v>641</v>
      </c>
    </row>
    <row r="171" spans="1:10" x14ac:dyDescent="0.3">
      <c r="A171" s="6" t="s">
        <v>938</v>
      </c>
      <c r="B171" s="7" t="s">
        <v>139</v>
      </c>
      <c r="C171" s="7" t="s">
        <v>773</v>
      </c>
      <c r="D171" s="7" t="s">
        <v>16</v>
      </c>
      <c r="E171" s="7" t="s">
        <v>934</v>
      </c>
      <c r="F171" s="7" t="s">
        <v>935</v>
      </c>
      <c r="G171" s="7" t="s">
        <v>939</v>
      </c>
      <c r="H171" s="7">
        <v>14</v>
      </c>
      <c r="I171" s="7" t="s">
        <v>940</v>
      </c>
      <c r="J171" s="7" t="s">
        <v>815</v>
      </c>
    </row>
    <row r="172" spans="1:10" x14ac:dyDescent="0.3">
      <c r="A172" s="6" t="s">
        <v>784</v>
      </c>
      <c r="B172" s="7" t="s">
        <v>139</v>
      </c>
      <c r="C172" s="7" t="s">
        <v>773</v>
      </c>
      <c r="D172" s="7" t="s">
        <v>16</v>
      </c>
      <c r="E172" s="7" t="s">
        <v>785</v>
      </c>
      <c r="F172" s="7" t="s">
        <v>786</v>
      </c>
      <c r="G172" s="7" t="s">
        <v>787</v>
      </c>
      <c r="H172" s="7">
        <v>3</v>
      </c>
      <c r="I172" s="7" t="s">
        <v>788</v>
      </c>
      <c r="J172" s="7" t="s">
        <v>789</v>
      </c>
    </row>
    <row r="173" spans="1:10" x14ac:dyDescent="0.3">
      <c r="A173" s="6" t="s">
        <v>911</v>
      </c>
      <c r="B173" s="7" t="s">
        <v>139</v>
      </c>
      <c r="C173" s="7" t="s">
        <v>773</v>
      </c>
      <c r="D173" s="7" t="s">
        <v>16</v>
      </c>
      <c r="E173" s="7" t="s">
        <v>912</v>
      </c>
      <c r="F173" s="7" t="s">
        <v>913</v>
      </c>
      <c r="G173" s="7" t="s">
        <v>914</v>
      </c>
      <c r="H173" s="7">
        <v>13</v>
      </c>
      <c r="I173" s="7" t="s">
        <v>915</v>
      </c>
      <c r="J173" s="7" t="s">
        <v>916</v>
      </c>
    </row>
    <row r="174" spans="1:10" x14ac:dyDescent="0.3">
      <c r="A174" s="6" t="s">
        <v>1019</v>
      </c>
      <c r="B174" s="7" t="s">
        <v>139</v>
      </c>
      <c r="C174" s="7" t="s">
        <v>773</v>
      </c>
      <c r="D174" s="7" t="s">
        <v>16</v>
      </c>
      <c r="E174" s="7" t="s">
        <v>1015</v>
      </c>
      <c r="F174" s="7" t="s">
        <v>1016</v>
      </c>
      <c r="G174" s="7" t="s">
        <v>1020</v>
      </c>
      <c r="H174" s="7">
        <v>2</v>
      </c>
      <c r="I174" s="7" t="s">
        <v>1021</v>
      </c>
      <c r="J174" s="7" t="s">
        <v>1022</v>
      </c>
    </row>
    <row r="175" spans="1:10" x14ac:dyDescent="0.3">
      <c r="A175" s="6" t="s">
        <v>1000</v>
      </c>
      <c r="B175" s="7" t="s">
        <v>139</v>
      </c>
      <c r="C175" s="7" t="s">
        <v>773</v>
      </c>
      <c r="D175" s="7" t="s">
        <v>16</v>
      </c>
      <c r="E175" s="7" t="s">
        <v>1001</v>
      </c>
      <c r="F175" s="7" t="s">
        <v>1002</v>
      </c>
      <c r="G175" s="7" t="s">
        <v>1003</v>
      </c>
      <c r="H175" s="7">
        <v>15</v>
      </c>
      <c r="I175" s="7" t="s">
        <v>1004</v>
      </c>
      <c r="J175" s="7" t="s">
        <v>493</v>
      </c>
    </row>
    <row r="176" spans="1:10" x14ac:dyDescent="0.3">
      <c r="A176" s="6" t="s">
        <v>1782</v>
      </c>
      <c r="B176" s="7" t="s">
        <v>139</v>
      </c>
      <c r="C176" s="7" t="s">
        <v>773</v>
      </c>
      <c r="D176" s="7" t="s">
        <v>16</v>
      </c>
      <c r="E176" s="7" t="s">
        <v>1783</v>
      </c>
      <c r="F176" s="7" t="s">
        <v>1784</v>
      </c>
      <c r="G176" s="7" t="s">
        <v>1785</v>
      </c>
      <c r="H176" s="7">
        <v>27</v>
      </c>
      <c r="I176" s="7" t="s">
        <v>1789</v>
      </c>
      <c r="J176" s="7" t="s">
        <v>184</v>
      </c>
    </row>
    <row r="177" spans="1:10" x14ac:dyDescent="0.3">
      <c r="A177" s="6" t="s">
        <v>951</v>
      </c>
      <c r="B177" s="7" t="s">
        <v>139</v>
      </c>
      <c r="C177" s="7" t="s">
        <v>773</v>
      </c>
      <c r="D177" s="7" t="s">
        <v>16</v>
      </c>
      <c r="E177" s="7" t="s">
        <v>952</v>
      </c>
      <c r="F177" s="7" t="s">
        <v>953</v>
      </c>
      <c r="G177" s="7" t="s">
        <v>954</v>
      </c>
      <c r="H177" s="7">
        <v>3</v>
      </c>
      <c r="I177" s="7" t="s">
        <v>955</v>
      </c>
      <c r="J177" s="7" t="s">
        <v>385</v>
      </c>
    </row>
    <row r="178" spans="1:10" x14ac:dyDescent="0.3">
      <c r="A178" s="6" t="s">
        <v>1140</v>
      </c>
      <c r="B178" s="7" t="s">
        <v>139</v>
      </c>
      <c r="C178" s="7" t="s">
        <v>773</v>
      </c>
      <c r="D178" s="7" t="s">
        <v>16</v>
      </c>
      <c r="E178" s="7" t="s">
        <v>1141</v>
      </c>
      <c r="F178" s="7" t="s">
        <v>1142</v>
      </c>
      <c r="G178" s="7" t="s">
        <v>1143</v>
      </c>
      <c r="H178" s="7">
        <v>35</v>
      </c>
      <c r="I178" s="7" t="s">
        <v>1092</v>
      </c>
      <c r="J178" s="7" t="s">
        <v>1144</v>
      </c>
    </row>
    <row r="179" spans="1:10" x14ac:dyDescent="0.3">
      <c r="A179" s="6" t="s">
        <v>779</v>
      </c>
      <c r="B179" s="7" t="s">
        <v>139</v>
      </c>
      <c r="C179" s="7" t="s">
        <v>773</v>
      </c>
      <c r="D179" s="7" t="s">
        <v>16</v>
      </c>
      <c r="E179" s="7" t="s">
        <v>780</v>
      </c>
      <c r="F179" s="7" t="s">
        <v>781</v>
      </c>
      <c r="G179" s="7" t="s">
        <v>782</v>
      </c>
      <c r="H179" s="7"/>
      <c r="I179" s="7" t="s">
        <v>783</v>
      </c>
      <c r="J179" s="7" t="s">
        <v>514</v>
      </c>
    </row>
    <row r="180" spans="1:10" x14ac:dyDescent="0.3">
      <c r="A180" s="6" t="s">
        <v>1857</v>
      </c>
      <c r="B180" s="7" t="s">
        <v>139</v>
      </c>
      <c r="C180" s="7" t="s">
        <v>773</v>
      </c>
      <c r="D180" s="7" t="s">
        <v>16</v>
      </c>
      <c r="E180" s="7" t="s">
        <v>1032</v>
      </c>
      <c r="F180" s="7" t="s">
        <v>1033</v>
      </c>
      <c r="G180" s="7" t="s">
        <v>1858</v>
      </c>
      <c r="H180" s="7">
        <v>10</v>
      </c>
      <c r="I180" s="7" t="s">
        <v>955</v>
      </c>
      <c r="J180" s="7" t="s">
        <v>391</v>
      </c>
    </row>
    <row r="181" spans="1:10" x14ac:dyDescent="0.3">
      <c r="A181" s="6" t="s">
        <v>1145</v>
      </c>
      <c r="B181" s="7" t="s">
        <v>139</v>
      </c>
      <c r="C181" s="7" t="s">
        <v>773</v>
      </c>
      <c r="D181" s="7" t="s">
        <v>16</v>
      </c>
      <c r="E181" s="7" t="s">
        <v>1141</v>
      </c>
      <c r="F181" s="7" t="s">
        <v>1142</v>
      </c>
      <c r="G181" s="7" t="s">
        <v>1146</v>
      </c>
      <c r="H181" s="7">
        <v>11</v>
      </c>
      <c r="I181" s="7" t="s">
        <v>858</v>
      </c>
      <c r="J181" s="7" t="s">
        <v>1147</v>
      </c>
    </row>
    <row r="182" spans="1:10" x14ac:dyDescent="0.3">
      <c r="A182" s="6" t="s">
        <v>854</v>
      </c>
      <c r="B182" s="7" t="s">
        <v>139</v>
      </c>
      <c r="C182" s="7" t="s">
        <v>773</v>
      </c>
      <c r="D182" s="7" t="s">
        <v>16</v>
      </c>
      <c r="E182" s="7" t="s">
        <v>855</v>
      </c>
      <c r="F182" s="7" t="s">
        <v>856</v>
      </c>
      <c r="G182" s="7" t="s">
        <v>857</v>
      </c>
      <c r="H182" s="7">
        <v>3</v>
      </c>
      <c r="I182" s="7" t="s">
        <v>858</v>
      </c>
      <c r="J182" s="7" t="s">
        <v>847</v>
      </c>
    </row>
    <row r="183" spans="1:10" x14ac:dyDescent="0.3">
      <c r="A183" s="6" t="s">
        <v>1023</v>
      </c>
      <c r="B183" s="7" t="s">
        <v>139</v>
      </c>
      <c r="C183" s="7" t="s">
        <v>773</v>
      </c>
      <c r="D183" s="7" t="s">
        <v>16</v>
      </c>
      <c r="E183" s="7" t="s">
        <v>1015</v>
      </c>
      <c r="F183" s="7" t="s">
        <v>1016</v>
      </c>
      <c r="G183" s="7" t="s">
        <v>1024</v>
      </c>
      <c r="H183" s="7">
        <v>1</v>
      </c>
      <c r="I183" s="7" t="s">
        <v>697</v>
      </c>
      <c r="J183" s="7" t="s">
        <v>1025</v>
      </c>
    </row>
    <row r="184" spans="1:10" x14ac:dyDescent="0.3">
      <c r="A184" s="6" t="s">
        <v>1810</v>
      </c>
      <c r="B184" s="7" t="s">
        <v>139</v>
      </c>
      <c r="C184" s="7" t="s">
        <v>773</v>
      </c>
      <c r="D184" s="7" t="s">
        <v>16</v>
      </c>
      <c r="E184" s="7" t="s">
        <v>795</v>
      </c>
      <c r="F184" s="7" t="s">
        <v>796</v>
      </c>
      <c r="G184" s="7" t="s">
        <v>1811</v>
      </c>
      <c r="H184" s="7">
        <v>17</v>
      </c>
      <c r="I184" s="7" t="s">
        <v>1092</v>
      </c>
      <c r="J184" s="7" t="s">
        <v>144</v>
      </c>
    </row>
    <row r="185" spans="1:10" x14ac:dyDescent="0.3">
      <c r="A185" s="6" t="s">
        <v>1026</v>
      </c>
      <c r="B185" s="7" t="s">
        <v>139</v>
      </c>
      <c r="C185" s="7" t="s">
        <v>773</v>
      </c>
      <c r="D185" s="7" t="s">
        <v>16</v>
      </c>
      <c r="E185" s="7" t="s">
        <v>1027</v>
      </c>
      <c r="F185" s="7" t="s">
        <v>1028</v>
      </c>
      <c r="G185" s="7" t="s">
        <v>1029</v>
      </c>
      <c r="H185" s="7">
        <v>8</v>
      </c>
      <c r="I185" s="7" t="s">
        <v>1030</v>
      </c>
      <c r="J185" s="7" t="s">
        <v>916</v>
      </c>
    </row>
    <row r="186" spans="1:10" x14ac:dyDescent="0.3">
      <c r="A186" s="6" t="s">
        <v>772</v>
      </c>
      <c r="B186" s="7" t="s">
        <v>139</v>
      </c>
      <c r="C186" s="7" t="s">
        <v>773</v>
      </c>
      <c r="D186" s="7" t="s">
        <v>16</v>
      </c>
      <c r="E186" s="7" t="s">
        <v>774</v>
      </c>
      <c r="F186" s="7" t="s">
        <v>775</v>
      </c>
      <c r="G186" s="7" t="s">
        <v>776</v>
      </c>
      <c r="H186" s="7">
        <v>11</v>
      </c>
      <c r="I186" s="7" t="s">
        <v>777</v>
      </c>
      <c r="J186" s="7" t="s">
        <v>778</v>
      </c>
    </row>
    <row r="187" spans="1:10" x14ac:dyDescent="0.3">
      <c r="A187" s="6" t="s">
        <v>1148</v>
      </c>
      <c r="B187" s="7" t="s">
        <v>139</v>
      </c>
      <c r="C187" s="7" t="s">
        <v>773</v>
      </c>
      <c r="D187" s="7" t="s">
        <v>16</v>
      </c>
      <c r="E187" s="7" t="s">
        <v>1149</v>
      </c>
      <c r="F187" s="7" t="s">
        <v>756</v>
      </c>
      <c r="G187" s="7" t="s">
        <v>1150</v>
      </c>
      <c r="H187" s="7">
        <v>3</v>
      </c>
      <c r="I187" s="7" t="s">
        <v>1151</v>
      </c>
      <c r="J187" s="7" t="s">
        <v>174</v>
      </c>
    </row>
    <row r="188" spans="1:10" x14ac:dyDescent="0.3">
      <c r="A188" s="6" t="s">
        <v>1840</v>
      </c>
      <c r="B188" s="7" t="s">
        <v>139</v>
      </c>
      <c r="C188" s="7" t="s">
        <v>773</v>
      </c>
      <c r="D188" s="7" t="s">
        <v>16</v>
      </c>
      <c r="E188" s="7" t="s">
        <v>1841</v>
      </c>
      <c r="F188" s="7" t="s">
        <v>1842</v>
      </c>
      <c r="G188" s="7" t="s">
        <v>1843</v>
      </c>
      <c r="H188" s="7">
        <v>18</v>
      </c>
      <c r="I188" s="7" t="s">
        <v>163</v>
      </c>
      <c r="J188" s="7" t="s">
        <v>1846</v>
      </c>
    </row>
    <row r="189" spans="1:10" x14ac:dyDescent="0.3">
      <c r="A189" s="6" t="s">
        <v>1064</v>
      </c>
      <c r="B189" s="7" t="s">
        <v>139</v>
      </c>
      <c r="C189" s="7" t="s">
        <v>773</v>
      </c>
      <c r="D189" s="7" t="s">
        <v>16</v>
      </c>
      <c r="E189" s="7" t="s">
        <v>1060</v>
      </c>
      <c r="F189" s="7" t="s">
        <v>1061</v>
      </c>
      <c r="G189" s="7" t="s">
        <v>1065</v>
      </c>
      <c r="H189" s="7"/>
      <c r="I189" s="7" t="s">
        <v>1066</v>
      </c>
      <c r="J189" s="7" t="s">
        <v>385</v>
      </c>
    </row>
    <row r="190" spans="1:10" x14ac:dyDescent="0.3">
      <c r="A190" s="6" t="s">
        <v>956</v>
      </c>
      <c r="B190" s="7" t="s">
        <v>139</v>
      </c>
      <c r="C190" s="7" t="s">
        <v>773</v>
      </c>
      <c r="D190" s="7" t="s">
        <v>16</v>
      </c>
      <c r="E190" s="7" t="s">
        <v>952</v>
      </c>
      <c r="F190" s="7" t="s">
        <v>953</v>
      </c>
      <c r="G190" s="7" t="s">
        <v>957</v>
      </c>
      <c r="H190" s="7">
        <v>1</v>
      </c>
      <c r="I190" s="7" t="s">
        <v>958</v>
      </c>
      <c r="J190" s="7" t="s">
        <v>174</v>
      </c>
    </row>
    <row r="191" spans="1:10" x14ac:dyDescent="0.3">
      <c r="A191" s="6" t="s">
        <v>1835</v>
      </c>
      <c r="B191" s="7" t="s">
        <v>139</v>
      </c>
      <c r="C191" s="7" t="s">
        <v>773</v>
      </c>
      <c r="D191" s="7" t="s">
        <v>16</v>
      </c>
      <c r="E191" s="7" t="s">
        <v>902</v>
      </c>
      <c r="F191" s="7" t="s">
        <v>903</v>
      </c>
      <c r="G191" s="7" t="s">
        <v>1836</v>
      </c>
      <c r="H191" s="7">
        <v>18</v>
      </c>
      <c r="I191" s="7" t="s">
        <v>207</v>
      </c>
      <c r="J191" s="7" t="s">
        <v>169</v>
      </c>
    </row>
    <row r="192" spans="1:10" x14ac:dyDescent="0.3">
      <c r="A192" s="6" t="s">
        <v>894</v>
      </c>
      <c r="B192" s="7" t="s">
        <v>139</v>
      </c>
      <c r="C192" s="7" t="s">
        <v>773</v>
      </c>
      <c r="D192" s="7" t="s">
        <v>16</v>
      </c>
      <c r="E192" s="7" t="s">
        <v>895</v>
      </c>
      <c r="F192" s="7" t="s">
        <v>896</v>
      </c>
      <c r="G192" s="7" t="s">
        <v>897</v>
      </c>
      <c r="H192" s="7">
        <v>0</v>
      </c>
      <c r="I192" s="7" t="s">
        <v>349</v>
      </c>
      <c r="J192" s="7" t="s">
        <v>174</v>
      </c>
    </row>
    <row r="193" spans="1:10" x14ac:dyDescent="0.3">
      <c r="A193" s="6" t="s">
        <v>898</v>
      </c>
      <c r="B193" s="7" t="s">
        <v>139</v>
      </c>
      <c r="C193" s="7" t="s">
        <v>773</v>
      </c>
      <c r="D193" s="7" t="s">
        <v>16</v>
      </c>
      <c r="E193" s="7" t="s">
        <v>895</v>
      </c>
      <c r="F193" s="7" t="s">
        <v>896</v>
      </c>
      <c r="G193" s="7" t="s">
        <v>899</v>
      </c>
      <c r="H193" s="7">
        <v>31</v>
      </c>
      <c r="I193" s="7" t="s">
        <v>900</v>
      </c>
      <c r="J193" s="7" t="s">
        <v>422</v>
      </c>
    </row>
    <row r="194" spans="1:10" x14ac:dyDescent="0.3">
      <c r="A194" s="6" t="s">
        <v>1127</v>
      </c>
      <c r="B194" s="7" t="s">
        <v>139</v>
      </c>
      <c r="C194" s="7" t="s">
        <v>773</v>
      </c>
      <c r="D194" s="7" t="s">
        <v>16</v>
      </c>
      <c r="E194" s="7" t="s">
        <v>1128</v>
      </c>
      <c r="F194" s="7" t="s">
        <v>1129</v>
      </c>
      <c r="G194" s="7" t="s">
        <v>1130</v>
      </c>
      <c r="H194" s="7">
        <v>14</v>
      </c>
      <c r="I194" s="7"/>
      <c r="J194" s="7" t="s">
        <v>452</v>
      </c>
    </row>
    <row r="195" spans="1:10" x14ac:dyDescent="0.3">
      <c r="A195" s="6" t="s">
        <v>927</v>
      </c>
      <c r="B195" s="7" t="s">
        <v>139</v>
      </c>
      <c r="C195" s="7" t="s">
        <v>773</v>
      </c>
      <c r="D195" s="7" t="s">
        <v>16</v>
      </c>
      <c r="E195" s="7" t="s">
        <v>928</v>
      </c>
      <c r="F195" s="7" t="s">
        <v>929</v>
      </c>
      <c r="G195" s="7" t="s">
        <v>930</v>
      </c>
      <c r="H195" s="7">
        <v>5</v>
      </c>
      <c r="I195" s="7" t="s">
        <v>931</v>
      </c>
      <c r="J195" s="7" t="s">
        <v>932</v>
      </c>
    </row>
    <row r="196" spans="1:10" x14ac:dyDescent="0.3">
      <c r="A196" s="6" t="s">
        <v>925</v>
      </c>
      <c r="B196" s="7" t="s">
        <v>139</v>
      </c>
      <c r="C196" s="7" t="s">
        <v>773</v>
      </c>
      <c r="D196" s="7" t="s">
        <v>16</v>
      </c>
      <c r="E196" s="7" t="s">
        <v>921</v>
      </c>
      <c r="F196" s="7" t="s">
        <v>922</v>
      </c>
      <c r="G196" s="7" t="s">
        <v>926</v>
      </c>
      <c r="H196" s="7">
        <v>9</v>
      </c>
      <c r="I196" s="7" t="s">
        <v>682</v>
      </c>
      <c r="J196" s="7" t="s">
        <v>174</v>
      </c>
    </row>
    <row r="197" spans="1:10" x14ac:dyDescent="0.3">
      <c r="A197" s="6" t="s">
        <v>823</v>
      </c>
      <c r="B197" s="7" t="s">
        <v>139</v>
      </c>
      <c r="C197" s="7" t="s">
        <v>773</v>
      </c>
      <c r="D197" s="7" t="s">
        <v>16</v>
      </c>
      <c r="E197" s="7" t="s">
        <v>808</v>
      </c>
      <c r="F197" s="7" t="s">
        <v>809</v>
      </c>
      <c r="G197" s="7" t="s">
        <v>824</v>
      </c>
      <c r="H197" s="7">
        <v>8</v>
      </c>
      <c r="I197" s="7" t="s">
        <v>276</v>
      </c>
      <c r="J197" s="7" t="s">
        <v>184</v>
      </c>
    </row>
    <row r="198" spans="1:10" x14ac:dyDescent="0.3">
      <c r="A198" s="6" t="s">
        <v>843</v>
      </c>
      <c r="B198" s="7" t="s">
        <v>139</v>
      </c>
      <c r="C198" s="7" t="s">
        <v>773</v>
      </c>
      <c r="D198" s="7" t="s">
        <v>16</v>
      </c>
      <c r="E198" s="7" t="s">
        <v>844</v>
      </c>
      <c r="F198" s="7" t="s">
        <v>845</v>
      </c>
      <c r="G198" s="7" t="s">
        <v>846</v>
      </c>
      <c r="H198" s="7">
        <v>27</v>
      </c>
      <c r="I198" s="7" t="s">
        <v>345</v>
      </c>
      <c r="J198" s="7" t="s">
        <v>847</v>
      </c>
    </row>
    <row r="199" spans="1:10" x14ac:dyDescent="0.3">
      <c r="A199" s="6" t="s">
        <v>790</v>
      </c>
      <c r="B199" s="7" t="s">
        <v>139</v>
      </c>
      <c r="C199" s="7" t="s">
        <v>773</v>
      </c>
      <c r="D199" s="7" t="s">
        <v>16</v>
      </c>
      <c r="E199" s="7" t="s">
        <v>791</v>
      </c>
      <c r="F199" s="7" t="s">
        <v>218</v>
      </c>
      <c r="G199" s="7" t="s">
        <v>792</v>
      </c>
      <c r="H199" s="7">
        <v>8</v>
      </c>
      <c r="I199" s="7" t="s">
        <v>682</v>
      </c>
      <c r="J199" s="7" t="s">
        <v>793</v>
      </c>
    </row>
    <row r="200" spans="1:10" x14ac:dyDescent="0.3">
      <c r="A200" s="6" t="s">
        <v>859</v>
      </c>
      <c r="B200" s="7" t="s">
        <v>139</v>
      </c>
      <c r="C200" s="7" t="s">
        <v>773</v>
      </c>
      <c r="D200" s="7" t="s">
        <v>16</v>
      </c>
      <c r="E200" s="7" t="s">
        <v>860</v>
      </c>
      <c r="F200" s="7" t="s">
        <v>861</v>
      </c>
      <c r="G200" s="7" t="s">
        <v>862</v>
      </c>
      <c r="H200" s="7"/>
      <c r="I200" s="7" t="s">
        <v>196</v>
      </c>
      <c r="J200" s="7" t="s">
        <v>208</v>
      </c>
    </row>
    <row r="201" spans="1:10" x14ac:dyDescent="0.3">
      <c r="A201" s="6" t="s">
        <v>917</v>
      </c>
      <c r="B201" s="7" t="s">
        <v>139</v>
      </c>
      <c r="C201" s="7" t="s">
        <v>773</v>
      </c>
      <c r="D201" s="7" t="s">
        <v>16</v>
      </c>
      <c r="E201" s="7" t="s">
        <v>912</v>
      </c>
      <c r="F201" s="7" t="s">
        <v>913</v>
      </c>
      <c r="G201" s="7" t="s">
        <v>918</v>
      </c>
      <c r="H201" s="7">
        <v>5</v>
      </c>
      <c r="I201" s="7" t="s">
        <v>434</v>
      </c>
      <c r="J201" s="7" t="s">
        <v>919</v>
      </c>
    </row>
    <row r="202" spans="1:10" x14ac:dyDescent="0.3">
      <c r="A202" s="6" t="s">
        <v>1101</v>
      </c>
      <c r="B202" s="7" t="s">
        <v>139</v>
      </c>
      <c r="C202" s="7" t="s">
        <v>773</v>
      </c>
      <c r="D202" s="7" t="s">
        <v>16</v>
      </c>
      <c r="E202" s="7" t="s">
        <v>1102</v>
      </c>
      <c r="F202" s="7" t="s">
        <v>1103</v>
      </c>
      <c r="G202" s="7" t="s">
        <v>1104</v>
      </c>
      <c r="H202" s="7">
        <v>11</v>
      </c>
      <c r="I202" s="7" t="s">
        <v>1105</v>
      </c>
      <c r="J202" s="7" t="s">
        <v>1106</v>
      </c>
    </row>
    <row r="203" spans="1:10" x14ac:dyDescent="0.3">
      <c r="A203" s="6" t="s">
        <v>959</v>
      </c>
      <c r="B203" s="7" t="s">
        <v>139</v>
      </c>
      <c r="C203" s="7" t="s">
        <v>773</v>
      </c>
      <c r="D203" s="7" t="s">
        <v>16</v>
      </c>
      <c r="E203" s="7" t="s">
        <v>952</v>
      </c>
      <c r="F203" s="7" t="s">
        <v>953</v>
      </c>
      <c r="G203" s="7" t="s">
        <v>960</v>
      </c>
      <c r="H203" s="7"/>
      <c r="I203" s="7" t="s">
        <v>961</v>
      </c>
      <c r="J203" s="7" t="s">
        <v>962</v>
      </c>
    </row>
    <row r="204" spans="1:10" x14ac:dyDescent="0.3">
      <c r="A204" s="6" t="s">
        <v>946</v>
      </c>
      <c r="B204" s="7" t="s">
        <v>139</v>
      </c>
      <c r="C204" s="7" t="s">
        <v>773</v>
      </c>
      <c r="D204" s="7" t="s">
        <v>16</v>
      </c>
      <c r="E204" s="7" t="s">
        <v>947</v>
      </c>
      <c r="F204" s="7" t="s">
        <v>948</v>
      </c>
      <c r="G204" s="7" t="s">
        <v>949</v>
      </c>
      <c r="H204" s="7"/>
      <c r="I204" s="7" t="s">
        <v>325</v>
      </c>
      <c r="J204" s="7" t="s">
        <v>950</v>
      </c>
    </row>
    <row r="205" spans="1:10" x14ac:dyDescent="0.3">
      <c r="A205" s="6" t="s">
        <v>1031</v>
      </c>
      <c r="B205" s="7" t="s">
        <v>139</v>
      </c>
      <c r="C205" s="7" t="s">
        <v>773</v>
      </c>
      <c r="D205" s="7" t="s">
        <v>16</v>
      </c>
      <c r="E205" s="7" t="s">
        <v>1032</v>
      </c>
      <c r="F205" s="7" t="s">
        <v>1033</v>
      </c>
      <c r="G205" s="7" t="s">
        <v>1034</v>
      </c>
      <c r="H205" s="7">
        <v>7</v>
      </c>
      <c r="I205" s="7" t="s">
        <v>1035</v>
      </c>
      <c r="J205" s="7" t="s">
        <v>1036</v>
      </c>
    </row>
    <row r="206" spans="1:10" x14ac:dyDescent="0.3">
      <c r="A206" s="6" t="s">
        <v>977</v>
      </c>
      <c r="B206" s="7" t="s">
        <v>139</v>
      </c>
      <c r="C206" s="7" t="s">
        <v>773</v>
      </c>
      <c r="D206" s="7" t="s">
        <v>16</v>
      </c>
      <c r="E206" s="7" t="s">
        <v>978</v>
      </c>
      <c r="F206" s="7" t="s">
        <v>979</v>
      </c>
      <c r="G206" s="7" t="s">
        <v>980</v>
      </c>
      <c r="H206" s="7">
        <v>8</v>
      </c>
      <c r="I206" s="7" t="s">
        <v>207</v>
      </c>
      <c r="J206" s="7" t="s">
        <v>169</v>
      </c>
    </row>
    <row r="207" spans="1:10" x14ac:dyDescent="0.3">
      <c r="A207" s="6" t="s">
        <v>1037</v>
      </c>
      <c r="B207" s="7" t="s">
        <v>139</v>
      </c>
      <c r="C207" s="7" t="s">
        <v>773</v>
      </c>
      <c r="D207" s="7" t="s">
        <v>16</v>
      </c>
      <c r="E207" s="7" t="s">
        <v>1038</v>
      </c>
      <c r="F207" s="7" t="s">
        <v>1039</v>
      </c>
      <c r="G207" s="7" t="s">
        <v>1040</v>
      </c>
      <c r="H207" s="7"/>
      <c r="I207" s="7" t="s">
        <v>805</v>
      </c>
      <c r="J207" s="7" t="s">
        <v>806</v>
      </c>
    </row>
    <row r="208" spans="1:10" x14ac:dyDescent="0.3">
      <c r="A208" s="6" t="s">
        <v>981</v>
      </c>
      <c r="B208" s="7" t="s">
        <v>139</v>
      </c>
      <c r="C208" s="7" t="s">
        <v>773</v>
      </c>
      <c r="D208" s="7" t="s">
        <v>16</v>
      </c>
      <c r="E208" s="7" t="s">
        <v>982</v>
      </c>
      <c r="F208" s="7" t="s">
        <v>983</v>
      </c>
      <c r="G208" s="7" t="s">
        <v>984</v>
      </c>
      <c r="H208" s="7"/>
      <c r="I208" s="7" t="s">
        <v>805</v>
      </c>
      <c r="J208" s="7" t="s">
        <v>197</v>
      </c>
    </row>
    <row r="209" spans="1:10" x14ac:dyDescent="0.3">
      <c r="A209" s="6" t="s">
        <v>996</v>
      </c>
      <c r="B209" s="7" t="s">
        <v>139</v>
      </c>
      <c r="C209" s="7" t="s">
        <v>773</v>
      </c>
      <c r="D209" s="7" t="s">
        <v>16</v>
      </c>
      <c r="E209" s="7" t="s">
        <v>997</v>
      </c>
      <c r="F209" s="7" t="s">
        <v>998</v>
      </c>
      <c r="G209" s="7" t="s">
        <v>999</v>
      </c>
      <c r="H209" s="7">
        <v>18</v>
      </c>
      <c r="I209" s="7" t="s">
        <v>805</v>
      </c>
      <c r="J209" s="7" t="s">
        <v>197</v>
      </c>
    </row>
    <row r="210" spans="1:10" x14ac:dyDescent="0.3">
      <c r="A210" s="6" t="s">
        <v>832</v>
      </c>
      <c r="B210" s="7" t="s">
        <v>139</v>
      </c>
      <c r="C210" s="7" t="s">
        <v>773</v>
      </c>
      <c r="D210" s="7" t="s">
        <v>16</v>
      </c>
      <c r="E210" s="7" t="s">
        <v>833</v>
      </c>
      <c r="F210" s="7" t="s">
        <v>834</v>
      </c>
      <c r="G210" s="7" t="s">
        <v>835</v>
      </c>
      <c r="H210" s="7"/>
      <c r="I210" s="7" t="s">
        <v>805</v>
      </c>
      <c r="J210" s="7" t="s">
        <v>836</v>
      </c>
    </row>
    <row r="211" spans="1:10" x14ac:dyDescent="0.3">
      <c r="A211" s="6" t="s">
        <v>1041</v>
      </c>
      <c r="B211" s="7" t="s">
        <v>139</v>
      </c>
      <c r="C211" s="7" t="s">
        <v>773</v>
      </c>
      <c r="D211" s="7" t="s">
        <v>16</v>
      </c>
      <c r="E211" s="7" t="s">
        <v>1038</v>
      </c>
      <c r="F211" s="7" t="s">
        <v>1039</v>
      </c>
      <c r="G211" s="7" t="s">
        <v>1042</v>
      </c>
      <c r="H211" s="7"/>
      <c r="I211" s="7"/>
      <c r="J211" s="7"/>
    </row>
    <row r="212" spans="1:10" x14ac:dyDescent="0.3">
      <c r="A212" s="6" t="s">
        <v>1048</v>
      </c>
      <c r="B212" s="7" t="s">
        <v>139</v>
      </c>
      <c r="C212" s="7" t="s">
        <v>773</v>
      </c>
      <c r="D212" s="7" t="s">
        <v>16</v>
      </c>
      <c r="E212" s="7" t="s">
        <v>1049</v>
      </c>
      <c r="F212" s="7" t="s">
        <v>1050</v>
      </c>
      <c r="G212" s="7" t="s">
        <v>1051</v>
      </c>
      <c r="H212" s="7"/>
      <c r="I212" s="7" t="s">
        <v>805</v>
      </c>
      <c r="J212" s="7" t="s">
        <v>355</v>
      </c>
    </row>
    <row r="213" spans="1:10" x14ac:dyDescent="0.3">
      <c r="A213" s="6" t="s">
        <v>901</v>
      </c>
      <c r="B213" s="7" t="s">
        <v>139</v>
      </c>
      <c r="C213" s="7" t="s">
        <v>773</v>
      </c>
      <c r="D213" s="7" t="s">
        <v>16</v>
      </c>
      <c r="E213" s="7" t="s">
        <v>902</v>
      </c>
      <c r="F213" s="7" t="s">
        <v>903</v>
      </c>
      <c r="G213" s="7" t="s">
        <v>904</v>
      </c>
      <c r="H213" s="7">
        <v>1</v>
      </c>
      <c r="I213" s="7" t="s">
        <v>805</v>
      </c>
      <c r="J213" s="7" t="s">
        <v>905</v>
      </c>
    </row>
    <row r="214" spans="1:10" x14ac:dyDescent="0.3">
      <c r="A214" s="6" t="s">
        <v>825</v>
      </c>
      <c r="B214" s="7" t="s">
        <v>139</v>
      </c>
      <c r="C214" s="7" t="s">
        <v>773</v>
      </c>
      <c r="D214" s="7" t="s">
        <v>16</v>
      </c>
      <c r="E214" s="7" t="s">
        <v>808</v>
      </c>
      <c r="F214" s="7" t="s">
        <v>809</v>
      </c>
      <c r="G214" s="7" t="s">
        <v>826</v>
      </c>
      <c r="H214" s="7">
        <v>16</v>
      </c>
      <c r="I214" s="7" t="s">
        <v>805</v>
      </c>
      <c r="J214" s="7" t="s">
        <v>827</v>
      </c>
    </row>
    <row r="215" spans="1:10" x14ac:dyDescent="0.3">
      <c r="A215" s="6" t="s">
        <v>837</v>
      </c>
      <c r="B215" s="7" t="s">
        <v>139</v>
      </c>
      <c r="C215" s="7" t="s">
        <v>773</v>
      </c>
      <c r="D215" s="7" t="s">
        <v>16</v>
      </c>
      <c r="E215" s="7" t="s">
        <v>838</v>
      </c>
      <c r="F215" s="7" t="s">
        <v>839</v>
      </c>
      <c r="G215" s="7" t="s">
        <v>840</v>
      </c>
      <c r="H215" s="7"/>
      <c r="I215" s="7" t="s">
        <v>805</v>
      </c>
      <c r="J215" s="7" t="s">
        <v>197</v>
      </c>
    </row>
    <row r="216" spans="1:10" x14ac:dyDescent="0.3">
      <c r="A216" s="6" t="s">
        <v>828</v>
      </c>
      <c r="B216" s="7" t="s">
        <v>139</v>
      </c>
      <c r="C216" s="7" t="s">
        <v>773</v>
      </c>
      <c r="D216" s="7" t="s">
        <v>16</v>
      </c>
      <c r="E216" s="7" t="s">
        <v>808</v>
      </c>
      <c r="F216" s="7" t="s">
        <v>809</v>
      </c>
      <c r="G216" s="7" t="s">
        <v>829</v>
      </c>
      <c r="H216" s="7">
        <v>19</v>
      </c>
      <c r="I216" s="7" t="s">
        <v>821</v>
      </c>
      <c r="J216" s="7" t="s">
        <v>822</v>
      </c>
    </row>
    <row r="217" spans="1:10" x14ac:dyDescent="0.3">
      <c r="A217" s="6" t="s">
        <v>841</v>
      </c>
      <c r="B217" s="7" t="s">
        <v>139</v>
      </c>
      <c r="C217" s="7" t="s">
        <v>773</v>
      </c>
      <c r="D217" s="7" t="s">
        <v>16</v>
      </c>
      <c r="E217" s="7" t="s">
        <v>838</v>
      </c>
      <c r="F217" s="7" t="s">
        <v>839</v>
      </c>
      <c r="G217" s="7" t="s">
        <v>842</v>
      </c>
      <c r="H217" s="7"/>
      <c r="I217" s="7" t="s">
        <v>805</v>
      </c>
      <c r="J217" s="7" t="s">
        <v>197</v>
      </c>
    </row>
    <row r="218" spans="1:10" x14ac:dyDescent="0.3">
      <c r="A218" s="6" t="s">
        <v>2308</v>
      </c>
      <c r="B218" s="7" t="s">
        <v>1334</v>
      </c>
      <c r="C218" s="7" t="s">
        <v>1156</v>
      </c>
      <c r="D218" s="7" t="s">
        <v>25</v>
      </c>
      <c r="E218" s="7" t="s">
        <v>2309</v>
      </c>
      <c r="F218" s="7" t="s">
        <v>1129</v>
      </c>
      <c r="G218" s="7" t="s">
        <v>2310</v>
      </c>
      <c r="H218" s="7">
        <v>14</v>
      </c>
      <c r="I218" s="7" t="s">
        <v>2312</v>
      </c>
      <c r="J218" s="7" t="s">
        <v>1097</v>
      </c>
    </row>
    <row r="219" spans="1:10" x14ac:dyDescent="0.3">
      <c r="A219" s="6" t="s">
        <v>2577</v>
      </c>
      <c r="B219" s="7" t="s">
        <v>139</v>
      </c>
      <c r="C219" s="7"/>
      <c r="D219" s="7" t="s">
        <v>35</v>
      </c>
      <c r="E219" s="7" t="s">
        <v>2578</v>
      </c>
      <c r="F219" s="7" t="s">
        <v>2579</v>
      </c>
      <c r="G219" s="7" t="s">
        <v>2580</v>
      </c>
      <c r="H219" s="7">
        <v>4</v>
      </c>
      <c r="I219" s="7" t="s">
        <v>2583</v>
      </c>
      <c r="J219" s="7" t="s">
        <v>584</v>
      </c>
    </row>
    <row r="220" spans="1:10" x14ac:dyDescent="0.3">
      <c r="A220" s="6" t="s">
        <v>2561</v>
      </c>
      <c r="B220" s="7" t="s">
        <v>139</v>
      </c>
      <c r="C220" s="7"/>
      <c r="D220" s="7" t="s">
        <v>35</v>
      </c>
      <c r="E220" s="7" t="s">
        <v>2562</v>
      </c>
      <c r="F220" s="7" t="s">
        <v>475</v>
      </c>
      <c r="G220" s="7" t="s">
        <v>2563</v>
      </c>
      <c r="H220" s="7">
        <v>2</v>
      </c>
      <c r="I220" s="7" t="s">
        <v>1715</v>
      </c>
      <c r="J220" s="7" t="s">
        <v>2565</v>
      </c>
    </row>
    <row r="221" spans="1:10" x14ac:dyDescent="0.3">
      <c r="A221" s="6" t="s">
        <v>2608</v>
      </c>
      <c r="B221" s="7" t="s">
        <v>139</v>
      </c>
      <c r="C221" s="7"/>
      <c r="D221" s="7" t="s">
        <v>35</v>
      </c>
      <c r="E221" s="7" t="s">
        <v>2609</v>
      </c>
      <c r="F221" s="7" t="s">
        <v>1129</v>
      </c>
      <c r="G221" s="7" t="s">
        <v>2610</v>
      </c>
      <c r="H221" s="7">
        <v>3</v>
      </c>
      <c r="I221" s="7" t="s">
        <v>202</v>
      </c>
      <c r="J221" s="7" t="s">
        <v>2612</v>
      </c>
    </row>
    <row r="222" spans="1:10" x14ac:dyDescent="0.3">
      <c r="A222" s="6" t="s">
        <v>2584</v>
      </c>
      <c r="B222" s="7" t="s">
        <v>139</v>
      </c>
      <c r="C222" s="7"/>
      <c r="D222" s="7" t="s">
        <v>35</v>
      </c>
      <c r="E222" s="7" t="s">
        <v>2585</v>
      </c>
      <c r="F222" s="7" t="s">
        <v>929</v>
      </c>
      <c r="G222" s="7" t="s">
        <v>2586</v>
      </c>
      <c r="H222" s="7">
        <v>1</v>
      </c>
      <c r="I222" s="7" t="s">
        <v>207</v>
      </c>
      <c r="J222" s="7" t="s">
        <v>962</v>
      </c>
    </row>
    <row r="223" spans="1:10" x14ac:dyDescent="0.3">
      <c r="A223" s="6" t="s">
        <v>1988</v>
      </c>
      <c r="B223" s="7" t="s">
        <v>139</v>
      </c>
      <c r="C223" s="7" t="s">
        <v>1156</v>
      </c>
      <c r="D223" s="7" t="s">
        <v>18</v>
      </c>
      <c r="E223" s="7" t="s">
        <v>97</v>
      </c>
      <c r="F223" s="7" t="s">
        <v>1989</v>
      </c>
      <c r="G223" s="7" t="s">
        <v>96</v>
      </c>
      <c r="H223" s="7">
        <v>12</v>
      </c>
      <c r="I223" s="7" t="s">
        <v>98</v>
      </c>
      <c r="J223" s="7" t="s">
        <v>184</v>
      </c>
    </row>
    <row r="224" spans="1:10" x14ac:dyDescent="0.3">
      <c r="A224" s="6" t="s">
        <v>1991</v>
      </c>
      <c r="B224" s="7" t="s">
        <v>139</v>
      </c>
      <c r="C224" s="7" t="s">
        <v>1156</v>
      </c>
      <c r="D224" s="7" t="s">
        <v>18</v>
      </c>
      <c r="E224" s="7" t="s">
        <v>97</v>
      </c>
      <c r="F224" s="7" t="s">
        <v>1989</v>
      </c>
      <c r="G224" s="7" t="s">
        <v>96</v>
      </c>
      <c r="H224" s="7">
        <v>2</v>
      </c>
      <c r="I224" s="7" t="s">
        <v>98</v>
      </c>
      <c r="J224" s="7" t="s">
        <v>184</v>
      </c>
    </row>
    <row r="225" spans="1:10" x14ac:dyDescent="0.3">
      <c r="A225" s="6" t="s">
        <v>2020</v>
      </c>
      <c r="B225" s="7" t="s">
        <v>139</v>
      </c>
      <c r="C225" s="7" t="s">
        <v>1156</v>
      </c>
      <c r="D225" s="7" t="s">
        <v>18</v>
      </c>
      <c r="E225" s="7" t="s">
        <v>2021</v>
      </c>
      <c r="F225" s="7" t="s">
        <v>2022</v>
      </c>
      <c r="G225" s="7" t="s">
        <v>2023</v>
      </c>
      <c r="H225" s="7">
        <v>11</v>
      </c>
      <c r="I225" s="7" t="s">
        <v>2025</v>
      </c>
      <c r="J225" s="7" t="s">
        <v>1601</v>
      </c>
    </row>
    <row r="226" spans="1:10" x14ac:dyDescent="0.3">
      <c r="A226" s="6" t="s">
        <v>1182</v>
      </c>
      <c r="B226" s="7" t="s">
        <v>139</v>
      </c>
      <c r="C226" s="7" t="s">
        <v>1156</v>
      </c>
      <c r="D226" s="7" t="s">
        <v>18</v>
      </c>
      <c r="E226" s="7" t="s">
        <v>795</v>
      </c>
      <c r="F226" s="7" t="s">
        <v>796</v>
      </c>
      <c r="G226" s="7" t="s">
        <v>1183</v>
      </c>
      <c r="H226" s="7">
        <v>13</v>
      </c>
      <c r="I226" s="7" t="s">
        <v>1184</v>
      </c>
      <c r="J226" s="7" t="s">
        <v>221</v>
      </c>
    </row>
    <row r="227" spans="1:10" x14ac:dyDescent="0.3">
      <c r="A227" s="6" t="s">
        <v>1207</v>
      </c>
      <c r="B227" s="7" t="s">
        <v>139</v>
      </c>
      <c r="C227" s="7" t="s">
        <v>1156</v>
      </c>
      <c r="D227" s="7" t="s">
        <v>18</v>
      </c>
      <c r="E227" s="7" t="s">
        <v>1208</v>
      </c>
      <c r="F227" s="7" t="s">
        <v>1209</v>
      </c>
      <c r="G227" s="7" t="s">
        <v>1210</v>
      </c>
      <c r="H227" s="7">
        <v>5</v>
      </c>
      <c r="I227" s="7" t="s">
        <v>1211</v>
      </c>
      <c r="J227" s="7" t="s">
        <v>1212</v>
      </c>
    </row>
    <row r="228" spans="1:10" x14ac:dyDescent="0.3">
      <c r="A228" s="6" t="s">
        <v>1262</v>
      </c>
      <c r="B228" s="7" t="s">
        <v>139</v>
      </c>
      <c r="C228" s="7" t="s">
        <v>1156</v>
      </c>
      <c r="D228" s="7" t="s">
        <v>18</v>
      </c>
      <c r="E228" s="7" t="s">
        <v>474</v>
      </c>
      <c r="F228" s="7" t="s">
        <v>475</v>
      </c>
      <c r="G228" s="7" t="s">
        <v>1263</v>
      </c>
      <c r="H228" s="7">
        <v>12</v>
      </c>
      <c r="I228" s="7" t="s">
        <v>1264</v>
      </c>
      <c r="J228" s="7" t="s">
        <v>924</v>
      </c>
    </row>
    <row r="229" spans="1:10" x14ac:dyDescent="0.3">
      <c r="A229" s="6" t="s">
        <v>1333</v>
      </c>
      <c r="B229" s="7" t="s">
        <v>1334</v>
      </c>
      <c r="C229" s="7" t="s">
        <v>1156</v>
      </c>
      <c r="D229" s="7" t="s">
        <v>25</v>
      </c>
      <c r="E229" s="7" t="s">
        <v>1335</v>
      </c>
      <c r="F229" s="7" t="s">
        <v>1225</v>
      </c>
      <c r="G229" s="7" t="s">
        <v>111</v>
      </c>
      <c r="H229" s="7">
        <v>7</v>
      </c>
      <c r="I229" s="7" t="s">
        <v>123</v>
      </c>
      <c r="J229" s="7" t="s">
        <v>174</v>
      </c>
    </row>
    <row r="230" spans="1:10" x14ac:dyDescent="0.3">
      <c r="A230" s="6" t="s">
        <v>1227</v>
      </c>
      <c r="B230" s="7" t="s">
        <v>139</v>
      </c>
      <c r="C230" s="7" t="s">
        <v>1156</v>
      </c>
      <c r="D230" s="7" t="s">
        <v>18</v>
      </c>
      <c r="E230" s="7" t="s">
        <v>1224</v>
      </c>
      <c r="F230" s="7" t="s">
        <v>1225</v>
      </c>
      <c r="G230" s="7" t="s">
        <v>111</v>
      </c>
      <c r="H230" s="7">
        <v>24</v>
      </c>
      <c r="I230" s="7" t="s">
        <v>163</v>
      </c>
      <c r="J230" s="7" t="s">
        <v>1228</v>
      </c>
    </row>
    <row r="231" spans="1:10" x14ac:dyDescent="0.3">
      <c r="A231" s="6" t="s">
        <v>1229</v>
      </c>
      <c r="B231" s="7" t="s">
        <v>139</v>
      </c>
      <c r="C231" s="7" t="s">
        <v>1156</v>
      </c>
      <c r="D231" s="7" t="s">
        <v>18</v>
      </c>
      <c r="E231" s="7" t="s">
        <v>1224</v>
      </c>
      <c r="F231" s="7" t="s">
        <v>1225</v>
      </c>
      <c r="G231" s="7" t="s">
        <v>1230</v>
      </c>
      <c r="H231" s="7">
        <v>2</v>
      </c>
      <c r="I231" s="7" t="s">
        <v>703</v>
      </c>
      <c r="J231" s="7" t="s">
        <v>1231</v>
      </c>
    </row>
    <row r="232" spans="1:10" x14ac:dyDescent="0.3">
      <c r="A232" s="6" t="s">
        <v>1265</v>
      </c>
      <c r="B232" s="7" t="s">
        <v>139</v>
      </c>
      <c r="C232" s="7" t="s">
        <v>1156</v>
      </c>
      <c r="D232" s="7" t="s">
        <v>18</v>
      </c>
      <c r="E232" s="7" t="s">
        <v>1266</v>
      </c>
      <c r="F232" s="7" t="s">
        <v>1007</v>
      </c>
      <c r="G232" s="7" t="s">
        <v>1267</v>
      </c>
      <c r="H232" s="7">
        <v>4</v>
      </c>
      <c r="I232" s="7" t="s">
        <v>211</v>
      </c>
      <c r="J232" s="7" t="s">
        <v>584</v>
      </c>
    </row>
    <row r="233" spans="1:10" x14ac:dyDescent="0.3">
      <c r="A233" s="6" t="s">
        <v>1203</v>
      </c>
      <c r="B233" s="7" t="s">
        <v>139</v>
      </c>
      <c r="C233" s="7" t="s">
        <v>1156</v>
      </c>
      <c r="D233" s="7" t="s">
        <v>18</v>
      </c>
      <c r="E233" s="7" t="s">
        <v>1204</v>
      </c>
      <c r="F233" s="7" t="s">
        <v>1002</v>
      </c>
      <c r="G233" s="7" t="s">
        <v>1205</v>
      </c>
      <c r="H233" s="7">
        <v>11</v>
      </c>
      <c r="I233" s="7" t="s">
        <v>1206</v>
      </c>
      <c r="J233" s="7" t="s">
        <v>174</v>
      </c>
    </row>
    <row r="234" spans="1:10" x14ac:dyDescent="0.3">
      <c r="A234" s="6" t="s">
        <v>1167</v>
      </c>
      <c r="B234" s="7" t="s">
        <v>139</v>
      </c>
      <c r="C234" s="7" t="s">
        <v>1156</v>
      </c>
      <c r="D234" s="7" t="s">
        <v>18</v>
      </c>
      <c r="E234" s="7" t="s">
        <v>1168</v>
      </c>
      <c r="F234" s="7" t="s">
        <v>218</v>
      </c>
      <c r="G234" s="7" t="s">
        <v>1169</v>
      </c>
      <c r="H234" s="7">
        <v>30</v>
      </c>
      <c r="I234" s="7" t="s">
        <v>1170</v>
      </c>
      <c r="J234" s="7" t="s">
        <v>422</v>
      </c>
    </row>
    <row r="235" spans="1:10" x14ac:dyDescent="0.3">
      <c r="A235" s="6" t="s">
        <v>1251</v>
      </c>
      <c r="B235" s="7" t="s">
        <v>139</v>
      </c>
      <c r="C235" s="7" t="s">
        <v>1156</v>
      </c>
      <c r="D235" s="7" t="s">
        <v>18</v>
      </c>
      <c r="E235" s="7" t="s">
        <v>1252</v>
      </c>
      <c r="F235" s="7" t="s">
        <v>1253</v>
      </c>
      <c r="G235" s="7" t="s">
        <v>1254</v>
      </c>
      <c r="H235" s="7">
        <v>20</v>
      </c>
      <c r="I235" s="7" t="s">
        <v>673</v>
      </c>
      <c r="J235" s="7" t="s">
        <v>1255</v>
      </c>
    </row>
    <row r="236" spans="1:10" x14ac:dyDescent="0.3">
      <c r="A236" s="6" t="s">
        <v>1232</v>
      </c>
      <c r="B236" s="7" t="s">
        <v>139</v>
      </c>
      <c r="C236" s="7" t="s">
        <v>1156</v>
      </c>
      <c r="D236" s="7" t="s">
        <v>18</v>
      </c>
      <c r="E236" s="7" t="s">
        <v>1233</v>
      </c>
      <c r="F236" s="7" t="s">
        <v>1234</v>
      </c>
      <c r="G236" s="7" t="s">
        <v>1235</v>
      </c>
      <c r="H236" s="7">
        <v>1</v>
      </c>
      <c r="I236" s="7" t="s">
        <v>1222</v>
      </c>
      <c r="J236" s="7" t="s">
        <v>1236</v>
      </c>
    </row>
    <row r="237" spans="1:10" x14ac:dyDescent="0.3">
      <c r="A237" s="6" t="s">
        <v>1301</v>
      </c>
      <c r="B237" s="7" t="s">
        <v>139</v>
      </c>
      <c r="C237" s="7" t="s">
        <v>1156</v>
      </c>
      <c r="D237" s="7" t="s">
        <v>18</v>
      </c>
      <c r="E237" s="7" t="s">
        <v>1298</v>
      </c>
      <c r="F237" s="7" t="s">
        <v>1302</v>
      </c>
      <c r="G237" s="7" t="s">
        <v>1303</v>
      </c>
      <c r="H237" s="7">
        <v>2</v>
      </c>
      <c r="I237" s="7" t="s">
        <v>1304</v>
      </c>
      <c r="J237" s="7" t="s">
        <v>234</v>
      </c>
    </row>
    <row r="238" spans="1:10" x14ac:dyDescent="0.3">
      <c r="A238" s="6" t="s">
        <v>1256</v>
      </c>
      <c r="B238" s="7" t="s">
        <v>139</v>
      </c>
      <c r="C238" s="7" t="s">
        <v>1156</v>
      </c>
      <c r="D238" s="7" t="s">
        <v>18</v>
      </c>
      <c r="E238" s="7" t="s">
        <v>1257</v>
      </c>
      <c r="F238" s="7" t="s">
        <v>1258</v>
      </c>
      <c r="G238" s="7" t="s">
        <v>1259</v>
      </c>
      <c r="H238" s="7">
        <v>30</v>
      </c>
      <c r="I238" s="7" t="s">
        <v>1260</v>
      </c>
      <c r="J238" s="7" t="s">
        <v>1261</v>
      </c>
    </row>
    <row r="239" spans="1:10" x14ac:dyDescent="0.3">
      <c r="A239" s="6" t="s">
        <v>1289</v>
      </c>
      <c r="B239" s="7" t="s">
        <v>139</v>
      </c>
      <c r="C239" s="7" t="s">
        <v>1156</v>
      </c>
      <c r="D239" s="7" t="s">
        <v>18</v>
      </c>
      <c r="E239" s="7" t="s">
        <v>1285</v>
      </c>
      <c r="F239" s="7" t="s">
        <v>1286</v>
      </c>
      <c r="G239" s="7" t="s">
        <v>1290</v>
      </c>
      <c r="H239" s="7">
        <v>4</v>
      </c>
      <c r="I239" s="7" t="s">
        <v>202</v>
      </c>
      <c r="J239" s="7" t="s">
        <v>1291</v>
      </c>
    </row>
    <row r="240" spans="1:10" x14ac:dyDescent="0.3">
      <c r="A240" s="6" t="s">
        <v>991</v>
      </c>
      <c r="B240" s="7" t="s">
        <v>139</v>
      </c>
      <c r="C240" s="7" t="s">
        <v>773</v>
      </c>
      <c r="D240" s="7" t="s">
        <v>16</v>
      </c>
      <c r="E240" s="7" t="s">
        <v>992</v>
      </c>
      <c r="F240" s="7" t="s">
        <v>475</v>
      </c>
      <c r="G240" s="7" t="s">
        <v>993</v>
      </c>
      <c r="H240" s="7">
        <v>35</v>
      </c>
      <c r="I240" s="7" t="s">
        <v>994</v>
      </c>
      <c r="J240" s="7" t="s">
        <v>995</v>
      </c>
    </row>
    <row r="241" spans="1:10" x14ac:dyDescent="0.3">
      <c r="A241" s="6" t="s">
        <v>1847</v>
      </c>
      <c r="B241" s="7" t="s">
        <v>139</v>
      </c>
      <c r="C241" s="7" t="s">
        <v>773</v>
      </c>
      <c r="D241" s="7" t="s">
        <v>16</v>
      </c>
      <c r="E241" s="7" t="s">
        <v>1027</v>
      </c>
      <c r="F241" s="7" t="s">
        <v>1028</v>
      </c>
      <c r="G241" s="7" t="s">
        <v>1848</v>
      </c>
      <c r="H241" s="7">
        <v>2</v>
      </c>
      <c r="I241" s="7" t="s">
        <v>1851</v>
      </c>
      <c r="J241" s="7" t="s">
        <v>174</v>
      </c>
    </row>
    <row r="242" spans="1:10" x14ac:dyDescent="0.3">
      <c r="A242" s="6" t="s">
        <v>1052</v>
      </c>
      <c r="B242" s="7" t="s">
        <v>139</v>
      </c>
      <c r="C242" s="7" t="s">
        <v>773</v>
      </c>
      <c r="D242" s="7" t="s">
        <v>16</v>
      </c>
      <c r="E242" s="7" t="s">
        <v>1053</v>
      </c>
      <c r="F242" s="7" t="s">
        <v>1054</v>
      </c>
      <c r="G242" s="7" t="s">
        <v>1055</v>
      </c>
      <c r="H242" s="7">
        <v>3</v>
      </c>
      <c r="I242" s="7" t="s">
        <v>1056</v>
      </c>
      <c r="J242" s="7" t="s">
        <v>174</v>
      </c>
    </row>
    <row r="243" spans="1:10" x14ac:dyDescent="0.3">
      <c r="A243" s="6" t="s">
        <v>1131</v>
      </c>
      <c r="B243" s="7" t="s">
        <v>139</v>
      </c>
      <c r="C243" s="7" t="s">
        <v>773</v>
      </c>
      <c r="D243" s="7" t="s">
        <v>16</v>
      </c>
      <c r="E243" s="7" t="s">
        <v>1128</v>
      </c>
      <c r="F243" s="7" t="s">
        <v>1129</v>
      </c>
      <c r="G243" s="7" t="s">
        <v>1132</v>
      </c>
      <c r="H243" s="7">
        <v>6</v>
      </c>
      <c r="I243" s="7" t="s">
        <v>1133</v>
      </c>
      <c r="J243" s="7" t="s">
        <v>174</v>
      </c>
    </row>
    <row r="244" spans="1:10" x14ac:dyDescent="0.3">
      <c r="A244" s="6" t="s">
        <v>1814</v>
      </c>
      <c r="B244" s="7" t="s">
        <v>139</v>
      </c>
      <c r="C244" s="7" t="s">
        <v>773</v>
      </c>
      <c r="D244" s="7" t="s">
        <v>16</v>
      </c>
      <c r="E244" s="7" t="s">
        <v>1815</v>
      </c>
      <c r="F244" s="7" t="s">
        <v>1816</v>
      </c>
      <c r="G244" s="7" t="s">
        <v>1817</v>
      </c>
      <c r="H244" s="7">
        <v>3</v>
      </c>
      <c r="I244" s="7" t="s">
        <v>1383</v>
      </c>
      <c r="J244" s="7" t="s">
        <v>1231</v>
      </c>
    </row>
    <row r="245" spans="1:10" x14ac:dyDescent="0.3">
      <c r="A245" s="6" t="s">
        <v>1107</v>
      </c>
      <c r="B245" s="7" t="s">
        <v>139</v>
      </c>
      <c r="C245" s="7" t="s">
        <v>773</v>
      </c>
      <c r="D245" s="7" t="s">
        <v>16</v>
      </c>
      <c r="E245" s="7" t="s">
        <v>1102</v>
      </c>
      <c r="F245" s="7" t="s">
        <v>1103</v>
      </c>
      <c r="G245" s="7" t="s">
        <v>1108</v>
      </c>
      <c r="H245" s="7">
        <v>7</v>
      </c>
      <c r="I245" s="7" t="s">
        <v>349</v>
      </c>
      <c r="J245" s="7" t="s">
        <v>234</v>
      </c>
    </row>
    <row r="246" spans="1:10" x14ac:dyDescent="0.3">
      <c r="A246" s="6" t="s">
        <v>1134</v>
      </c>
      <c r="B246" s="7" t="s">
        <v>139</v>
      </c>
      <c r="C246" s="7" t="s">
        <v>773</v>
      </c>
      <c r="D246" s="7" t="s">
        <v>16</v>
      </c>
      <c r="E246" s="7" t="s">
        <v>1128</v>
      </c>
      <c r="F246" s="7" t="s">
        <v>1129</v>
      </c>
      <c r="G246" s="7" t="s">
        <v>1135</v>
      </c>
      <c r="H246" s="7">
        <v>9</v>
      </c>
      <c r="I246" s="7" t="s">
        <v>415</v>
      </c>
      <c r="J246" s="7" t="s">
        <v>1136</v>
      </c>
    </row>
    <row r="247" spans="1:10" x14ac:dyDescent="0.3">
      <c r="A247" s="6" t="s">
        <v>1137</v>
      </c>
      <c r="B247" s="7" t="s">
        <v>139</v>
      </c>
      <c r="C247" s="7" t="s">
        <v>773</v>
      </c>
      <c r="D247" s="7" t="s">
        <v>16</v>
      </c>
      <c r="E247" s="7" t="s">
        <v>1128</v>
      </c>
      <c r="F247" s="7" t="s">
        <v>1129</v>
      </c>
      <c r="G247" s="7" t="s">
        <v>1138</v>
      </c>
      <c r="H247" s="7"/>
      <c r="I247" s="7" t="s">
        <v>1139</v>
      </c>
      <c r="J247" s="7" t="s">
        <v>262</v>
      </c>
    </row>
    <row r="248" spans="1:10" x14ac:dyDescent="0.3">
      <c r="A248" s="6" t="s">
        <v>887</v>
      </c>
      <c r="B248" s="7" t="s">
        <v>139</v>
      </c>
      <c r="C248" s="7" t="s">
        <v>773</v>
      </c>
      <c r="D248" s="7" t="s">
        <v>16</v>
      </c>
      <c r="E248" s="7" t="s">
        <v>888</v>
      </c>
      <c r="F248" s="7" t="s">
        <v>889</v>
      </c>
      <c r="G248" s="7" t="s">
        <v>890</v>
      </c>
      <c r="H248" s="7"/>
      <c r="I248" s="7" t="s">
        <v>583</v>
      </c>
      <c r="J248" s="7" t="s">
        <v>891</v>
      </c>
    </row>
    <row r="249" spans="1:10" x14ac:dyDescent="0.3">
      <c r="A249" s="6" t="s">
        <v>830</v>
      </c>
      <c r="B249" s="7" t="s">
        <v>139</v>
      </c>
      <c r="C249" s="7" t="s">
        <v>773</v>
      </c>
      <c r="D249" s="7" t="s">
        <v>16</v>
      </c>
      <c r="E249" s="7" t="s">
        <v>808</v>
      </c>
      <c r="F249" s="7" t="s">
        <v>809</v>
      </c>
      <c r="G249" s="7" t="s">
        <v>831</v>
      </c>
      <c r="H249" s="7">
        <v>42</v>
      </c>
      <c r="I249" s="7" t="s">
        <v>805</v>
      </c>
      <c r="J249" s="7" t="s">
        <v>197</v>
      </c>
    </row>
    <row r="250" spans="1:10" x14ac:dyDescent="0.3">
      <c r="A250" s="6" t="s">
        <v>1803</v>
      </c>
      <c r="B250" s="7" t="s">
        <v>139</v>
      </c>
      <c r="C250" s="7" t="s">
        <v>773</v>
      </c>
      <c r="D250" s="7" t="s">
        <v>16</v>
      </c>
      <c r="E250" s="7" t="s">
        <v>791</v>
      </c>
      <c r="F250" s="7" t="s">
        <v>218</v>
      </c>
      <c r="G250" s="7" t="s">
        <v>1804</v>
      </c>
      <c r="H250" s="7">
        <v>17</v>
      </c>
      <c r="I250" s="7" t="s">
        <v>1808</v>
      </c>
      <c r="J250" s="7" t="s">
        <v>1809</v>
      </c>
    </row>
    <row r="251" spans="1:10" x14ac:dyDescent="0.3">
      <c r="A251" s="6" t="s">
        <v>803</v>
      </c>
      <c r="B251" s="7" t="s">
        <v>139</v>
      </c>
      <c r="C251" s="7" t="s">
        <v>773</v>
      </c>
      <c r="D251" s="7" t="s">
        <v>16</v>
      </c>
      <c r="E251" s="7" t="s">
        <v>795</v>
      </c>
      <c r="F251" s="7" t="s">
        <v>796</v>
      </c>
      <c r="G251" s="7" t="s">
        <v>804</v>
      </c>
      <c r="H251" s="7"/>
      <c r="I251" s="7" t="s">
        <v>805</v>
      </c>
      <c r="J251" s="7" t="s">
        <v>806</v>
      </c>
    </row>
    <row r="252" spans="1:10" x14ac:dyDescent="0.3">
      <c r="A252" s="6" t="s">
        <v>1155</v>
      </c>
      <c r="B252" s="7" t="s">
        <v>139</v>
      </c>
      <c r="C252" s="7" t="s">
        <v>1156</v>
      </c>
      <c r="D252" s="7" t="s">
        <v>18</v>
      </c>
      <c r="E252" s="7" t="s">
        <v>1157</v>
      </c>
      <c r="F252" s="7" t="s">
        <v>1158</v>
      </c>
      <c r="G252" s="7" t="s">
        <v>1159</v>
      </c>
      <c r="H252" s="7">
        <v>2</v>
      </c>
      <c r="I252" s="7" t="s">
        <v>1160</v>
      </c>
      <c r="J252" s="7" t="s">
        <v>1161</v>
      </c>
    </row>
    <row r="253" spans="1:10" x14ac:dyDescent="0.3">
      <c r="A253" s="6" t="s">
        <v>1218</v>
      </c>
      <c r="B253" s="7" t="s">
        <v>139</v>
      </c>
      <c r="C253" s="7" t="s">
        <v>1156</v>
      </c>
      <c r="D253" s="7" t="s">
        <v>18</v>
      </c>
      <c r="E253" s="7" t="s">
        <v>1219</v>
      </c>
      <c r="F253" s="7" t="s">
        <v>1220</v>
      </c>
      <c r="G253" s="7" t="s">
        <v>1221</v>
      </c>
      <c r="H253" s="7">
        <v>2</v>
      </c>
      <c r="I253" s="7" t="s">
        <v>1222</v>
      </c>
      <c r="J253" s="7" t="s">
        <v>617</v>
      </c>
    </row>
    <row r="254" spans="1:10" x14ac:dyDescent="0.3">
      <c r="A254" s="6" t="s">
        <v>1960</v>
      </c>
      <c r="B254" s="7" t="s">
        <v>139</v>
      </c>
      <c r="C254" s="7" t="s">
        <v>1156</v>
      </c>
      <c r="D254" s="7" t="s">
        <v>18</v>
      </c>
      <c r="E254" s="7" t="s">
        <v>1961</v>
      </c>
      <c r="F254" s="7" t="s">
        <v>394</v>
      </c>
      <c r="G254" s="7" t="s">
        <v>1962</v>
      </c>
      <c r="H254" s="7">
        <v>2</v>
      </c>
      <c r="I254" s="7" t="s">
        <v>1600</v>
      </c>
      <c r="J254" s="7" t="s">
        <v>422</v>
      </c>
    </row>
    <row r="255" spans="1:10" x14ac:dyDescent="0.3">
      <c r="A255" s="6" t="s">
        <v>1057</v>
      </c>
      <c r="B255" s="7" t="s">
        <v>139</v>
      </c>
      <c r="C255" s="7" t="s">
        <v>773</v>
      </c>
      <c r="D255" s="7" t="s">
        <v>16</v>
      </c>
      <c r="E255" s="7" t="s">
        <v>1053</v>
      </c>
      <c r="F255" s="7" t="s">
        <v>1054</v>
      </c>
      <c r="G255" s="7" t="s">
        <v>1058</v>
      </c>
      <c r="H255" s="7">
        <v>3</v>
      </c>
      <c r="I255" s="7" t="s">
        <v>626</v>
      </c>
      <c r="J255" s="7" t="s">
        <v>174</v>
      </c>
    </row>
    <row r="256" spans="1:10" x14ac:dyDescent="0.3">
      <c r="A256" s="6" t="s">
        <v>863</v>
      </c>
      <c r="B256" s="7" t="s">
        <v>139</v>
      </c>
      <c r="C256" s="7" t="s">
        <v>773</v>
      </c>
      <c r="D256" s="7" t="s">
        <v>16</v>
      </c>
      <c r="E256" s="7" t="s">
        <v>864</v>
      </c>
      <c r="F256" s="7" t="s">
        <v>865</v>
      </c>
      <c r="G256" s="7" t="s">
        <v>866</v>
      </c>
      <c r="H256" s="7">
        <v>14</v>
      </c>
      <c r="I256" s="7" t="s">
        <v>411</v>
      </c>
      <c r="J256" s="7" t="s">
        <v>191</v>
      </c>
    </row>
    <row r="257" spans="1:10" x14ac:dyDescent="0.3">
      <c r="A257" s="6" t="s">
        <v>1074</v>
      </c>
      <c r="B257" s="7" t="s">
        <v>139</v>
      </c>
      <c r="C257" s="7" t="s">
        <v>773</v>
      </c>
      <c r="D257" s="7" t="s">
        <v>16</v>
      </c>
      <c r="E257" s="7" t="s">
        <v>1075</v>
      </c>
      <c r="F257" s="7" t="s">
        <v>1076</v>
      </c>
      <c r="G257" s="7" t="s">
        <v>1077</v>
      </c>
      <c r="H257" s="7">
        <v>2</v>
      </c>
      <c r="I257" s="7" t="s">
        <v>340</v>
      </c>
      <c r="J257" s="7" t="s">
        <v>1078</v>
      </c>
    </row>
    <row r="258" spans="1:10" x14ac:dyDescent="0.3">
      <c r="A258" s="6" t="s">
        <v>1829</v>
      </c>
      <c r="B258" s="7" t="s">
        <v>139</v>
      </c>
      <c r="C258" s="7" t="s">
        <v>773</v>
      </c>
      <c r="D258" s="7" t="s">
        <v>16</v>
      </c>
      <c r="E258" s="7" t="s">
        <v>1830</v>
      </c>
      <c r="F258" s="7" t="s">
        <v>394</v>
      </c>
      <c r="G258" s="7" t="s">
        <v>1831</v>
      </c>
      <c r="H258" s="7">
        <v>2</v>
      </c>
      <c r="I258" s="7" t="s">
        <v>190</v>
      </c>
      <c r="J258" s="7" t="s">
        <v>422</v>
      </c>
    </row>
    <row r="259" spans="1:10" x14ac:dyDescent="0.3">
      <c r="A259" s="6" t="s">
        <v>1268</v>
      </c>
      <c r="B259" s="7" t="s">
        <v>139</v>
      </c>
      <c r="C259" s="7" t="s">
        <v>1156</v>
      </c>
      <c r="D259" s="7" t="s">
        <v>18</v>
      </c>
      <c r="E259" s="7" t="s">
        <v>521</v>
      </c>
      <c r="F259" s="7" t="s">
        <v>1269</v>
      </c>
      <c r="G259" s="7" t="s">
        <v>1270</v>
      </c>
      <c r="H259" s="7">
        <v>3</v>
      </c>
      <c r="I259" s="7" t="s">
        <v>434</v>
      </c>
      <c r="J259" s="7" t="s">
        <v>1271</v>
      </c>
    </row>
    <row r="260" spans="1:10" x14ac:dyDescent="0.3">
      <c r="A260" s="6" t="s">
        <v>1329</v>
      </c>
      <c r="B260" s="7" t="s">
        <v>139</v>
      </c>
      <c r="C260" s="7" t="s">
        <v>1156</v>
      </c>
      <c r="D260" s="7" t="s">
        <v>18</v>
      </c>
      <c r="E260" s="7" t="s">
        <v>1330</v>
      </c>
      <c r="F260" s="7" t="s">
        <v>760</v>
      </c>
      <c r="G260" s="7" t="s">
        <v>1331</v>
      </c>
      <c r="H260" s="7">
        <v>7</v>
      </c>
      <c r="I260" s="7" t="s">
        <v>1332</v>
      </c>
      <c r="J260" s="7" t="s">
        <v>871</v>
      </c>
    </row>
    <row r="261" spans="1:10" x14ac:dyDescent="0.3">
      <c r="A261" s="6" t="s">
        <v>1281</v>
      </c>
      <c r="B261" s="7" t="s">
        <v>139</v>
      </c>
      <c r="C261" s="7" t="s">
        <v>1156</v>
      </c>
      <c r="D261" s="7" t="s">
        <v>18</v>
      </c>
      <c r="E261" s="7" t="s">
        <v>1053</v>
      </c>
      <c r="F261" s="7" t="s">
        <v>1054</v>
      </c>
      <c r="G261" s="7" t="s">
        <v>1282</v>
      </c>
      <c r="H261" s="7">
        <v>5</v>
      </c>
      <c r="I261" s="7" t="s">
        <v>1283</v>
      </c>
      <c r="J261" s="7" t="s">
        <v>662</v>
      </c>
    </row>
    <row r="262" spans="1:10" x14ac:dyDescent="0.3">
      <c r="A262" s="6" t="s">
        <v>848</v>
      </c>
      <c r="B262" s="7" t="s">
        <v>139</v>
      </c>
      <c r="C262" s="7" t="s">
        <v>773</v>
      </c>
      <c r="D262" s="7" t="s">
        <v>16</v>
      </c>
      <c r="E262" s="7" t="s">
        <v>849</v>
      </c>
      <c r="F262" s="7" t="s">
        <v>850</v>
      </c>
      <c r="G262" s="7" t="s">
        <v>851</v>
      </c>
      <c r="H262" s="7">
        <v>8</v>
      </c>
      <c r="I262" s="7" t="s">
        <v>852</v>
      </c>
      <c r="J262" s="7" t="s">
        <v>853</v>
      </c>
    </row>
    <row r="263" spans="1:10" x14ac:dyDescent="0.3">
      <c r="A263" s="6" t="s">
        <v>963</v>
      </c>
      <c r="B263" s="7" t="s">
        <v>139</v>
      </c>
      <c r="C263" s="7" t="s">
        <v>773</v>
      </c>
      <c r="D263" s="7" t="s">
        <v>16</v>
      </c>
      <c r="E263" s="7" t="s">
        <v>964</v>
      </c>
      <c r="F263" s="7" t="s">
        <v>965</v>
      </c>
      <c r="G263" s="7" t="s">
        <v>966</v>
      </c>
      <c r="H263" s="7">
        <v>2</v>
      </c>
      <c r="I263" s="7" t="s">
        <v>967</v>
      </c>
      <c r="J263" s="7" t="s">
        <v>968</v>
      </c>
    </row>
    <row r="264" spans="1:10" x14ac:dyDescent="0.3">
      <c r="A264" s="6" t="s">
        <v>1005</v>
      </c>
      <c r="B264" s="7" t="s">
        <v>139</v>
      </c>
      <c r="C264" s="7" t="s">
        <v>773</v>
      </c>
      <c r="D264" s="7" t="s">
        <v>16</v>
      </c>
      <c r="E264" s="7" t="s">
        <v>1006</v>
      </c>
      <c r="F264" s="7" t="s">
        <v>1007</v>
      </c>
      <c r="G264" s="7" t="s">
        <v>1008</v>
      </c>
      <c r="H264" s="7">
        <v>14</v>
      </c>
      <c r="I264" s="7" t="s">
        <v>1009</v>
      </c>
      <c r="J264" s="7" t="s">
        <v>584</v>
      </c>
    </row>
    <row r="265" spans="1:10" x14ac:dyDescent="0.3">
      <c r="A265" s="6" t="s">
        <v>1862</v>
      </c>
      <c r="B265" s="7" t="s">
        <v>139</v>
      </c>
      <c r="C265" s="7" t="s">
        <v>773</v>
      </c>
      <c r="D265" s="7" t="s">
        <v>16</v>
      </c>
      <c r="E265" s="7" t="s">
        <v>1053</v>
      </c>
      <c r="F265" s="7" t="s">
        <v>1054</v>
      </c>
      <c r="G265" s="7" t="s">
        <v>1863</v>
      </c>
      <c r="H265" s="7">
        <v>1</v>
      </c>
      <c r="I265" s="7" t="s">
        <v>411</v>
      </c>
      <c r="J265" s="7" t="s">
        <v>191</v>
      </c>
    </row>
    <row r="266" spans="1:10" x14ac:dyDescent="0.3">
      <c r="A266" s="6" t="s">
        <v>1852</v>
      </c>
      <c r="B266" s="7" t="s">
        <v>139</v>
      </c>
      <c r="C266" s="7" t="s">
        <v>773</v>
      </c>
      <c r="D266" s="7" t="s">
        <v>16</v>
      </c>
      <c r="E266" s="7" t="s">
        <v>1853</v>
      </c>
      <c r="F266" s="7" t="s">
        <v>528</v>
      </c>
      <c r="G266" s="7" t="s">
        <v>1854</v>
      </c>
      <c r="H266" s="7"/>
      <c r="I266" s="7" t="s">
        <v>805</v>
      </c>
      <c r="J266" s="7" t="s">
        <v>197</v>
      </c>
    </row>
    <row r="267" spans="1:10" x14ac:dyDescent="0.3">
      <c r="A267" s="6" t="s">
        <v>1966</v>
      </c>
      <c r="B267" s="7" t="s">
        <v>139</v>
      </c>
      <c r="C267" s="7" t="s">
        <v>1156</v>
      </c>
      <c r="D267" s="7" t="s">
        <v>18</v>
      </c>
      <c r="E267" s="7" t="s">
        <v>74</v>
      </c>
      <c r="F267" s="7" t="s">
        <v>447</v>
      </c>
      <c r="G267" s="7" t="s">
        <v>1967</v>
      </c>
      <c r="H267" s="7">
        <v>25</v>
      </c>
      <c r="I267" s="7" t="s">
        <v>163</v>
      </c>
      <c r="J267" s="7" t="s">
        <v>1970</v>
      </c>
    </row>
    <row r="268" spans="1:10" x14ac:dyDescent="0.3">
      <c r="A268" s="6" t="s">
        <v>2595</v>
      </c>
      <c r="B268" s="7" t="s">
        <v>139</v>
      </c>
      <c r="C268" s="7" t="s">
        <v>2596</v>
      </c>
      <c r="D268" s="7" t="s">
        <v>35</v>
      </c>
      <c r="E268" s="7" t="s">
        <v>2597</v>
      </c>
      <c r="F268" s="7" t="s">
        <v>2598</v>
      </c>
      <c r="G268" s="7" t="s">
        <v>2599</v>
      </c>
      <c r="H268" s="7">
        <v>10</v>
      </c>
      <c r="I268" s="7" t="s">
        <v>257</v>
      </c>
      <c r="J268" s="7" t="s">
        <v>2601</v>
      </c>
    </row>
    <row r="269" spans="1:10" x14ac:dyDescent="0.3">
      <c r="A269" s="6" t="s">
        <v>2272</v>
      </c>
      <c r="B269" s="7" t="s">
        <v>139</v>
      </c>
      <c r="C269" s="7" t="s">
        <v>2273</v>
      </c>
      <c r="D269" s="7" t="s">
        <v>22</v>
      </c>
      <c r="E269" s="7" t="s">
        <v>2274</v>
      </c>
      <c r="F269" s="7" t="s">
        <v>394</v>
      </c>
      <c r="G269" s="7" t="s">
        <v>2275</v>
      </c>
      <c r="H269" s="7">
        <v>2</v>
      </c>
      <c r="I269" s="7" t="s">
        <v>2279</v>
      </c>
      <c r="J269" s="7" t="s">
        <v>2280</v>
      </c>
    </row>
    <row r="270" spans="1:10" x14ac:dyDescent="0.3">
      <c r="A270" s="6" t="s">
        <v>720</v>
      </c>
      <c r="B270" s="7" t="s">
        <v>139</v>
      </c>
      <c r="C270" s="7" t="s">
        <v>643</v>
      </c>
      <c r="D270" s="7" t="s">
        <v>12</v>
      </c>
      <c r="E270" s="7" t="s">
        <v>721</v>
      </c>
      <c r="F270" s="7" t="s">
        <v>394</v>
      </c>
      <c r="G270" s="7" t="s">
        <v>722</v>
      </c>
      <c r="H270" s="7">
        <v>1</v>
      </c>
      <c r="I270" s="7" t="s">
        <v>723</v>
      </c>
      <c r="J270" s="7" t="s">
        <v>174</v>
      </c>
    </row>
    <row r="271" spans="1:10" x14ac:dyDescent="0.3">
      <c r="A271" s="6" t="s">
        <v>2442</v>
      </c>
      <c r="B271" s="7" t="s">
        <v>139</v>
      </c>
      <c r="C271" s="7" t="s">
        <v>643</v>
      </c>
      <c r="D271" s="7" t="s">
        <v>32</v>
      </c>
      <c r="E271" s="7" t="s">
        <v>2443</v>
      </c>
      <c r="F271" s="7" t="s">
        <v>2444</v>
      </c>
      <c r="G271" s="7" t="s">
        <v>2445</v>
      </c>
      <c r="H271" s="7">
        <v>1</v>
      </c>
      <c r="I271" s="7" t="s">
        <v>2447</v>
      </c>
      <c r="J271" s="7" t="s">
        <v>144</v>
      </c>
    </row>
    <row r="272" spans="1:10" x14ac:dyDescent="0.3">
      <c r="A272" s="6" t="s">
        <v>2324</v>
      </c>
      <c r="B272" s="7" t="s">
        <v>139</v>
      </c>
      <c r="C272" s="7" t="s">
        <v>643</v>
      </c>
      <c r="D272" s="7" t="s">
        <v>26</v>
      </c>
      <c r="E272" s="7" t="s">
        <v>721</v>
      </c>
      <c r="F272" s="7" t="s">
        <v>394</v>
      </c>
      <c r="G272" s="7" t="s">
        <v>2325</v>
      </c>
      <c r="H272" s="7"/>
      <c r="I272" s="7" t="s">
        <v>2328</v>
      </c>
      <c r="J272" s="7"/>
    </row>
    <row r="273" spans="1:10" x14ac:dyDescent="0.3">
      <c r="A273" s="6" t="s">
        <v>372</v>
      </c>
      <c r="B273" s="7" t="s">
        <v>139</v>
      </c>
      <c r="C273" s="7" t="s">
        <v>140</v>
      </c>
      <c r="D273" s="7" t="s">
        <v>10</v>
      </c>
      <c r="E273" s="7" t="s">
        <v>373</v>
      </c>
      <c r="F273" s="7"/>
      <c r="G273" s="7" t="s">
        <v>374</v>
      </c>
      <c r="H273" s="7">
        <v>3</v>
      </c>
      <c r="I273" s="7" t="s">
        <v>375</v>
      </c>
      <c r="J273" s="7" t="s">
        <v>262</v>
      </c>
    </row>
    <row r="274" spans="1:10" x14ac:dyDescent="0.3">
      <c r="A274" s="6" t="s">
        <v>298</v>
      </c>
      <c r="B274" s="7" t="s">
        <v>139</v>
      </c>
      <c r="C274" s="7" t="s">
        <v>140</v>
      </c>
      <c r="D274" s="7" t="s">
        <v>10</v>
      </c>
      <c r="E274" s="7" t="s">
        <v>299</v>
      </c>
      <c r="F274" s="7" t="s">
        <v>300</v>
      </c>
      <c r="G274" s="7" t="s">
        <v>301</v>
      </c>
      <c r="H274" s="7">
        <v>14</v>
      </c>
      <c r="I274" s="7" t="s">
        <v>302</v>
      </c>
      <c r="J274" s="7" t="s">
        <v>303</v>
      </c>
    </row>
    <row r="275" spans="1:10" x14ac:dyDescent="0.3">
      <c r="A275" s="6" t="s">
        <v>631</v>
      </c>
      <c r="B275" s="7" t="s">
        <v>139</v>
      </c>
      <c r="C275" s="7" t="s">
        <v>140</v>
      </c>
      <c r="D275" s="7" t="s">
        <v>10</v>
      </c>
      <c r="E275" s="7" t="s">
        <v>632</v>
      </c>
      <c r="F275" s="7"/>
      <c r="G275" s="7" t="s">
        <v>633</v>
      </c>
      <c r="H275" s="7">
        <v>24</v>
      </c>
      <c r="I275" s="7" t="s">
        <v>315</v>
      </c>
      <c r="J275" s="7" t="s">
        <v>174</v>
      </c>
    </row>
    <row r="276" spans="1:10" x14ac:dyDescent="0.3">
      <c r="A276" s="6" t="s">
        <v>575</v>
      </c>
      <c r="B276" s="7" t="s">
        <v>139</v>
      </c>
      <c r="C276" s="7" t="s">
        <v>140</v>
      </c>
      <c r="D276" s="7" t="s">
        <v>10</v>
      </c>
      <c r="E276" s="7" t="s">
        <v>576</v>
      </c>
      <c r="F276" s="7" t="s">
        <v>577</v>
      </c>
      <c r="G276" s="7" t="s">
        <v>578</v>
      </c>
      <c r="H276" s="7">
        <v>2</v>
      </c>
      <c r="I276" s="7" t="s">
        <v>579</v>
      </c>
      <c r="J276" s="7" t="s">
        <v>174</v>
      </c>
    </row>
    <row r="277" spans="1:10" x14ac:dyDescent="0.3">
      <c r="A277" s="6" t="s">
        <v>304</v>
      </c>
      <c r="B277" s="7" t="s">
        <v>139</v>
      </c>
      <c r="C277" s="7" t="s">
        <v>140</v>
      </c>
      <c r="D277" s="7" t="s">
        <v>10</v>
      </c>
      <c r="E277" s="7" t="s">
        <v>299</v>
      </c>
      <c r="F277" s="7" t="s">
        <v>300</v>
      </c>
      <c r="G277" s="7" t="s">
        <v>305</v>
      </c>
      <c r="H277" s="7">
        <v>14</v>
      </c>
      <c r="I277" s="7" t="s">
        <v>306</v>
      </c>
      <c r="J277" s="7" t="s">
        <v>262</v>
      </c>
    </row>
    <row r="278" spans="1:10" x14ac:dyDescent="0.3">
      <c r="A278" s="6" t="s">
        <v>604</v>
      </c>
      <c r="B278" s="7" t="s">
        <v>139</v>
      </c>
      <c r="C278" s="7" t="s">
        <v>140</v>
      </c>
      <c r="D278" s="7" t="s">
        <v>10</v>
      </c>
      <c r="E278" s="7" t="s">
        <v>605</v>
      </c>
      <c r="F278" s="7"/>
      <c r="G278" s="7" t="s">
        <v>606</v>
      </c>
      <c r="H278" s="7">
        <v>5</v>
      </c>
      <c r="I278" s="7" t="s">
        <v>607</v>
      </c>
      <c r="J278" s="7" t="s">
        <v>608</v>
      </c>
    </row>
    <row r="279" spans="1:10" x14ac:dyDescent="0.3">
      <c r="A279" s="6" t="s">
        <v>435</v>
      </c>
      <c r="B279" s="7" t="s">
        <v>139</v>
      </c>
      <c r="C279" s="7" t="s">
        <v>140</v>
      </c>
      <c r="D279" s="7" t="s">
        <v>10</v>
      </c>
      <c r="E279" s="7" t="s">
        <v>436</v>
      </c>
      <c r="F279" s="7"/>
      <c r="G279" s="7" t="s">
        <v>437</v>
      </c>
      <c r="H279" s="7">
        <v>1</v>
      </c>
      <c r="I279" s="7" t="s">
        <v>438</v>
      </c>
      <c r="J279" s="7" t="s">
        <v>439</v>
      </c>
    </row>
    <row r="280" spans="1:10" x14ac:dyDescent="0.3">
      <c r="A280" s="6" t="s">
        <v>453</v>
      </c>
      <c r="B280" s="7" t="s">
        <v>139</v>
      </c>
      <c r="C280" s="7" t="s">
        <v>140</v>
      </c>
      <c r="D280" s="7" t="s">
        <v>10</v>
      </c>
      <c r="E280" s="7" t="s">
        <v>454</v>
      </c>
      <c r="F280" s="7" t="s">
        <v>455</v>
      </c>
      <c r="G280" s="7" t="s">
        <v>456</v>
      </c>
      <c r="H280" s="7">
        <v>16</v>
      </c>
      <c r="I280" s="7" t="s">
        <v>457</v>
      </c>
      <c r="J280" s="7" t="s">
        <v>174</v>
      </c>
    </row>
    <row r="281" spans="1:10" x14ac:dyDescent="0.3">
      <c r="A281" s="6" t="s">
        <v>407</v>
      </c>
      <c r="B281" s="7" t="s">
        <v>139</v>
      </c>
      <c r="C281" s="7" t="s">
        <v>140</v>
      </c>
      <c r="D281" s="7" t="s">
        <v>10</v>
      </c>
      <c r="E281" s="7" t="s">
        <v>408</v>
      </c>
      <c r="F281" s="7" t="s">
        <v>409</v>
      </c>
      <c r="G281" s="7" t="s">
        <v>410</v>
      </c>
      <c r="H281" s="7">
        <v>9</v>
      </c>
      <c r="I281" s="7" t="s">
        <v>411</v>
      </c>
      <c r="J281" s="7" t="s">
        <v>412</v>
      </c>
    </row>
    <row r="282" spans="1:10" x14ac:dyDescent="0.3">
      <c r="A282" s="6" t="s">
        <v>526</v>
      </c>
      <c r="B282" s="7" t="s">
        <v>139</v>
      </c>
      <c r="C282" s="7" t="s">
        <v>140</v>
      </c>
      <c r="D282" s="7" t="s">
        <v>10</v>
      </c>
      <c r="E282" s="7" t="s">
        <v>527</v>
      </c>
      <c r="F282" s="7" t="s">
        <v>528</v>
      </c>
      <c r="G282" s="7" t="s">
        <v>529</v>
      </c>
      <c r="H282" s="7">
        <v>18</v>
      </c>
      <c r="I282" s="7" t="s">
        <v>411</v>
      </c>
      <c r="J282" s="7" t="s">
        <v>360</v>
      </c>
    </row>
    <row r="283" spans="1:10" x14ac:dyDescent="0.3">
      <c r="A283" s="6" t="s">
        <v>212</v>
      </c>
      <c r="B283" s="7" t="s">
        <v>139</v>
      </c>
      <c r="C283" s="7" t="s">
        <v>140</v>
      </c>
      <c r="D283" s="7" t="s">
        <v>10</v>
      </c>
      <c r="E283" s="7" t="s">
        <v>213</v>
      </c>
      <c r="F283" s="7"/>
      <c r="G283" s="7" t="s">
        <v>214</v>
      </c>
      <c r="H283" s="7">
        <v>39</v>
      </c>
      <c r="I283" s="7" t="s">
        <v>143</v>
      </c>
      <c r="J283" s="7" t="s">
        <v>215</v>
      </c>
    </row>
    <row r="284" spans="1:10" x14ac:dyDescent="0.3">
      <c r="A284" s="6" t="s">
        <v>637</v>
      </c>
      <c r="B284" s="7" t="s">
        <v>139</v>
      </c>
      <c r="C284" s="7" t="s">
        <v>140</v>
      </c>
      <c r="D284" s="7" t="s">
        <v>10</v>
      </c>
      <c r="E284" s="7" t="s">
        <v>638</v>
      </c>
      <c r="F284" s="7"/>
      <c r="G284" s="7" t="s">
        <v>639</v>
      </c>
      <c r="H284" s="7">
        <v>50</v>
      </c>
      <c r="I284" s="7" t="s">
        <v>640</v>
      </c>
      <c r="J284" s="7" t="s">
        <v>641</v>
      </c>
    </row>
    <row r="285" spans="1:10" x14ac:dyDescent="0.3">
      <c r="A285" s="6" t="s">
        <v>145</v>
      </c>
      <c r="B285" s="7" t="s">
        <v>139</v>
      </c>
      <c r="C285" s="7" t="s">
        <v>140</v>
      </c>
      <c r="D285" s="7" t="s">
        <v>10</v>
      </c>
      <c r="E285" s="7" t="s">
        <v>146</v>
      </c>
      <c r="F285" s="7"/>
      <c r="G285" s="7" t="s">
        <v>147</v>
      </c>
      <c r="H285" s="7">
        <v>14</v>
      </c>
      <c r="I285" s="7" t="s">
        <v>148</v>
      </c>
      <c r="J285" s="7" t="s">
        <v>149</v>
      </c>
    </row>
    <row r="286" spans="1:10" x14ac:dyDescent="0.3">
      <c r="A286" s="6" t="s">
        <v>376</v>
      </c>
      <c r="B286" s="7" t="s">
        <v>139</v>
      </c>
      <c r="C286" s="7" t="s">
        <v>140</v>
      </c>
      <c r="D286" s="7" t="s">
        <v>10</v>
      </c>
      <c r="E286" s="7" t="s">
        <v>377</v>
      </c>
      <c r="F286" s="7" t="s">
        <v>378</v>
      </c>
      <c r="G286" s="7" t="s">
        <v>379</v>
      </c>
      <c r="H286" s="7">
        <v>8</v>
      </c>
      <c r="I286" s="7" t="s">
        <v>380</v>
      </c>
      <c r="J286" s="7" t="s">
        <v>381</v>
      </c>
    </row>
    <row r="287" spans="1:10" x14ac:dyDescent="0.3">
      <c r="A287" s="6" t="s">
        <v>458</v>
      </c>
      <c r="B287" s="7" t="s">
        <v>139</v>
      </c>
      <c r="C287" s="7" t="s">
        <v>140</v>
      </c>
      <c r="D287" s="7" t="s">
        <v>10</v>
      </c>
      <c r="E287" s="7" t="s">
        <v>459</v>
      </c>
      <c r="F287" s="7" t="s">
        <v>460</v>
      </c>
      <c r="G287" s="7" t="s">
        <v>461</v>
      </c>
      <c r="H287" s="7">
        <v>5</v>
      </c>
      <c r="I287" s="7" t="s">
        <v>462</v>
      </c>
      <c r="J287" s="7" t="s">
        <v>310</v>
      </c>
    </row>
    <row r="288" spans="1:10" x14ac:dyDescent="0.3">
      <c r="A288" s="6" t="s">
        <v>292</v>
      </c>
      <c r="B288" s="7" t="s">
        <v>139</v>
      </c>
      <c r="C288" s="7" t="s">
        <v>140</v>
      </c>
      <c r="D288" s="7" t="s">
        <v>10</v>
      </c>
      <c r="E288" s="7" t="s">
        <v>293</v>
      </c>
      <c r="F288" s="7" t="s">
        <v>294</v>
      </c>
      <c r="G288" s="7" t="s">
        <v>295</v>
      </c>
      <c r="H288" s="7">
        <v>7</v>
      </c>
      <c r="I288" s="7" t="s">
        <v>296</v>
      </c>
      <c r="J288" s="7" t="s">
        <v>297</v>
      </c>
    </row>
    <row r="289" spans="1:10" x14ac:dyDescent="0.3">
      <c r="A289" s="6" t="s">
        <v>287</v>
      </c>
      <c r="B289" s="7" t="s">
        <v>139</v>
      </c>
      <c r="C289" s="7" t="s">
        <v>140</v>
      </c>
      <c r="D289" s="7" t="s">
        <v>10</v>
      </c>
      <c r="E289" s="7" t="s">
        <v>78</v>
      </c>
      <c r="F289" s="7" t="s">
        <v>288</v>
      </c>
      <c r="G289" s="7" t="s">
        <v>77</v>
      </c>
      <c r="H289" s="7">
        <v>4</v>
      </c>
      <c r="I289" s="7" t="s">
        <v>75</v>
      </c>
      <c r="J289" s="7" t="s">
        <v>243</v>
      </c>
    </row>
    <row r="290" spans="1:10" x14ac:dyDescent="0.3">
      <c r="A290" s="6" t="s">
        <v>2703</v>
      </c>
      <c r="B290" s="7" t="s">
        <v>139</v>
      </c>
      <c r="C290" s="7" t="s">
        <v>140</v>
      </c>
      <c r="D290" s="7" t="s">
        <v>10</v>
      </c>
      <c r="E290" s="7" t="s">
        <v>78</v>
      </c>
      <c r="F290" s="7" t="s">
        <v>290</v>
      </c>
      <c r="G290" s="7" t="s">
        <v>77</v>
      </c>
      <c r="H290" s="7">
        <v>100</v>
      </c>
      <c r="I290" s="7" t="s">
        <v>75</v>
      </c>
      <c r="J290" s="7" t="s">
        <v>243</v>
      </c>
    </row>
    <row r="291" spans="1:10" x14ac:dyDescent="0.3">
      <c r="A291" s="6" t="s">
        <v>2704</v>
      </c>
      <c r="B291" s="7" t="s">
        <v>139</v>
      </c>
      <c r="C291" s="7" t="s">
        <v>140</v>
      </c>
      <c r="D291" s="7" t="s">
        <v>10</v>
      </c>
      <c r="E291" s="7" t="s">
        <v>78</v>
      </c>
      <c r="F291" s="7" t="s">
        <v>2705</v>
      </c>
      <c r="G291" s="7" t="s">
        <v>77</v>
      </c>
      <c r="H291" s="7">
        <v>1</v>
      </c>
      <c r="I291" s="7" t="s">
        <v>75</v>
      </c>
      <c r="J291" s="7" t="s">
        <v>243</v>
      </c>
    </row>
    <row r="292" spans="1:10" x14ac:dyDescent="0.3">
      <c r="A292" s="6" t="s">
        <v>289</v>
      </c>
      <c r="B292" s="7" t="s">
        <v>139</v>
      </c>
      <c r="C292" s="7" t="s">
        <v>140</v>
      </c>
      <c r="D292" s="7" t="s">
        <v>10</v>
      </c>
      <c r="E292" s="7" t="s">
        <v>78</v>
      </c>
      <c r="F292" s="7" t="s">
        <v>290</v>
      </c>
      <c r="G292" s="7" t="s">
        <v>291</v>
      </c>
      <c r="H292" s="7">
        <v>8</v>
      </c>
      <c r="I292" s="7" t="s">
        <v>75</v>
      </c>
      <c r="J292" s="7" t="s">
        <v>243</v>
      </c>
    </row>
    <row r="293" spans="1:10" x14ac:dyDescent="0.3">
      <c r="A293" s="6" t="s">
        <v>440</v>
      </c>
      <c r="B293" s="7" t="s">
        <v>139</v>
      </c>
      <c r="C293" s="7" t="s">
        <v>140</v>
      </c>
      <c r="D293" s="7" t="s">
        <v>10</v>
      </c>
      <c r="E293" s="7" t="s">
        <v>441</v>
      </c>
      <c r="F293" s="7" t="s">
        <v>442</v>
      </c>
      <c r="G293" s="7" t="s">
        <v>443</v>
      </c>
      <c r="H293" s="7">
        <v>36</v>
      </c>
      <c r="I293" s="7" t="s">
        <v>444</v>
      </c>
      <c r="J293" s="7" t="s">
        <v>445</v>
      </c>
    </row>
    <row r="294" spans="1:10" x14ac:dyDescent="0.3">
      <c r="A294" s="6" t="s">
        <v>446</v>
      </c>
      <c r="B294" s="7" t="s">
        <v>139</v>
      </c>
      <c r="C294" s="7" t="s">
        <v>140</v>
      </c>
      <c r="D294" s="7" t="s">
        <v>10</v>
      </c>
      <c r="E294" s="7" t="s">
        <v>74</v>
      </c>
      <c r="F294" s="7" t="s">
        <v>447</v>
      </c>
      <c r="G294" s="7" t="s">
        <v>73</v>
      </c>
      <c r="H294" s="7">
        <v>98</v>
      </c>
      <c r="I294" s="7" t="s">
        <v>75</v>
      </c>
      <c r="J294" s="7" t="s">
        <v>448</v>
      </c>
    </row>
    <row r="295" spans="1:10" x14ac:dyDescent="0.3">
      <c r="A295" s="6" t="s">
        <v>2706</v>
      </c>
      <c r="B295" s="7" t="s">
        <v>139</v>
      </c>
      <c r="C295" s="7" t="s">
        <v>140</v>
      </c>
      <c r="D295" s="7" t="s">
        <v>10</v>
      </c>
      <c r="E295" s="7" t="s">
        <v>74</v>
      </c>
      <c r="F295" s="7" t="s">
        <v>2707</v>
      </c>
      <c r="G295" s="7" t="s">
        <v>73</v>
      </c>
      <c r="H295" s="7">
        <v>10</v>
      </c>
      <c r="I295" s="7" t="s">
        <v>75</v>
      </c>
      <c r="J295" s="7" t="s">
        <v>448</v>
      </c>
    </row>
    <row r="296" spans="1:10" x14ac:dyDescent="0.3">
      <c r="A296" s="6" t="s">
        <v>2708</v>
      </c>
      <c r="B296" s="7" t="s">
        <v>139</v>
      </c>
      <c r="C296" s="7" t="s">
        <v>140</v>
      </c>
      <c r="D296" s="7" t="s">
        <v>10</v>
      </c>
      <c r="E296" s="7" t="s">
        <v>74</v>
      </c>
      <c r="F296" s="7" t="s">
        <v>1007</v>
      </c>
      <c r="G296" s="7" t="s">
        <v>73</v>
      </c>
      <c r="H296" s="7">
        <v>7</v>
      </c>
      <c r="I296" s="7" t="s">
        <v>75</v>
      </c>
      <c r="J296" s="7" t="s">
        <v>448</v>
      </c>
    </row>
    <row r="297" spans="1:10" x14ac:dyDescent="0.3">
      <c r="A297" s="6" t="s">
        <v>165</v>
      </c>
      <c r="B297" s="7" t="s">
        <v>139</v>
      </c>
      <c r="C297" s="7" t="s">
        <v>140</v>
      </c>
      <c r="D297" s="7" t="s">
        <v>10</v>
      </c>
      <c r="E297" s="7" t="s">
        <v>166</v>
      </c>
      <c r="F297" s="7"/>
      <c r="G297" s="7" t="s">
        <v>167</v>
      </c>
      <c r="H297" s="7">
        <v>1</v>
      </c>
      <c r="I297" s="7" t="s">
        <v>168</v>
      </c>
      <c r="J297" s="7" t="s">
        <v>169</v>
      </c>
    </row>
    <row r="298" spans="1:10" x14ac:dyDescent="0.3">
      <c r="A298" s="6" t="s">
        <v>346</v>
      </c>
      <c r="B298" s="7" t="s">
        <v>139</v>
      </c>
      <c r="C298" s="7" t="s">
        <v>140</v>
      </c>
      <c r="D298" s="7" t="s">
        <v>10</v>
      </c>
      <c r="E298" s="7" t="s">
        <v>347</v>
      </c>
      <c r="F298" s="7"/>
      <c r="G298" s="7" t="s">
        <v>348</v>
      </c>
      <c r="H298" s="7">
        <v>5</v>
      </c>
      <c r="I298" s="7" t="s">
        <v>349</v>
      </c>
      <c r="J298" s="7" t="s">
        <v>350</v>
      </c>
    </row>
    <row r="299" spans="1:10" x14ac:dyDescent="0.3">
      <c r="A299" s="6" t="s">
        <v>273</v>
      </c>
      <c r="B299" s="7" t="s">
        <v>139</v>
      </c>
      <c r="C299" s="7" t="s">
        <v>140</v>
      </c>
      <c r="D299" s="7" t="s">
        <v>10</v>
      </c>
      <c r="E299" s="7" t="s">
        <v>274</v>
      </c>
      <c r="F299" s="7"/>
      <c r="G299" s="7" t="s">
        <v>275</v>
      </c>
      <c r="H299" s="7">
        <v>3</v>
      </c>
      <c r="I299" s="7" t="s">
        <v>276</v>
      </c>
      <c r="J299" s="7" t="s">
        <v>277</v>
      </c>
    </row>
    <row r="300" spans="1:10" x14ac:dyDescent="0.3">
      <c r="A300" s="6" t="s">
        <v>382</v>
      </c>
      <c r="B300" s="7" t="s">
        <v>139</v>
      </c>
      <c r="C300" s="7" t="s">
        <v>140</v>
      </c>
      <c r="D300" s="7" t="s">
        <v>10</v>
      </c>
      <c r="E300" s="7" t="s">
        <v>377</v>
      </c>
      <c r="F300" s="7" t="s">
        <v>378</v>
      </c>
      <c r="G300" s="7" t="s">
        <v>383</v>
      </c>
      <c r="H300" s="7">
        <v>5</v>
      </c>
      <c r="I300" s="7" t="s">
        <v>384</v>
      </c>
      <c r="J300" s="7" t="s">
        <v>385</v>
      </c>
    </row>
    <row r="301" spans="1:10" x14ac:dyDescent="0.3">
      <c r="A301" s="6" t="s">
        <v>612</v>
      </c>
      <c r="B301" s="7" t="s">
        <v>139</v>
      </c>
      <c r="C301" s="7" t="s">
        <v>140</v>
      </c>
      <c r="D301" s="7" t="s">
        <v>10</v>
      </c>
      <c r="E301" s="7" t="s">
        <v>613</v>
      </c>
      <c r="F301" s="7" t="s">
        <v>614</v>
      </c>
      <c r="G301" s="7" t="s">
        <v>615</v>
      </c>
      <c r="H301" s="7">
        <v>12</v>
      </c>
      <c r="I301" s="7" t="s">
        <v>616</v>
      </c>
      <c r="J301" s="7" t="s">
        <v>617</v>
      </c>
    </row>
    <row r="302" spans="1:10" x14ac:dyDescent="0.3">
      <c r="A302" s="6" t="s">
        <v>558</v>
      </c>
      <c r="B302" s="7" t="s">
        <v>139</v>
      </c>
      <c r="C302" s="7" t="s">
        <v>140</v>
      </c>
      <c r="D302" s="7" t="s">
        <v>10</v>
      </c>
      <c r="E302" s="7" t="s">
        <v>559</v>
      </c>
      <c r="F302" s="7"/>
      <c r="G302" s="7" t="s">
        <v>560</v>
      </c>
      <c r="H302" s="7">
        <v>19</v>
      </c>
      <c r="I302" s="7" t="s">
        <v>434</v>
      </c>
      <c r="J302" s="7" t="s">
        <v>561</v>
      </c>
    </row>
    <row r="303" spans="1:10" x14ac:dyDescent="0.3">
      <c r="A303" s="6" t="s">
        <v>282</v>
      </c>
      <c r="B303" s="7" t="s">
        <v>139</v>
      </c>
      <c r="C303" s="7" t="s">
        <v>140</v>
      </c>
      <c r="D303" s="7" t="s">
        <v>10</v>
      </c>
      <c r="E303" s="7" t="s">
        <v>283</v>
      </c>
      <c r="F303" s="7" t="s">
        <v>284</v>
      </c>
      <c r="G303" s="7" t="s">
        <v>285</v>
      </c>
      <c r="H303" s="7">
        <v>1</v>
      </c>
      <c r="I303" s="7" t="s">
        <v>286</v>
      </c>
      <c r="J303" s="7" t="s">
        <v>174</v>
      </c>
    </row>
    <row r="304" spans="1:10" x14ac:dyDescent="0.3">
      <c r="A304" s="6" t="s">
        <v>333</v>
      </c>
      <c r="B304" s="7" t="s">
        <v>139</v>
      </c>
      <c r="C304" s="7" t="s">
        <v>140</v>
      </c>
      <c r="D304" s="7" t="s">
        <v>10</v>
      </c>
      <c r="E304" s="7" t="s">
        <v>334</v>
      </c>
      <c r="F304" s="7"/>
      <c r="G304" s="7" t="s">
        <v>335</v>
      </c>
      <c r="H304" s="7">
        <v>25</v>
      </c>
      <c r="I304" s="7" t="s">
        <v>336</v>
      </c>
      <c r="J304" s="7" t="s">
        <v>337</v>
      </c>
    </row>
    <row r="305" spans="1:10" x14ac:dyDescent="0.3">
      <c r="A305" s="6" t="s">
        <v>327</v>
      </c>
      <c r="B305" s="7" t="s">
        <v>139</v>
      </c>
      <c r="C305" s="7" t="s">
        <v>140</v>
      </c>
      <c r="D305" s="7" t="s">
        <v>10</v>
      </c>
      <c r="E305" s="7" t="s">
        <v>328</v>
      </c>
      <c r="F305" s="7" t="s">
        <v>329</v>
      </c>
      <c r="G305" s="7" t="s">
        <v>330</v>
      </c>
      <c r="H305" s="7">
        <v>15</v>
      </c>
      <c r="I305" s="7" t="s">
        <v>331</v>
      </c>
      <c r="J305" s="7" t="s">
        <v>332</v>
      </c>
    </row>
    <row r="306" spans="1:10" x14ac:dyDescent="0.3">
      <c r="A306" s="6" t="s">
        <v>248</v>
      </c>
      <c r="B306" s="7" t="s">
        <v>139</v>
      </c>
      <c r="C306" s="7" t="s">
        <v>140</v>
      </c>
      <c r="D306" s="7" t="s">
        <v>10</v>
      </c>
      <c r="E306" s="7" t="s">
        <v>249</v>
      </c>
      <c r="F306" s="7" t="s">
        <v>250</v>
      </c>
      <c r="G306" s="7" t="s">
        <v>251</v>
      </c>
      <c r="H306" s="7">
        <v>14</v>
      </c>
      <c r="I306" s="7" t="s">
        <v>252</v>
      </c>
      <c r="J306" s="7" t="s">
        <v>253</v>
      </c>
    </row>
    <row r="307" spans="1:10" x14ac:dyDescent="0.3">
      <c r="A307" s="6" t="s">
        <v>505</v>
      </c>
      <c r="B307" s="7" t="s">
        <v>139</v>
      </c>
      <c r="C307" s="7" t="s">
        <v>140</v>
      </c>
      <c r="D307" s="7" t="s">
        <v>10</v>
      </c>
      <c r="E307" s="7" t="s">
        <v>506</v>
      </c>
      <c r="F307" s="7" t="s">
        <v>507</v>
      </c>
      <c r="G307" s="7" t="s">
        <v>85</v>
      </c>
      <c r="H307" s="7">
        <v>344</v>
      </c>
      <c r="I307" s="7" t="s">
        <v>87</v>
      </c>
      <c r="J307" s="7" t="s">
        <v>419</v>
      </c>
    </row>
    <row r="308" spans="1:10" x14ac:dyDescent="0.3">
      <c r="A308" s="6" t="s">
        <v>508</v>
      </c>
      <c r="B308" s="7" t="s">
        <v>139</v>
      </c>
      <c r="C308" s="7" t="s">
        <v>140</v>
      </c>
      <c r="D308" s="7" t="s">
        <v>10</v>
      </c>
      <c r="E308" s="7" t="s">
        <v>509</v>
      </c>
      <c r="F308" s="7" t="s">
        <v>510</v>
      </c>
      <c r="G308" s="7" t="s">
        <v>85</v>
      </c>
      <c r="H308" s="7">
        <v>128</v>
      </c>
      <c r="I308" s="7" t="s">
        <v>87</v>
      </c>
      <c r="J308" s="7" t="s">
        <v>419</v>
      </c>
    </row>
    <row r="309" spans="1:10" x14ac:dyDescent="0.3">
      <c r="A309" s="6" t="s">
        <v>2709</v>
      </c>
      <c r="B309" s="7" t="s">
        <v>139</v>
      </c>
      <c r="C309" s="7" t="s">
        <v>140</v>
      </c>
      <c r="D309" s="7" t="s">
        <v>10</v>
      </c>
      <c r="E309" s="7" t="s">
        <v>506</v>
      </c>
      <c r="F309" s="7" t="s">
        <v>507</v>
      </c>
      <c r="G309" s="7" t="s">
        <v>85</v>
      </c>
      <c r="H309" s="7">
        <v>8</v>
      </c>
      <c r="I309" s="7" t="s">
        <v>87</v>
      </c>
      <c r="J309" s="7" t="s">
        <v>419</v>
      </c>
    </row>
    <row r="310" spans="1:10" x14ac:dyDescent="0.3">
      <c r="A310" s="6" t="s">
        <v>511</v>
      </c>
      <c r="B310" s="7" t="s">
        <v>139</v>
      </c>
      <c r="C310" s="7" t="s">
        <v>140</v>
      </c>
      <c r="D310" s="7" t="s">
        <v>10</v>
      </c>
      <c r="E310" s="7" t="s">
        <v>512</v>
      </c>
      <c r="F310" s="7"/>
      <c r="G310" s="7" t="s">
        <v>513</v>
      </c>
      <c r="H310" s="7">
        <v>7</v>
      </c>
      <c r="I310" s="7" t="s">
        <v>418</v>
      </c>
      <c r="J310" s="7" t="s">
        <v>514</v>
      </c>
    </row>
    <row r="311" spans="1:10" x14ac:dyDescent="0.3">
      <c r="A311" s="6" t="s">
        <v>161</v>
      </c>
      <c r="B311" s="7" t="s">
        <v>139</v>
      </c>
      <c r="C311" s="7" t="s">
        <v>140</v>
      </c>
      <c r="D311" s="7" t="s">
        <v>10</v>
      </c>
      <c r="E311" s="7" t="s">
        <v>156</v>
      </c>
      <c r="F311" s="7" t="s">
        <v>157</v>
      </c>
      <c r="G311" s="7" t="s">
        <v>162</v>
      </c>
      <c r="H311" s="7">
        <v>2</v>
      </c>
      <c r="I311" s="7" t="s">
        <v>163</v>
      </c>
      <c r="J311" s="7" t="s">
        <v>164</v>
      </c>
    </row>
    <row r="312" spans="1:10" x14ac:dyDescent="0.3">
      <c r="A312" s="6" t="s">
        <v>590</v>
      </c>
      <c r="B312" s="7" t="s">
        <v>139</v>
      </c>
      <c r="C312" s="7" t="s">
        <v>140</v>
      </c>
      <c r="D312" s="7" t="s">
        <v>10</v>
      </c>
      <c r="E312" s="7" t="s">
        <v>591</v>
      </c>
      <c r="F312" s="7" t="s">
        <v>592</v>
      </c>
      <c r="G312" s="7" t="s">
        <v>593</v>
      </c>
      <c r="H312" s="7">
        <v>3</v>
      </c>
      <c r="I312" s="7" t="s">
        <v>349</v>
      </c>
      <c r="J312" s="7" t="s">
        <v>234</v>
      </c>
    </row>
    <row r="313" spans="1:10" x14ac:dyDescent="0.3">
      <c r="A313" s="6" t="s">
        <v>585</v>
      </c>
      <c r="B313" s="7" t="s">
        <v>139</v>
      </c>
      <c r="C313" s="7" t="s">
        <v>140</v>
      </c>
      <c r="D313" s="7" t="s">
        <v>10</v>
      </c>
      <c r="E313" s="7" t="s">
        <v>586</v>
      </c>
      <c r="F313" s="7"/>
      <c r="G313" s="7" t="s">
        <v>587</v>
      </c>
      <c r="H313" s="7">
        <v>3</v>
      </c>
      <c r="I313" s="7" t="s">
        <v>588</v>
      </c>
      <c r="J313" s="7" t="s">
        <v>589</v>
      </c>
    </row>
    <row r="314" spans="1:10" x14ac:dyDescent="0.3">
      <c r="A314" s="6" t="s">
        <v>538</v>
      </c>
      <c r="B314" s="7" t="s">
        <v>139</v>
      </c>
      <c r="C314" s="7" t="s">
        <v>140</v>
      </c>
      <c r="D314" s="7" t="s">
        <v>10</v>
      </c>
      <c r="E314" s="7" t="s">
        <v>539</v>
      </c>
      <c r="F314" s="7" t="s">
        <v>540</v>
      </c>
      <c r="G314" s="7" t="s">
        <v>541</v>
      </c>
      <c r="H314" s="7">
        <v>15</v>
      </c>
      <c r="I314" s="7" t="s">
        <v>315</v>
      </c>
      <c r="J314" s="7" t="s">
        <v>542</v>
      </c>
    </row>
    <row r="315" spans="1:10" x14ac:dyDescent="0.3">
      <c r="A315" s="6" t="s">
        <v>599</v>
      </c>
      <c r="B315" s="7" t="s">
        <v>139</v>
      </c>
      <c r="C315" s="7" t="s">
        <v>140</v>
      </c>
      <c r="D315" s="7" t="s">
        <v>10</v>
      </c>
      <c r="E315" s="7" t="s">
        <v>600</v>
      </c>
      <c r="F315" s="7"/>
      <c r="G315" s="7" t="s">
        <v>601</v>
      </c>
      <c r="H315" s="7">
        <v>5</v>
      </c>
      <c r="I315" s="7" t="s">
        <v>602</v>
      </c>
      <c r="J315" s="7" t="s">
        <v>603</v>
      </c>
    </row>
    <row r="316" spans="1:10" x14ac:dyDescent="0.3">
      <c r="A316" s="6" t="s">
        <v>473</v>
      </c>
      <c r="B316" s="7" t="s">
        <v>139</v>
      </c>
      <c r="C316" s="7" t="s">
        <v>140</v>
      </c>
      <c r="D316" s="7" t="s">
        <v>10</v>
      </c>
      <c r="E316" s="7" t="s">
        <v>474</v>
      </c>
      <c r="F316" s="7" t="s">
        <v>475</v>
      </c>
      <c r="G316" s="7" t="s">
        <v>476</v>
      </c>
      <c r="H316" s="7">
        <v>50</v>
      </c>
      <c r="I316" s="7" t="s">
        <v>390</v>
      </c>
      <c r="J316" s="7" t="s">
        <v>422</v>
      </c>
    </row>
    <row r="317" spans="1:10" x14ac:dyDescent="0.3">
      <c r="A317" s="6" t="s">
        <v>547</v>
      </c>
      <c r="B317" s="7" t="s">
        <v>139</v>
      </c>
      <c r="C317" s="7" t="s">
        <v>140</v>
      </c>
      <c r="D317" s="7" t="s">
        <v>10</v>
      </c>
      <c r="E317" s="7" t="s">
        <v>548</v>
      </c>
      <c r="F317" s="7" t="s">
        <v>549</v>
      </c>
      <c r="G317" s="7" t="s">
        <v>550</v>
      </c>
      <c r="H317" s="7">
        <v>26</v>
      </c>
      <c r="I317" s="7" t="s">
        <v>551</v>
      </c>
      <c r="J317" s="7" t="s">
        <v>552</v>
      </c>
    </row>
    <row r="318" spans="1:10" x14ac:dyDescent="0.3">
      <c r="A318" s="6" t="s">
        <v>351</v>
      </c>
      <c r="B318" s="7" t="s">
        <v>139</v>
      </c>
      <c r="C318" s="7" t="s">
        <v>140</v>
      </c>
      <c r="D318" s="7" t="s">
        <v>10</v>
      </c>
      <c r="E318" s="7" t="s">
        <v>352</v>
      </c>
      <c r="F318" s="7" t="s">
        <v>353</v>
      </c>
      <c r="G318" s="7" t="s">
        <v>354</v>
      </c>
      <c r="H318" s="7">
        <v>5</v>
      </c>
      <c r="I318" s="7" t="s">
        <v>349</v>
      </c>
      <c r="J318" s="7" t="s">
        <v>355</v>
      </c>
    </row>
    <row r="319" spans="1:10" x14ac:dyDescent="0.3">
      <c r="A319" s="6" t="s">
        <v>226</v>
      </c>
      <c r="B319" s="7" t="s">
        <v>139</v>
      </c>
      <c r="C319" s="7" t="s">
        <v>140</v>
      </c>
      <c r="D319" s="7" t="s">
        <v>10</v>
      </c>
      <c r="E319" s="7" t="s">
        <v>227</v>
      </c>
      <c r="F319" s="7" t="s">
        <v>228</v>
      </c>
      <c r="G319" s="7" t="s">
        <v>229</v>
      </c>
      <c r="H319" s="7">
        <v>10</v>
      </c>
      <c r="I319" s="7" t="s">
        <v>190</v>
      </c>
      <c r="J319" s="7" t="s">
        <v>230</v>
      </c>
    </row>
    <row r="320" spans="1:10" x14ac:dyDescent="0.3">
      <c r="A320" s="6" t="s">
        <v>231</v>
      </c>
      <c r="B320" s="7" t="s">
        <v>139</v>
      </c>
      <c r="C320" s="7" t="s">
        <v>140</v>
      </c>
      <c r="D320" s="7" t="s">
        <v>10</v>
      </c>
      <c r="E320" s="7" t="s">
        <v>227</v>
      </c>
      <c r="F320" s="7" t="s">
        <v>228</v>
      </c>
      <c r="G320" s="7" t="s">
        <v>232</v>
      </c>
      <c r="H320" s="7">
        <v>2</v>
      </c>
      <c r="I320" s="7" t="s">
        <v>233</v>
      </c>
      <c r="J320" s="7" t="s">
        <v>234</v>
      </c>
    </row>
    <row r="321" spans="1:10" x14ac:dyDescent="0.3">
      <c r="A321" s="6" t="s">
        <v>494</v>
      </c>
      <c r="B321" s="7" t="s">
        <v>139</v>
      </c>
      <c r="C321" s="7" t="s">
        <v>140</v>
      </c>
      <c r="D321" s="7" t="s">
        <v>10</v>
      </c>
      <c r="E321" s="7" t="s">
        <v>495</v>
      </c>
      <c r="F321" s="7" t="s">
        <v>496</v>
      </c>
      <c r="G321" s="7" t="s">
        <v>497</v>
      </c>
      <c r="H321" s="7">
        <v>56</v>
      </c>
      <c r="I321" s="7" t="s">
        <v>498</v>
      </c>
      <c r="J321" s="7" t="s">
        <v>499</v>
      </c>
    </row>
    <row r="322" spans="1:10" x14ac:dyDescent="0.3">
      <c r="A322" s="6" t="s">
        <v>175</v>
      </c>
      <c r="B322" s="7" t="s">
        <v>139</v>
      </c>
      <c r="C322" s="7" t="s">
        <v>140</v>
      </c>
      <c r="D322" s="7" t="s">
        <v>10</v>
      </c>
      <c r="E322" s="7" t="s">
        <v>176</v>
      </c>
      <c r="F322" s="7" t="s">
        <v>177</v>
      </c>
      <c r="G322" s="7" t="s">
        <v>178</v>
      </c>
      <c r="H322" s="7">
        <v>4</v>
      </c>
      <c r="I322" s="7" t="s">
        <v>179</v>
      </c>
      <c r="J322" s="7" t="s">
        <v>180</v>
      </c>
    </row>
    <row r="323" spans="1:10" x14ac:dyDescent="0.3">
      <c r="A323" s="6" t="s">
        <v>150</v>
      </c>
      <c r="B323" s="7" t="s">
        <v>139</v>
      </c>
      <c r="C323" s="7" t="s">
        <v>140</v>
      </c>
      <c r="D323" s="7" t="s">
        <v>10</v>
      </c>
      <c r="E323" s="7" t="s">
        <v>151</v>
      </c>
      <c r="F323" s="7"/>
      <c r="G323" s="7" t="s">
        <v>152</v>
      </c>
      <c r="H323" s="7">
        <v>1</v>
      </c>
      <c r="I323" s="7" t="s">
        <v>153</v>
      </c>
      <c r="J323" s="7" t="s">
        <v>154</v>
      </c>
    </row>
    <row r="324" spans="1:10" x14ac:dyDescent="0.3">
      <c r="A324" s="6" t="s">
        <v>186</v>
      </c>
      <c r="B324" s="7" t="s">
        <v>139</v>
      </c>
      <c r="C324" s="7" t="s">
        <v>140</v>
      </c>
      <c r="D324" s="7" t="s">
        <v>10</v>
      </c>
      <c r="E324" s="7" t="s">
        <v>187</v>
      </c>
      <c r="F324" s="7" t="s">
        <v>188</v>
      </c>
      <c r="G324" s="7" t="s">
        <v>189</v>
      </c>
      <c r="H324" s="7">
        <v>6</v>
      </c>
      <c r="I324" s="7" t="s">
        <v>190</v>
      </c>
      <c r="J324" s="7" t="s">
        <v>191</v>
      </c>
    </row>
    <row r="325" spans="1:10" x14ac:dyDescent="0.3">
      <c r="A325" s="6" t="s">
        <v>138</v>
      </c>
      <c r="B325" s="7" t="s">
        <v>139</v>
      </c>
      <c r="C325" s="7" t="s">
        <v>140</v>
      </c>
      <c r="D325" s="7" t="s">
        <v>10</v>
      </c>
      <c r="E325" s="7" t="s">
        <v>141</v>
      </c>
      <c r="F325" s="7"/>
      <c r="G325" s="7" t="s">
        <v>142</v>
      </c>
      <c r="H325" s="7">
        <v>8</v>
      </c>
      <c r="I325" s="7" t="s">
        <v>143</v>
      </c>
      <c r="J325" s="7" t="s">
        <v>144</v>
      </c>
    </row>
    <row r="326" spans="1:10" x14ac:dyDescent="0.3">
      <c r="A326" s="6" t="s">
        <v>192</v>
      </c>
      <c r="B326" s="7" t="s">
        <v>139</v>
      </c>
      <c r="C326" s="7" t="s">
        <v>140</v>
      </c>
      <c r="D326" s="7" t="s">
        <v>10</v>
      </c>
      <c r="E326" s="7" t="s">
        <v>193</v>
      </c>
      <c r="F326" s="7" t="s">
        <v>194</v>
      </c>
      <c r="G326" s="7" t="s">
        <v>195</v>
      </c>
      <c r="H326" s="7">
        <v>4</v>
      </c>
      <c r="I326" s="7" t="s">
        <v>196</v>
      </c>
      <c r="J326" s="7" t="s">
        <v>197</v>
      </c>
    </row>
    <row r="327" spans="1:10" x14ac:dyDescent="0.3">
      <c r="A327" s="6" t="s">
        <v>489</v>
      </c>
      <c r="B327" s="7" t="s">
        <v>139</v>
      </c>
      <c r="C327" s="7" t="s">
        <v>140</v>
      </c>
      <c r="D327" s="7" t="s">
        <v>10</v>
      </c>
      <c r="E327" s="7" t="s">
        <v>490</v>
      </c>
      <c r="F327" s="7" t="s">
        <v>491</v>
      </c>
      <c r="G327" s="7" t="s">
        <v>492</v>
      </c>
      <c r="H327" s="7">
        <v>9</v>
      </c>
      <c r="I327" s="7" t="s">
        <v>196</v>
      </c>
      <c r="J327" s="7" t="s">
        <v>493</v>
      </c>
    </row>
    <row r="328" spans="1:10" x14ac:dyDescent="0.3">
      <c r="A328" s="6" t="s">
        <v>634</v>
      </c>
      <c r="B328" s="7" t="s">
        <v>139</v>
      </c>
      <c r="C328" s="7" t="s">
        <v>140</v>
      </c>
      <c r="D328" s="7" t="s">
        <v>10</v>
      </c>
      <c r="E328" s="7" t="s">
        <v>635</v>
      </c>
      <c r="F328" s="7"/>
      <c r="G328" s="7" t="s">
        <v>636</v>
      </c>
      <c r="H328" s="7">
        <v>5</v>
      </c>
      <c r="I328" s="7" t="s">
        <v>173</v>
      </c>
      <c r="J328" s="7" t="s">
        <v>184</v>
      </c>
    </row>
    <row r="329" spans="1:10" x14ac:dyDescent="0.3">
      <c r="A329" s="6" t="s">
        <v>338</v>
      </c>
      <c r="B329" s="7" t="s">
        <v>139</v>
      </c>
      <c r="C329" s="7" t="s">
        <v>140</v>
      </c>
      <c r="D329" s="7" t="s">
        <v>10</v>
      </c>
      <c r="E329" s="7" t="s">
        <v>334</v>
      </c>
      <c r="F329" s="7"/>
      <c r="G329" s="7" t="s">
        <v>339</v>
      </c>
      <c r="H329" s="7">
        <v>10</v>
      </c>
      <c r="I329" s="7" t="s">
        <v>340</v>
      </c>
      <c r="J329" s="7" t="s">
        <v>341</v>
      </c>
    </row>
    <row r="330" spans="1:10" x14ac:dyDescent="0.3">
      <c r="A330" s="6" t="s">
        <v>342</v>
      </c>
      <c r="B330" s="7" t="s">
        <v>139</v>
      </c>
      <c r="C330" s="7" t="s">
        <v>140</v>
      </c>
      <c r="D330" s="7" t="s">
        <v>10</v>
      </c>
      <c r="E330" s="7" t="s">
        <v>343</v>
      </c>
      <c r="F330" s="7"/>
      <c r="G330" s="7" t="s">
        <v>344</v>
      </c>
      <c r="H330" s="7">
        <v>41</v>
      </c>
      <c r="I330" s="7" t="s">
        <v>345</v>
      </c>
      <c r="J330" s="7" t="s">
        <v>266</v>
      </c>
    </row>
    <row r="331" spans="1:10" x14ac:dyDescent="0.3">
      <c r="A331" s="6" t="s">
        <v>431</v>
      </c>
      <c r="B331" s="7" t="s">
        <v>139</v>
      </c>
      <c r="C331" s="7" t="s">
        <v>140</v>
      </c>
      <c r="D331" s="7" t="s">
        <v>10</v>
      </c>
      <c r="E331" s="7" t="s">
        <v>432</v>
      </c>
      <c r="F331" s="7"/>
      <c r="G331" s="7" t="s">
        <v>433</v>
      </c>
      <c r="H331" s="7">
        <v>10</v>
      </c>
      <c r="I331" s="7" t="s">
        <v>434</v>
      </c>
      <c r="J331" s="7" t="s">
        <v>427</v>
      </c>
    </row>
    <row r="332" spans="1:10" x14ac:dyDescent="0.3">
      <c r="A332" s="6" t="s">
        <v>1716</v>
      </c>
      <c r="B332" s="7" t="s">
        <v>139</v>
      </c>
      <c r="C332" s="7" t="s">
        <v>140</v>
      </c>
      <c r="D332" s="7" t="s">
        <v>10</v>
      </c>
      <c r="E332" s="7" t="s">
        <v>1717</v>
      </c>
      <c r="F332" s="7"/>
      <c r="G332" s="7" t="s">
        <v>1718</v>
      </c>
      <c r="H332" s="7">
        <v>3</v>
      </c>
      <c r="I332" s="7" t="s">
        <v>1722</v>
      </c>
      <c r="J332" s="7" t="s">
        <v>472</v>
      </c>
    </row>
    <row r="333" spans="1:10" x14ac:dyDescent="0.3">
      <c r="A333" s="6" t="s">
        <v>627</v>
      </c>
      <c r="B333" s="7" t="s">
        <v>139</v>
      </c>
      <c r="C333" s="7" t="s">
        <v>140</v>
      </c>
      <c r="D333" s="7" t="s">
        <v>10</v>
      </c>
      <c r="E333" s="7" t="s">
        <v>628</v>
      </c>
      <c r="F333" s="7"/>
      <c r="G333" s="7" t="s">
        <v>629</v>
      </c>
      <c r="H333" s="7">
        <v>21</v>
      </c>
      <c r="I333" s="7" t="s">
        <v>237</v>
      </c>
      <c r="J333" s="7" t="s">
        <v>630</v>
      </c>
    </row>
    <row r="334" spans="1:10" x14ac:dyDescent="0.3">
      <c r="A334" s="6" t="s">
        <v>307</v>
      </c>
      <c r="B334" s="7" t="s">
        <v>139</v>
      </c>
      <c r="C334" s="7" t="s">
        <v>140</v>
      </c>
      <c r="D334" s="7" t="s">
        <v>10</v>
      </c>
      <c r="E334" s="7" t="s">
        <v>308</v>
      </c>
      <c r="F334" s="7"/>
      <c r="G334" s="7" t="s">
        <v>309</v>
      </c>
      <c r="H334" s="7">
        <v>2</v>
      </c>
      <c r="I334" s="7" t="s">
        <v>207</v>
      </c>
      <c r="J334" s="7" t="s">
        <v>310</v>
      </c>
    </row>
    <row r="335" spans="1:10" x14ac:dyDescent="0.3">
      <c r="A335" s="6" t="s">
        <v>553</v>
      </c>
      <c r="B335" s="7" t="s">
        <v>139</v>
      </c>
      <c r="C335" s="7" t="s">
        <v>140</v>
      </c>
      <c r="D335" s="7" t="s">
        <v>10</v>
      </c>
      <c r="E335" s="7" t="s">
        <v>554</v>
      </c>
      <c r="F335" s="7"/>
      <c r="G335" s="7" t="s">
        <v>555</v>
      </c>
      <c r="H335" s="7">
        <v>9</v>
      </c>
      <c r="I335" s="7" t="s">
        <v>556</v>
      </c>
      <c r="J335" s="7" t="s">
        <v>557</v>
      </c>
    </row>
    <row r="336" spans="1:10" x14ac:dyDescent="0.3">
      <c r="A336" s="6" t="s">
        <v>321</v>
      </c>
      <c r="B336" s="7" t="s">
        <v>139</v>
      </c>
      <c r="C336" s="7" t="s">
        <v>140</v>
      </c>
      <c r="D336" s="7" t="s">
        <v>10</v>
      </c>
      <c r="E336" s="7" t="s">
        <v>322</v>
      </c>
      <c r="F336" s="7" t="s">
        <v>323</v>
      </c>
      <c r="G336" s="7" t="s">
        <v>324</v>
      </c>
      <c r="H336" s="7">
        <v>4</v>
      </c>
      <c r="I336" s="7" t="s">
        <v>325</v>
      </c>
      <c r="J336" s="7" t="s">
        <v>326</v>
      </c>
    </row>
    <row r="337" spans="1:10" x14ac:dyDescent="0.3">
      <c r="A337" s="6" t="s">
        <v>204</v>
      </c>
      <c r="B337" s="7" t="s">
        <v>139</v>
      </c>
      <c r="C337" s="7" t="s">
        <v>140</v>
      </c>
      <c r="D337" s="7" t="s">
        <v>10</v>
      </c>
      <c r="E337" s="7" t="s">
        <v>205</v>
      </c>
      <c r="F337" s="7"/>
      <c r="G337" s="7" t="s">
        <v>206</v>
      </c>
      <c r="H337" s="7">
        <v>40</v>
      </c>
      <c r="I337" s="7" t="s">
        <v>207</v>
      </c>
      <c r="J337" s="7" t="s">
        <v>208</v>
      </c>
    </row>
    <row r="338" spans="1:10" x14ac:dyDescent="0.3">
      <c r="A338" s="6" t="s">
        <v>580</v>
      </c>
      <c r="B338" s="7" t="s">
        <v>139</v>
      </c>
      <c r="C338" s="7" t="s">
        <v>140</v>
      </c>
      <c r="D338" s="7" t="s">
        <v>10</v>
      </c>
      <c r="E338" s="7" t="s">
        <v>581</v>
      </c>
      <c r="F338" s="7"/>
      <c r="G338" s="7" t="s">
        <v>582</v>
      </c>
      <c r="H338" s="7">
        <v>3</v>
      </c>
      <c r="I338" s="7" t="s">
        <v>583</v>
      </c>
      <c r="J338" s="7" t="s">
        <v>584</v>
      </c>
    </row>
    <row r="339" spans="1:10" x14ac:dyDescent="0.3">
      <c r="A339" s="6" t="s">
        <v>413</v>
      </c>
      <c r="B339" s="7" t="s">
        <v>139</v>
      </c>
      <c r="C339" s="7" t="s">
        <v>140</v>
      </c>
      <c r="D339" s="7" t="s">
        <v>10</v>
      </c>
      <c r="E339" s="7" t="s">
        <v>408</v>
      </c>
      <c r="F339" s="7" t="s">
        <v>409</v>
      </c>
      <c r="G339" s="7" t="s">
        <v>414</v>
      </c>
      <c r="H339" s="7">
        <v>10</v>
      </c>
      <c r="I339" s="7" t="s">
        <v>415</v>
      </c>
      <c r="J339" s="7" t="s">
        <v>258</v>
      </c>
    </row>
    <row r="340" spans="1:10" x14ac:dyDescent="0.3">
      <c r="A340" s="6" t="s">
        <v>198</v>
      </c>
      <c r="B340" s="7" t="s">
        <v>139</v>
      </c>
      <c r="C340" s="7" t="s">
        <v>140</v>
      </c>
      <c r="D340" s="7" t="s">
        <v>10</v>
      </c>
      <c r="E340" s="7" t="s">
        <v>199</v>
      </c>
      <c r="F340" s="7" t="s">
        <v>200</v>
      </c>
      <c r="G340" s="7" t="s">
        <v>201</v>
      </c>
      <c r="H340" s="7">
        <v>18</v>
      </c>
      <c r="I340" s="7" t="s">
        <v>202</v>
      </c>
      <c r="J340" s="7" t="s">
        <v>203</v>
      </c>
    </row>
    <row r="341" spans="1:10" x14ac:dyDescent="0.3">
      <c r="A341" s="6" t="s">
        <v>259</v>
      </c>
      <c r="B341" s="7" t="s">
        <v>139</v>
      </c>
      <c r="C341" s="7" t="s">
        <v>140</v>
      </c>
      <c r="D341" s="7" t="s">
        <v>10</v>
      </c>
      <c r="E341" s="7" t="s">
        <v>260</v>
      </c>
      <c r="F341" s="7"/>
      <c r="G341" s="7" t="s">
        <v>261</v>
      </c>
      <c r="H341" s="7">
        <v>10</v>
      </c>
      <c r="I341" s="7" t="s">
        <v>184</v>
      </c>
      <c r="J341" s="7" t="s">
        <v>262</v>
      </c>
    </row>
    <row r="342" spans="1:10" x14ac:dyDescent="0.3">
      <c r="A342" s="6" t="s">
        <v>486</v>
      </c>
      <c r="B342" s="7" t="s">
        <v>139</v>
      </c>
      <c r="C342" s="7" t="s">
        <v>140</v>
      </c>
      <c r="D342" s="7" t="s">
        <v>10</v>
      </c>
      <c r="E342" s="7" t="s">
        <v>487</v>
      </c>
      <c r="F342" s="7"/>
      <c r="G342" s="7" t="s">
        <v>488</v>
      </c>
      <c r="H342" s="7">
        <v>5</v>
      </c>
      <c r="I342" s="7" t="s">
        <v>390</v>
      </c>
      <c r="J342" s="7" t="s">
        <v>247</v>
      </c>
    </row>
    <row r="343" spans="1:10" x14ac:dyDescent="0.3">
      <c r="A343" s="6" t="s">
        <v>278</v>
      </c>
      <c r="B343" s="7" t="s">
        <v>139</v>
      </c>
      <c r="C343" s="7" t="s">
        <v>140</v>
      </c>
      <c r="D343" s="7" t="s">
        <v>10</v>
      </c>
      <c r="E343" s="7" t="s">
        <v>279</v>
      </c>
      <c r="F343" s="7" t="s">
        <v>280</v>
      </c>
      <c r="G343" s="7" t="s">
        <v>281</v>
      </c>
      <c r="H343" s="7">
        <v>24</v>
      </c>
      <c r="I343" s="7" t="s">
        <v>75</v>
      </c>
      <c r="J343" s="7" t="s">
        <v>243</v>
      </c>
    </row>
    <row r="344" spans="1:10" x14ac:dyDescent="0.3">
      <c r="A344" s="6" t="s">
        <v>254</v>
      </c>
      <c r="B344" s="7" t="s">
        <v>139</v>
      </c>
      <c r="C344" s="7" t="s">
        <v>140</v>
      </c>
      <c r="D344" s="7" t="s">
        <v>10</v>
      </c>
      <c r="E344" s="7" t="s">
        <v>255</v>
      </c>
      <c r="F344" s="7"/>
      <c r="G344" s="7" t="s">
        <v>256</v>
      </c>
      <c r="H344" s="7">
        <v>4</v>
      </c>
      <c r="I344" s="7" t="s">
        <v>257</v>
      </c>
      <c r="J344" s="7" t="s">
        <v>258</v>
      </c>
    </row>
    <row r="345" spans="1:10" x14ac:dyDescent="0.3">
      <c r="A345" s="6" t="s">
        <v>467</v>
      </c>
      <c r="B345" s="7" t="s">
        <v>139</v>
      </c>
      <c r="C345" s="7" t="s">
        <v>140</v>
      </c>
      <c r="D345" s="7" t="s">
        <v>10</v>
      </c>
      <c r="E345" s="7" t="s">
        <v>468</v>
      </c>
      <c r="F345" s="7"/>
      <c r="G345" s="7" t="s">
        <v>469</v>
      </c>
      <c r="H345" s="7">
        <v>52</v>
      </c>
      <c r="I345" s="7" t="s">
        <v>237</v>
      </c>
      <c r="J345" s="7" t="s">
        <v>203</v>
      </c>
    </row>
    <row r="346" spans="1:10" x14ac:dyDescent="0.3">
      <c r="A346" s="6" t="s">
        <v>470</v>
      </c>
      <c r="B346" s="7" t="s">
        <v>139</v>
      </c>
      <c r="C346" s="7" t="s">
        <v>140</v>
      </c>
      <c r="D346" s="7" t="s">
        <v>10</v>
      </c>
      <c r="E346" s="7" t="s">
        <v>468</v>
      </c>
      <c r="F346" s="7"/>
      <c r="G346" s="7" t="s">
        <v>471</v>
      </c>
      <c r="H346" s="7">
        <v>17</v>
      </c>
      <c r="I346" s="7" t="s">
        <v>173</v>
      </c>
      <c r="J346" s="7" t="s">
        <v>472</v>
      </c>
    </row>
    <row r="347" spans="1:10" x14ac:dyDescent="0.3">
      <c r="A347" s="6" t="s">
        <v>235</v>
      </c>
      <c r="B347" s="7" t="s">
        <v>139</v>
      </c>
      <c r="C347" s="7" t="s">
        <v>140</v>
      </c>
      <c r="D347" s="7" t="s">
        <v>10</v>
      </c>
      <c r="E347" s="7" t="s">
        <v>227</v>
      </c>
      <c r="F347" s="7" t="s">
        <v>228</v>
      </c>
      <c r="G347" s="7" t="s">
        <v>236</v>
      </c>
      <c r="H347" s="7">
        <v>24</v>
      </c>
      <c r="I347" s="7" t="s">
        <v>237</v>
      </c>
      <c r="J347" s="7" t="s">
        <v>203</v>
      </c>
    </row>
    <row r="348" spans="1:10" x14ac:dyDescent="0.3">
      <c r="A348" s="6" t="s">
        <v>618</v>
      </c>
      <c r="B348" s="7" t="s">
        <v>139</v>
      </c>
      <c r="C348" s="7" t="s">
        <v>140</v>
      </c>
      <c r="D348" s="7" t="s">
        <v>10</v>
      </c>
      <c r="E348" s="7" t="s">
        <v>619</v>
      </c>
      <c r="F348" s="7"/>
      <c r="G348" s="7" t="s">
        <v>620</v>
      </c>
      <c r="H348" s="7">
        <v>28</v>
      </c>
      <c r="I348" s="7" t="s">
        <v>411</v>
      </c>
      <c r="J348" s="7" t="s">
        <v>621</v>
      </c>
    </row>
    <row r="349" spans="1:10" x14ac:dyDescent="0.3">
      <c r="A349" s="6" t="s">
        <v>400</v>
      </c>
      <c r="B349" s="7" t="s">
        <v>139</v>
      </c>
      <c r="C349" s="7" t="s">
        <v>140</v>
      </c>
      <c r="D349" s="7" t="s">
        <v>10</v>
      </c>
      <c r="E349" s="7" t="s">
        <v>401</v>
      </c>
      <c r="F349" s="7"/>
      <c r="G349" s="7" t="s">
        <v>402</v>
      </c>
      <c r="H349" s="7">
        <v>11</v>
      </c>
      <c r="I349" s="7" t="s">
        <v>396</v>
      </c>
      <c r="J349" s="7" t="s">
        <v>144</v>
      </c>
    </row>
    <row r="350" spans="1:10" x14ac:dyDescent="0.3">
      <c r="A350" s="6" t="s">
        <v>209</v>
      </c>
      <c r="B350" s="7" t="s">
        <v>139</v>
      </c>
      <c r="C350" s="7" t="s">
        <v>140</v>
      </c>
      <c r="D350" s="7" t="s">
        <v>10</v>
      </c>
      <c r="E350" s="7" t="s">
        <v>205</v>
      </c>
      <c r="F350" s="7"/>
      <c r="G350" s="7" t="s">
        <v>210</v>
      </c>
      <c r="H350" s="7">
        <v>49</v>
      </c>
      <c r="I350" s="7" t="s">
        <v>207</v>
      </c>
      <c r="J350" s="7" t="s">
        <v>211</v>
      </c>
    </row>
    <row r="351" spans="1:10" x14ac:dyDescent="0.3">
      <c r="A351" s="6" t="s">
        <v>530</v>
      </c>
      <c r="B351" s="7" t="s">
        <v>139</v>
      </c>
      <c r="C351" s="7" t="s">
        <v>140</v>
      </c>
      <c r="D351" s="7" t="s">
        <v>10</v>
      </c>
      <c r="E351" s="7" t="s">
        <v>531</v>
      </c>
      <c r="F351" s="7"/>
      <c r="G351" s="7" t="s">
        <v>532</v>
      </c>
      <c r="H351" s="7">
        <v>5</v>
      </c>
      <c r="I351" s="7" t="s">
        <v>207</v>
      </c>
      <c r="J351" s="7" t="s">
        <v>262</v>
      </c>
    </row>
    <row r="352" spans="1:10" x14ac:dyDescent="0.3">
      <c r="A352" s="6" t="s">
        <v>181</v>
      </c>
      <c r="B352" s="7" t="s">
        <v>139</v>
      </c>
      <c r="C352" s="7" t="s">
        <v>140</v>
      </c>
      <c r="D352" s="7" t="s">
        <v>10</v>
      </c>
      <c r="E352" s="7" t="s">
        <v>182</v>
      </c>
      <c r="F352" s="7"/>
      <c r="G352" s="7" t="s">
        <v>183</v>
      </c>
      <c r="H352" s="7">
        <v>3</v>
      </c>
      <c r="I352" s="7" t="s">
        <v>184</v>
      </c>
      <c r="J352" s="7" t="s">
        <v>185</v>
      </c>
    </row>
    <row r="353" spans="1:10" x14ac:dyDescent="0.3">
      <c r="A353" s="6" t="s">
        <v>481</v>
      </c>
      <c r="B353" s="7" t="s">
        <v>139</v>
      </c>
      <c r="C353" s="7" t="s">
        <v>140</v>
      </c>
      <c r="D353" s="7" t="s">
        <v>10</v>
      </c>
      <c r="E353" s="7" t="s">
        <v>482</v>
      </c>
      <c r="F353" s="7"/>
      <c r="G353" s="7" t="s">
        <v>483</v>
      </c>
      <c r="H353" s="7">
        <v>4</v>
      </c>
      <c r="I353" s="7" t="s">
        <v>484</v>
      </c>
      <c r="J353" s="7" t="s">
        <v>485</v>
      </c>
    </row>
    <row r="354" spans="1:10" x14ac:dyDescent="0.3">
      <c r="A354" s="6" t="s">
        <v>267</v>
      </c>
      <c r="B354" s="7" t="s">
        <v>139</v>
      </c>
      <c r="C354" s="7" t="s">
        <v>140</v>
      </c>
      <c r="D354" s="7" t="s">
        <v>10</v>
      </c>
      <c r="E354" s="7" t="s">
        <v>268</v>
      </c>
      <c r="F354" s="7" t="s">
        <v>269</v>
      </c>
      <c r="G354" s="7" t="s">
        <v>270</v>
      </c>
      <c r="H354" s="7">
        <v>10</v>
      </c>
      <c r="I354" s="7" t="s">
        <v>271</v>
      </c>
      <c r="J354" s="7" t="s">
        <v>272</v>
      </c>
    </row>
    <row r="355" spans="1:10" x14ac:dyDescent="0.3">
      <c r="A355" s="6" t="s">
        <v>216</v>
      </c>
      <c r="B355" s="7" t="s">
        <v>139</v>
      </c>
      <c r="C355" s="7" t="s">
        <v>140</v>
      </c>
      <c r="D355" s="7" t="s">
        <v>10</v>
      </c>
      <c r="E355" s="7" t="s">
        <v>217</v>
      </c>
      <c r="F355" s="7" t="s">
        <v>218</v>
      </c>
      <c r="G355" s="7" t="s">
        <v>219</v>
      </c>
      <c r="H355" s="7">
        <v>11</v>
      </c>
      <c r="I355" s="7" t="s">
        <v>220</v>
      </c>
      <c r="J355" s="7" t="s">
        <v>221</v>
      </c>
    </row>
    <row r="356" spans="1:10" x14ac:dyDescent="0.3">
      <c r="A356" s="6" t="s">
        <v>369</v>
      </c>
      <c r="B356" s="7" t="s">
        <v>139</v>
      </c>
      <c r="C356" s="7" t="s">
        <v>140</v>
      </c>
      <c r="D356" s="7" t="s">
        <v>10</v>
      </c>
      <c r="E356" s="7" t="s">
        <v>370</v>
      </c>
      <c r="F356" s="7"/>
      <c r="G356" s="7" t="s">
        <v>371</v>
      </c>
      <c r="H356" s="7">
        <v>3</v>
      </c>
      <c r="I356" s="7" t="s">
        <v>315</v>
      </c>
      <c r="J356" s="7" t="s">
        <v>174</v>
      </c>
    </row>
    <row r="357" spans="1:10" x14ac:dyDescent="0.3">
      <c r="A357" s="6" t="s">
        <v>416</v>
      </c>
      <c r="B357" s="7" t="s">
        <v>139</v>
      </c>
      <c r="C357" s="7" t="s">
        <v>140</v>
      </c>
      <c r="D357" s="7" t="s">
        <v>10</v>
      </c>
      <c r="E357" s="7" t="s">
        <v>408</v>
      </c>
      <c r="F357" s="7" t="s">
        <v>409</v>
      </c>
      <c r="G357" s="7" t="s">
        <v>417</v>
      </c>
      <c r="H357" s="7">
        <v>13</v>
      </c>
      <c r="I357" s="7" t="s">
        <v>418</v>
      </c>
      <c r="J357" s="7" t="s">
        <v>419</v>
      </c>
    </row>
    <row r="358" spans="1:10" x14ac:dyDescent="0.3">
      <c r="A358" s="6" t="s">
        <v>420</v>
      </c>
      <c r="B358" s="7" t="s">
        <v>139</v>
      </c>
      <c r="C358" s="7" t="s">
        <v>140</v>
      </c>
      <c r="D358" s="7" t="s">
        <v>10</v>
      </c>
      <c r="E358" s="7" t="s">
        <v>408</v>
      </c>
      <c r="F358" s="7" t="s">
        <v>409</v>
      </c>
      <c r="G358" s="7" t="s">
        <v>421</v>
      </c>
      <c r="H358" s="7">
        <v>9</v>
      </c>
      <c r="I358" s="7" t="s">
        <v>190</v>
      </c>
      <c r="J358" s="7" t="s">
        <v>422</v>
      </c>
    </row>
    <row r="359" spans="1:10" x14ac:dyDescent="0.3">
      <c r="A359" s="6" t="s">
        <v>386</v>
      </c>
      <c r="B359" s="7" t="s">
        <v>139</v>
      </c>
      <c r="C359" s="7" t="s">
        <v>140</v>
      </c>
      <c r="D359" s="7" t="s">
        <v>10</v>
      </c>
      <c r="E359" s="7" t="s">
        <v>387</v>
      </c>
      <c r="F359" s="7" t="s">
        <v>388</v>
      </c>
      <c r="G359" s="7" t="s">
        <v>389</v>
      </c>
      <c r="H359" s="7">
        <v>2</v>
      </c>
      <c r="I359" s="7" t="s">
        <v>390</v>
      </c>
      <c r="J359" s="7" t="s">
        <v>391</v>
      </c>
    </row>
    <row r="360" spans="1:10" x14ac:dyDescent="0.3">
      <c r="A360" s="6" t="s">
        <v>155</v>
      </c>
      <c r="B360" s="7" t="s">
        <v>139</v>
      </c>
      <c r="C360" s="7" t="s">
        <v>140</v>
      </c>
      <c r="D360" s="7" t="s">
        <v>10</v>
      </c>
      <c r="E360" s="7" t="s">
        <v>156</v>
      </c>
      <c r="F360" s="7" t="s">
        <v>157</v>
      </c>
      <c r="G360" s="7" t="s">
        <v>158</v>
      </c>
      <c r="H360" s="7">
        <v>1</v>
      </c>
      <c r="I360" s="7" t="s">
        <v>159</v>
      </c>
      <c r="J360" s="7" t="s">
        <v>160</v>
      </c>
    </row>
    <row r="361" spans="1:10" x14ac:dyDescent="0.3">
      <c r="A361" s="6" t="s">
        <v>222</v>
      </c>
      <c r="B361" s="7" t="s">
        <v>139</v>
      </c>
      <c r="C361" s="7" t="s">
        <v>140</v>
      </c>
      <c r="D361" s="7" t="s">
        <v>10</v>
      </c>
      <c r="E361" s="7" t="s">
        <v>217</v>
      </c>
      <c r="F361" s="7" t="s">
        <v>218</v>
      </c>
      <c r="G361" s="7" t="s">
        <v>223</v>
      </c>
      <c r="H361" s="7">
        <v>80</v>
      </c>
      <c r="I361" s="7" t="s">
        <v>224</v>
      </c>
      <c r="J361" s="7" t="s">
        <v>225</v>
      </c>
    </row>
    <row r="362" spans="1:10" x14ac:dyDescent="0.3">
      <c r="A362" s="6" t="s">
        <v>502</v>
      </c>
      <c r="B362" s="7" t="s">
        <v>139</v>
      </c>
      <c r="C362" s="7" t="s">
        <v>140</v>
      </c>
      <c r="D362" s="7" t="s">
        <v>10</v>
      </c>
      <c r="E362" s="7" t="s">
        <v>503</v>
      </c>
      <c r="F362" s="7"/>
      <c r="G362" s="7" t="s">
        <v>504</v>
      </c>
      <c r="H362" s="7">
        <v>16</v>
      </c>
      <c r="I362" s="7" t="s">
        <v>179</v>
      </c>
      <c r="J362" s="7" t="s">
        <v>180</v>
      </c>
    </row>
    <row r="363" spans="1:10" x14ac:dyDescent="0.3">
      <c r="A363" s="6" t="s">
        <v>533</v>
      </c>
      <c r="B363" s="7" t="s">
        <v>139</v>
      </c>
      <c r="C363" s="7" t="s">
        <v>140</v>
      </c>
      <c r="D363" s="7" t="s">
        <v>10</v>
      </c>
      <c r="E363" s="7" t="s">
        <v>534</v>
      </c>
      <c r="F363" s="7"/>
      <c r="G363" s="7" t="s">
        <v>535</v>
      </c>
      <c r="H363" s="7">
        <v>3</v>
      </c>
      <c r="I363" s="7" t="s">
        <v>536</v>
      </c>
      <c r="J363" s="7" t="s">
        <v>537</v>
      </c>
    </row>
    <row r="364" spans="1:10" x14ac:dyDescent="0.3">
      <c r="A364" s="6" t="s">
        <v>449</v>
      </c>
      <c r="B364" s="7" t="s">
        <v>139</v>
      </c>
      <c r="C364" s="7" t="s">
        <v>140</v>
      </c>
      <c r="D364" s="7" t="s">
        <v>10</v>
      </c>
      <c r="E364" s="7" t="s">
        <v>74</v>
      </c>
      <c r="F364" s="7" t="s">
        <v>447</v>
      </c>
      <c r="G364" s="7" t="s">
        <v>450</v>
      </c>
      <c r="H364" s="7">
        <v>14</v>
      </c>
      <c r="I364" s="7" t="s">
        <v>451</v>
      </c>
      <c r="J364" s="7" t="s">
        <v>452</v>
      </c>
    </row>
    <row r="365" spans="1:10" x14ac:dyDescent="0.3">
      <c r="A365" s="6" t="s">
        <v>403</v>
      </c>
      <c r="B365" s="7" t="s">
        <v>139</v>
      </c>
      <c r="C365" s="7" t="s">
        <v>140</v>
      </c>
      <c r="D365" s="7" t="s">
        <v>10</v>
      </c>
      <c r="E365" s="7" t="s">
        <v>404</v>
      </c>
      <c r="F365" s="7"/>
      <c r="G365" s="7" t="s">
        <v>405</v>
      </c>
      <c r="H365" s="7">
        <v>4</v>
      </c>
      <c r="I365" s="7" t="s">
        <v>349</v>
      </c>
      <c r="J365" s="7" t="s">
        <v>406</v>
      </c>
    </row>
    <row r="366" spans="1:10" x14ac:dyDescent="0.3">
      <c r="A366" s="6" t="s">
        <v>170</v>
      </c>
      <c r="B366" s="7" t="s">
        <v>139</v>
      </c>
      <c r="C366" s="7" t="s">
        <v>140</v>
      </c>
      <c r="D366" s="7" t="s">
        <v>10</v>
      </c>
      <c r="E366" s="7" t="s">
        <v>171</v>
      </c>
      <c r="F366" s="7"/>
      <c r="G366" s="7" t="s">
        <v>172</v>
      </c>
      <c r="H366" s="7">
        <v>4</v>
      </c>
      <c r="I366" s="7" t="s">
        <v>173</v>
      </c>
      <c r="J366" s="7" t="s">
        <v>174</v>
      </c>
    </row>
    <row r="367" spans="1:10" x14ac:dyDescent="0.3">
      <c r="A367" s="6" t="s">
        <v>463</v>
      </c>
      <c r="B367" s="7" t="s">
        <v>139</v>
      </c>
      <c r="C367" s="7" t="s">
        <v>140</v>
      </c>
      <c r="D367" s="7" t="s">
        <v>10</v>
      </c>
      <c r="E367" s="7" t="s">
        <v>464</v>
      </c>
      <c r="F367" s="7" t="s">
        <v>465</v>
      </c>
      <c r="G367" s="7" t="s">
        <v>466</v>
      </c>
      <c r="H367" s="7">
        <v>2</v>
      </c>
      <c r="I367" s="7" t="s">
        <v>457</v>
      </c>
      <c r="J367" s="7" t="s">
        <v>234</v>
      </c>
    </row>
    <row r="368" spans="1:10" x14ac:dyDescent="0.3">
      <c r="A368" s="6" t="s">
        <v>241</v>
      </c>
      <c r="B368" s="7" t="s">
        <v>139</v>
      </c>
      <c r="C368" s="7" t="s">
        <v>140</v>
      </c>
      <c r="D368" s="7" t="s">
        <v>10</v>
      </c>
      <c r="E368" s="7" t="s">
        <v>117</v>
      </c>
      <c r="F368" s="7" t="s">
        <v>242</v>
      </c>
      <c r="G368" s="7" t="s">
        <v>116</v>
      </c>
      <c r="H368" s="7">
        <v>47</v>
      </c>
      <c r="I368" s="7" t="s">
        <v>75</v>
      </c>
      <c r="J368" s="7" t="s">
        <v>243</v>
      </c>
    </row>
    <row r="369" spans="1:10" x14ac:dyDescent="0.3">
      <c r="A369" s="6" t="s">
        <v>2710</v>
      </c>
      <c r="B369" s="7" t="s">
        <v>139</v>
      </c>
      <c r="C369" s="7" t="s">
        <v>140</v>
      </c>
      <c r="D369" s="7" t="s">
        <v>10</v>
      </c>
      <c r="E369" s="7" t="s">
        <v>117</v>
      </c>
      <c r="F369" s="7" t="s">
        <v>2711</v>
      </c>
      <c r="G369" s="7" t="s">
        <v>116</v>
      </c>
      <c r="H369" s="7">
        <v>2</v>
      </c>
      <c r="I369" s="7" t="s">
        <v>2712</v>
      </c>
      <c r="J369" s="7" t="s">
        <v>243</v>
      </c>
    </row>
    <row r="370" spans="1:10" x14ac:dyDescent="0.3">
      <c r="A370" s="6" t="s">
        <v>515</v>
      </c>
      <c r="B370" s="7" t="s">
        <v>139</v>
      </c>
      <c r="C370" s="7" t="s">
        <v>140</v>
      </c>
      <c r="D370" s="7" t="s">
        <v>10</v>
      </c>
      <c r="E370" s="7" t="s">
        <v>516</v>
      </c>
      <c r="F370" s="7"/>
      <c r="G370" s="7" t="s">
        <v>517</v>
      </c>
      <c r="H370" s="7">
        <v>45</v>
      </c>
      <c r="I370" s="7" t="s">
        <v>518</v>
      </c>
      <c r="J370" s="7" t="s">
        <v>519</v>
      </c>
    </row>
    <row r="371" spans="1:10" x14ac:dyDescent="0.3">
      <c r="A371" s="6" t="s">
        <v>566</v>
      </c>
      <c r="B371" s="7" t="s">
        <v>139</v>
      </c>
      <c r="C371" s="7" t="s">
        <v>140</v>
      </c>
      <c r="D371" s="7" t="s">
        <v>10</v>
      </c>
      <c r="E371" s="7" t="s">
        <v>567</v>
      </c>
      <c r="F371" s="7" t="s">
        <v>568</v>
      </c>
      <c r="G371" s="7" t="s">
        <v>569</v>
      </c>
      <c r="H371" s="7">
        <v>13</v>
      </c>
      <c r="I371" s="7" t="s">
        <v>570</v>
      </c>
      <c r="J371" s="7" t="s">
        <v>247</v>
      </c>
    </row>
    <row r="372" spans="1:10" x14ac:dyDescent="0.3">
      <c r="A372" s="6" t="s">
        <v>571</v>
      </c>
      <c r="B372" s="7" t="s">
        <v>139</v>
      </c>
      <c r="C372" s="7" t="s">
        <v>140</v>
      </c>
      <c r="D372" s="7" t="s">
        <v>10</v>
      </c>
      <c r="E372" s="7" t="s">
        <v>567</v>
      </c>
      <c r="F372" s="7" t="s">
        <v>568</v>
      </c>
      <c r="G372" s="7" t="s">
        <v>572</v>
      </c>
      <c r="H372" s="7">
        <v>12</v>
      </c>
      <c r="I372" s="7" t="s">
        <v>573</v>
      </c>
      <c r="J372" s="7" t="s">
        <v>574</v>
      </c>
    </row>
    <row r="373" spans="1:10" x14ac:dyDescent="0.3">
      <c r="A373" s="6" t="s">
        <v>477</v>
      </c>
      <c r="B373" s="7" t="s">
        <v>139</v>
      </c>
      <c r="C373" s="7" t="s">
        <v>140</v>
      </c>
      <c r="D373" s="7" t="s">
        <v>10</v>
      </c>
      <c r="E373" s="7" t="s">
        <v>474</v>
      </c>
      <c r="F373" s="7" t="s">
        <v>475</v>
      </c>
      <c r="G373" s="7" t="s">
        <v>478</v>
      </c>
      <c r="H373" s="7">
        <v>27</v>
      </c>
      <c r="I373" s="7" t="s">
        <v>479</v>
      </c>
      <c r="J373" s="7" t="s">
        <v>480</v>
      </c>
    </row>
    <row r="374" spans="1:10" x14ac:dyDescent="0.3">
      <c r="A374" s="6" t="s">
        <v>1709</v>
      </c>
      <c r="B374" s="7" t="s">
        <v>139</v>
      </c>
      <c r="C374" s="7" t="s">
        <v>140</v>
      </c>
      <c r="D374" s="7" t="s">
        <v>10</v>
      </c>
      <c r="E374" s="7" t="s">
        <v>474</v>
      </c>
      <c r="F374" s="7" t="s">
        <v>475</v>
      </c>
      <c r="G374" s="7" t="s">
        <v>1710</v>
      </c>
      <c r="H374" s="7">
        <v>33</v>
      </c>
      <c r="I374" s="7" t="s">
        <v>1715</v>
      </c>
      <c r="J374" s="7" t="s">
        <v>144</v>
      </c>
    </row>
    <row r="375" spans="1:10" x14ac:dyDescent="0.3">
      <c r="A375" s="6" t="s">
        <v>364</v>
      </c>
      <c r="B375" s="7" t="s">
        <v>139</v>
      </c>
      <c r="C375" s="7" t="s">
        <v>140</v>
      </c>
      <c r="D375" s="7" t="s">
        <v>10</v>
      </c>
      <c r="E375" s="7" t="s">
        <v>365</v>
      </c>
      <c r="F375" s="7" t="s">
        <v>366</v>
      </c>
      <c r="G375" s="7" t="s">
        <v>367</v>
      </c>
      <c r="H375" s="7">
        <v>3</v>
      </c>
      <c r="I375" s="7" t="s">
        <v>368</v>
      </c>
      <c r="J375" s="7" t="s">
        <v>211</v>
      </c>
    </row>
    <row r="376" spans="1:10" x14ac:dyDescent="0.3">
      <c r="A376" s="6" t="s">
        <v>263</v>
      </c>
      <c r="B376" s="7" t="s">
        <v>139</v>
      </c>
      <c r="C376" s="7" t="s">
        <v>140</v>
      </c>
      <c r="D376" s="7" t="s">
        <v>10</v>
      </c>
      <c r="E376" s="7" t="s">
        <v>260</v>
      </c>
      <c r="F376" s="7"/>
      <c r="G376" s="7" t="s">
        <v>264</v>
      </c>
      <c r="H376" s="7">
        <v>2</v>
      </c>
      <c r="I376" s="7" t="s">
        <v>265</v>
      </c>
      <c r="J376" s="7" t="s">
        <v>266</v>
      </c>
    </row>
    <row r="377" spans="1:10" x14ac:dyDescent="0.3">
      <c r="A377" s="6" t="s">
        <v>500</v>
      </c>
      <c r="B377" s="7" t="s">
        <v>139</v>
      </c>
      <c r="C377" s="7" t="s">
        <v>140</v>
      </c>
      <c r="D377" s="7" t="s">
        <v>10</v>
      </c>
      <c r="E377" s="7" t="s">
        <v>495</v>
      </c>
      <c r="F377" s="7" t="s">
        <v>496</v>
      </c>
      <c r="G377" s="7" t="s">
        <v>501</v>
      </c>
      <c r="H377" s="7">
        <v>8</v>
      </c>
      <c r="I377" s="7" t="s">
        <v>320</v>
      </c>
      <c r="J377" s="7" t="s">
        <v>355</v>
      </c>
    </row>
    <row r="378" spans="1:10" x14ac:dyDescent="0.3">
      <c r="A378" s="6" t="s">
        <v>543</v>
      </c>
      <c r="B378" s="7" t="s">
        <v>139</v>
      </c>
      <c r="C378" s="7" t="s">
        <v>140</v>
      </c>
      <c r="D378" s="7" t="s">
        <v>10</v>
      </c>
      <c r="E378" s="7" t="s">
        <v>544</v>
      </c>
      <c r="F378" s="7"/>
      <c r="G378" s="7" t="s">
        <v>545</v>
      </c>
      <c r="H378" s="7">
        <v>2</v>
      </c>
      <c r="I378" s="7" t="s">
        <v>546</v>
      </c>
      <c r="J378" s="7" t="s">
        <v>337</v>
      </c>
    </row>
    <row r="379" spans="1:10" x14ac:dyDescent="0.3">
      <c r="A379" s="6" t="s">
        <v>423</v>
      </c>
      <c r="B379" s="7" t="s">
        <v>139</v>
      </c>
      <c r="C379" s="7" t="s">
        <v>140</v>
      </c>
      <c r="D379" s="7" t="s">
        <v>10</v>
      </c>
      <c r="E379" s="7" t="s">
        <v>408</v>
      </c>
      <c r="F379" s="7" t="s">
        <v>409</v>
      </c>
      <c r="G379" s="7" t="s">
        <v>424</v>
      </c>
      <c r="H379" s="7">
        <v>34</v>
      </c>
      <c r="I379" s="7" t="s">
        <v>349</v>
      </c>
      <c r="J379" s="7" t="s">
        <v>406</v>
      </c>
    </row>
    <row r="380" spans="1:10" x14ac:dyDescent="0.3">
      <c r="A380" s="6" t="s">
        <v>523</v>
      </c>
      <c r="B380" s="7" t="s">
        <v>139</v>
      </c>
      <c r="C380" s="7" t="s">
        <v>140</v>
      </c>
      <c r="D380" s="7" t="s">
        <v>10</v>
      </c>
      <c r="E380" s="7" t="s">
        <v>524</v>
      </c>
      <c r="F380" s="7"/>
      <c r="G380" s="7" t="s">
        <v>525</v>
      </c>
      <c r="H380" s="7">
        <v>17</v>
      </c>
      <c r="I380" s="7" t="s">
        <v>233</v>
      </c>
      <c r="J380" s="7" t="s">
        <v>247</v>
      </c>
    </row>
    <row r="381" spans="1:10" x14ac:dyDescent="0.3">
      <c r="A381" s="6" t="s">
        <v>520</v>
      </c>
      <c r="B381" s="7" t="s">
        <v>139</v>
      </c>
      <c r="C381" s="7" t="s">
        <v>140</v>
      </c>
      <c r="D381" s="7" t="s">
        <v>10</v>
      </c>
      <c r="E381" s="7" t="s">
        <v>521</v>
      </c>
      <c r="F381" s="7"/>
      <c r="G381" s="7" t="s">
        <v>522</v>
      </c>
      <c r="H381" s="7">
        <v>3</v>
      </c>
      <c r="I381" s="7" t="s">
        <v>196</v>
      </c>
      <c r="J381" s="7" t="s">
        <v>493</v>
      </c>
    </row>
    <row r="382" spans="1:10" x14ac:dyDescent="0.3">
      <c r="A382" s="6" t="s">
        <v>392</v>
      </c>
      <c r="B382" s="7" t="s">
        <v>139</v>
      </c>
      <c r="C382" s="7" t="s">
        <v>140</v>
      </c>
      <c r="D382" s="7" t="s">
        <v>10</v>
      </c>
      <c r="E382" s="7" t="s">
        <v>393</v>
      </c>
      <c r="F382" s="7" t="s">
        <v>394</v>
      </c>
      <c r="G382" s="7" t="s">
        <v>395</v>
      </c>
      <c r="H382" s="7">
        <v>2</v>
      </c>
      <c r="I382" s="7" t="s">
        <v>396</v>
      </c>
      <c r="J382" s="7" t="s">
        <v>234</v>
      </c>
    </row>
    <row r="383" spans="1:10" x14ac:dyDescent="0.3">
      <c r="A383" s="6" t="s">
        <v>356</v>
      </c>
      <c r="B383" s="7" t="s">
        <v>139</v>
      </c>
      <c r="C383" s="7" t="s">
        <v>140</v>
      </c>
      <c r="D383" s="7" t="s">
        <v>10</v>
      </c>
      <c r="E383" s="7" t="s">
        <v>357</v>
      </c>
      <c r="F383" s="7" t="s">
        <v>358</v>
      </c>
      <c r="G383" s="7" t="s">
        <v>359</v>
      </c>
      <c r="H383" s="7">
        <v>8</v>
      </c>
      <c r="I383" s="7" t="s">
        <v>87</v>
      </c>
      <c r="J383" s="7" t="s">
        <v>360</v>
      </c>
    </row>
    <row r="384" spans="1:10" x14ac:dyDescent="0.3">
      <c r="A384" s="6" t="s">
        <v>244</v>
      </c>
      <c r="B384" s="7" t="s">
        <v>139</v>
      </c>
      <c r="C384" s="7" t="s">
        <v>140</v>
      </c>
      <c r="D384" s="7" t="s">
        <v>10</v>
      </c>
      <c r="E384" s="7" t="s">
        <v>117</v>
      </c>
      <c r="F384" s="7" t="s">
        <v>242</v>
      </c>
      <c r="G384" s="7" t="s">
        <v>245</v>
      </c>
      <c r="H384" s="7">
        <v>10</v>
      </c>
      <c r="I384" s="7" t="s">
        <v>246</v>
      </c>
      <c r="J384" s="7" t="s">
        <v>247</v>
      </c>
    </row>
    <row r="385" spans="1:10" x14ac:dyDescent="0.3">
      <c r="A385" s="6" t="s">
        <v>425</v>
      </c>
      <c r="B385" s="7" t="s">
        <v>139</v>
      </c>
      <c r="C385" s="7" t="s">
        <v>140</v>
      </c>
      <c r="D385" s="7" t="s">
        <v>10</v>
      </c>
      <c r="E385" s="7" t="s">
        <v>408</v>
      </c>
      <c r="F385" s="7" t="s">
        <v>409</v>
      </c>
      <c r="G385" s="7" t="s">
        <v>426</v>
      </c>
      <c r="H385" s="7">
        <v>6</v>
      </c>
      <c r="I385" s="7" t="s">
        <v>265</v>
      </c>
      <c r="J385" s="7" t="s">
        <v>427</v>
      </c>
    </row>
    <row r="386" spans="1:10" x14ac:dyDescent="0.3">
      <c r="A386" s="6" t="s">
        <v>594</v>
      </c>
      <c r="B386" s="7" t="s">
        <v>139</v>
      </c>
      <c r="C386" s="7" t="s">
        <v>140</v>
      </c>
      <c r="D386" s="7" t="s">
        <v>10</v>
      </c>
      <c r="E386" s="7" t="s">
        <v>595</v>
      </c>
      <c r="F386" s="7" t="s">
        <v>596</v>
      </c>
      <c r="G386" s="7" t="s">
        <v>597</v>
      </c>
      <c r="H386" s="7">
        <v>5</v>
      </c>
      <c r="I386" s="7" t="s">
        <v>598</v>
      </c>
      <c r="J386" s="7" t="s">
        <v>360</v>
      </c>
    </row>
    <row r="387" spans="1:10" x14ac:dyDescent="0.3">
      <c r="A387" s="6" t="s">
        <v>562</v>
      </c>
      <c r="B387" s="7" t="s">
        <v>139</v>
      </c>
      <c r="C387" s="7" t="s">
        <v>140</v>
      </c>
      <c r="D387" s="7" t="s">
        <v>10</v>
      </c>
      <c r="E387" s="7" t="s">
        <v>563</v>
      </c>
      <c r="F387" s="7" t="s">
        <v>564</v>
      </c>
      <c r="G387" s="7" t="s">
        <v>565</v>
      </c>
      <c r="H387" s="7">
        <v>6</v>
      </c>
      <c r="I387" s="7" t="s">
        <v>315</v>
      </c>
      <c r="J387" s="7" t="s">
        <v>448</v>
      </c>
    </row>
    <row r="388" spans="1:10" x14ac:dyDescent="0.3">
      <c r="A388" s="6" t="s">
        <v>361</v>
      </c>
      <c r="B388" s="7" t="s">
        <v>139</v>
      </c>
      <c r="C388" s="7" t="s">
        <v>140</v>
      </c>
      <c r="D388" s="7" t="s">
        <v>10</v>
      </c>
      <c r="E388" s="7" t="s">
        <v>357</v>
      </c>
      <c r="F388" s="7" t="s">
        <v>358</v>
      </c>
      <c r="G388" s="7" t="s">
        <v>362</v>
      </c>
      <c r="H388" s="7">
        <v>12</v>
      </c>
      <c r="I388" s="7" t="s">
        <v>363</v>
      </c>
      <c r="J388" s="7" t="s">
        <v>174</v>
      </c>
    </row>
    <row r="389" spans="1:10" x14ac:dyDescent="0.3">
      <c r="A389" s="6" t="s">
        <v>428</v>
      </c>
      <c r="B389" s="7" t="s">
        <v>139</v>
      </c>
      <c r="C389" s="7" t="s">
        <v>140</v>
      </c>
      <c r="D389" s="7" t="s">
        <v>10</v>
      </c>
      <c r="E389" s="7" t="s">
        <v>408</v>
      </c>
      <c r="F389" s="7" t="s">
        <v>409</v>
      </c>
      <c r="G389" s="7" t="s">
        <v>429</v>
      </c>
      <c r="H389" s="7">
        <v>11</v>
      </c>
      <c r="I389" s="7" t="s">
        <v>430</v>
      </c>
      <c r="J389" s="7" t="s">
        <v>208</v>
      </c>
    </row>
    <row r="390" spans="1:10" x14ac:dyDescent="0.3">
      <c r="A390" s="6" t="s">
        <v>238</v>
      </c>
      <c r="B390" s="7" t="s">
        <v>139</v>
      </c>
      <c r="C390" s="7" t="s">
        <v>140</v>
      </c>
      <c r="D390" s="7" t="s">
        <v>10</v>
      </c>
      <c r="E390" s="7" t="s">
        <v>227</v>
      </c>
      <c r="F390" s="7" t="s">
        <v>228</v>
      </c>
      <c r="G390" s="7" t="s">
        <v>239</v>
      </c>
      <c r="H390" s="7">
        <v>19</v>
      </c>
      <c r="I390" s="7" t="s">
        <v>153</v>
      </c>
      <c r="J390" s="7" t="s">
        <v>240</v>
      </c>
    </row>
    <row r="391" spans="1:10" x14ac:dyDescent="0.3">
      <c r="A391" s="6" t="s">
        <v>609</v>
      </c>
      <c r="B391" s="7" t="s">
        <v>139</v>
      </c>
      <c r="C391" s="7" t="s">
        <v>140</v>
      </c>
      <c r="D391" s="7" t="s">
        <v>10</v>
      </c>
      <c r="E391" s="7" t="s">
        <v>610</v>
      </c>
      <c r="F391" s="7"/>
      <c r="G391" s="7" t="s">
        <v>611</v>
      </c>
      <c r="H391" s="7">
        <v>1</v>
      </c>
      <c r="I391" s="7" t="s">
        <v>173</v>
      </c>
      <c r="J391" s="7" t="s">
        <v>514</v>
      </c>
    </row>
    <row r="392" spans="1:10" x14ac:dyDescent="0.3">
      <c r="A392" s="6" t="s">
        <v>316</v>
      </c>
      <c r="B392" s="7" t="s">
        <v>139</v>
      </c>
      <c r="C392" s="7" t="s">
        <v>140</v>
      </c>
      <c r="D392" s="7" t="s">
        <v>10</v>
      </c>
      <c r="E392" s="7" t="s">
        <v>317</v>
      </c>
      <c r="F392" s="7" t="s">
        <v>318</v>
      </c>
      <c r="G392" s="7" t="s">
        <v>319</v>
      </c>
      <c r="H392" s="7">
        <v>3</v>
      </c>
      <c r="I392" s="7" t="s">
        <v>320</v>
      </c>
      <c r="J392" s="7" t="s">
        <v>247</v>
      </c>
    </row>
    <row r="393" spans="1:10" x14ac:dyDescent="0.3">
      <c r="A393" s="6" t="s">
        <v>1766</v>
      </c>
      <c r="B393" s="7" t="s">
        <v>139</v>
      </c>
      <c r="C393" s="7" t="s">
        <v>1767</v>
      </c>
      <c r="D393" s="7" t="s">
        <v>14</v>
      </c>
      <c r="E393" s="7" t="s">
        <v>576</v>
      </c>
      <c r="F393" s="7" t="s">
        <v>577</v>
      </c>
      <c r="G393" s="7" t="s">
        <v>1768</v>
      </c>
      <c r="H393" s="7"/>
      <c r="I393" s="7" t="s">
        <v>1773</v>
      </c>
      <c r="J393" s="7"/>
    </row>
    <row r="394" spans="1:10" x14ac:dyDescent="0.3">
      <c r="A394" s="6" t="s">
        <v>2436</v>
      </c>
      <c r="B394" s="7" t="s">
        <v>139</v>
      </c>
      <c r="C394" s="7" t="s">
        <v>643</v>
      </c>
      <c r="D394" s="7" t="s">
        <v>30</v>
      </c>
      <c r="E394" s="7" t="s">
        <v>2437</v>
      </c>
      <c r="F394" s="7" t="s">
        <v>577</v>
      </c>
      <c r="G394" s="7" t="s">
        <v>2438</v>
      </c>
      <c r="H394" s="7">
        <v>21</v>
      </c>
      <c r="I394" s="7" t="s">
        <v>315</v>
      </c>
      <c r="J394" s="7" t="s">
        <v>174</v>
      </c>
    </row>
    <row r="395" spans="1:10" x14ac:dyDescent="0.3">
      <c r="A395" s="6" t="s">
        <v>2357</v>
      </c>
      <c r="B395" s="7" t="s">
        <v>139</v>
      </c>
      <c r="C395" s="7" t="s">
        <v>643</v>
      </c>
      <c r="D395" s="7" t="s">
        <v>27</v>
      </c>
      <c r="E395" s="7" t="s">
        <v>2358</v>
      </c>
      <c r="F395" s="7" t="s">
        <v>2359</v>
      </c>
      <c r="G395" s="7" t="s">
        <v>2360</v>
      </c>
      <c r="H395" s="7"/>
      <c r="I395" s="7" t="s">
        <v>2363</v>
      </c>
      <c r="J395" s="7" t="s">
        <v>174</v>
      </c>
    </row>
    <row r="396" spans="1:10" x14ac:dyDescent="0.3">
      <c r="A396" s="6" t="s">
        <v>1369</v>
      </c>
      <c r="B396" s="7" t="s">
        <v>139</v>
      </c>
      <c r="C396" s="7" t="s">
        <v>643</v>
      </c>
      <c r="D396" s="7" t="s">
        <v>27</v>
      </c>
      <c r="E396" s="7" t="s">
        <v>1370</v>
      </c>
      <c r="F396" s="7" t="s">
        <v>394</v>
      </c>
      <c r="G396" s="7" t="s">
        <v>1371</v>
      </c>
      <c r="H396" s="7"/>
      <c r="I396" s="7" t="s">
        <v>1372</v>
      </c>
      <c r="J396" s="7" t="s">
        <v>1373</v>
      </c>
    </row>
    <row r="397" spans="1:10" x14ac:dyDescent="0.3">
      <c r="A397" s="6" t="s">
        <v>712</v>
      </c>
      <c r="B397" s="7" t="s">
        <v>139</v>
      </c>
      <c r="C397" s="7" t="s">
        <v>643</v>
      </c>
      <c r="D397" s="7" t="s">
        <v>12</v>
      </c>
      <c r="E397" s="7" t="s">
        <v>713</v>
      </c>
      <c r="F397" s="7" t="s">
        <v>714</v>
      </c>
      <c r="G397" s="7" t="s">
        <v>715</v>
      </c>
      <c r="H397" s="7">
        <v>0</v>
      </c>
      <c r="I397" s="7" t="s">
        <v>349</v>
      </c>
      <c r="J397" s="7" t="s">
        <v>234</v>
      </c>
    </row>
    <row r="398" spans="1:10" x14ac:dyDescent="0.3">
      <c r="A398" s="6" t="s">
        <v>1740</v>
      </c>
      <c r="B398" s="7" t="s">
        <v>139</v>
      </c>
      <c r="C398" s="7" t="s">
        <v>643</v>
      </c>
      <c r="D398" s="7" t="s">
        <v>12</v>
      </c>
      <c r="E398" s="7" t="s">
        <v>713</v>
      </c>
      <c r="F398" s="7" t="s">
        <v>714</v>
      </c>
      <c r="G398" s="7" t="s">
        <v>1741</v>
      </c>
      <c r="H398" s="7">
        <v>3</v>
      </c>
      <c r="I398" s="7" t="s">
        <v>1035</v>
      </c>
      <c r="J398" s="7" t="s">
        <v>1470</v>
      </c>
    </row>
    <row r="399" spans="1:10" x14ac:dyDescent="0.3">
      <c r="A399" s="6" t="s">
        <v>1590</v>
      </c>
      <c r="B399" s="7" t="s">
        <v>139</v>
      </c>
      <c r="C399" s="7" t="s">
        <v>643</v>
      </c>
      <c r="D399" s="7" t="s">
        <v>32</v>
      </c>
      <c r="E399" s="7" t="s">
        <v>1591</v>
      </c>
      <c r="F399" s="7" t="s">
        <v>1592</v>
      </c>
      <c r="G399" s="7" t="s">
        <v>1593</v>
      </c>
      <c r="H399" s="7">
        <v>20</v>
      </c>
      <c r="I399" s="7" t="s">
        <v>247</v>
      </c>
      <c r="J399" s="7" t="s">
        <v>262</v>
      </c>
    </row>
    <row r="400" spans="1:10" x14ac:dyDescent="0.3">
      <c r="A400" s="6" t="s">
        <v>2516</v>
      </c>
      <c r="B400" s="7" t="s">
        <v>139</v>
      </c>
      <c r="C400" s="7" t="s">
        <v>643</v>
      </c>
      <c r="D400" s="7" t="s">
        <v>32</v>
      </c>
      <c r="E400" s="7" t="s">
        <v>2517</v>
      </c>
      <c r="F400" s="7" t="s">
        <v>2518</v>
      </c>
      <c r="G400" s="7" t="s">
        <v>2519</v>
      </c>
      <c r="H400" s="7">
        <v>14</v>
      </c>
      <c r="I400" s="7" t="s">
        <v>427</v>
      </c>
      <c r="J400" s="7" t="s">
        <v>262</v>
      </c>
    </row>
    <row r="401" spans="1:10" x14ac:dyDescent="0.3">
      <c r="A401" s="6" t="s">
        <v>1582</v>
      </c>
      <c r="B401" s="7" t="s">
        <v>139</v>
      </c>
      <c r="C401" s="7" t="s">
        <v>643</v>
      </c>
      <c r="D401" s="7" t="s">
        <v>32</v>
      </c>
      <c r="E401" s="7" t="s">
        <v>1583</v>
      </c>
      <c r="F401" s="7" t="s">
        <v>1584</v>
      </c>
      <c r="G401" s="7" t="s">
        <v>1585</v>
      </c>
      <c r="H401" s="7">
        <v>17</v>
      </c>
      <c r="I401" s="7" t="s">
        <v>457</v>
      </c>
      <c r="J401" s="7" t="s">
        <v>1586</v>
      </c>
    </row>
    <row r="402" spans="1:10" x14ac:dyDescent="0.3">
      <c r="A402" s="6" t="s">
        <v>1658</v>
      </c>
      <c r="B402" s="7" t="s">
        <v>139</v>
      </c>
      <c r="C402" s="7" t="s">
        <v>643</v>
      </c>
      <c r="D402" s="7" t="s">
        <v>32</v>
      </c>
      <c r="E402" s="7" t="s">
        <v>1659</v>
      </c>
      <c r="F402" s="7" t="s">
        <v>1660</v>
      </c>
      <c r="G402" s="7" t="s">
        <v>1661</v>
      </c>
      <c r="H402" s="7">
        <v>20</v>
      </c>
      <c r="I402" s="7" t="s">
        <v>1363</v>
      </c>
      <c r="J402" s="7" t="s">
        <v>617</v>
      </c>
    </row>
    <row r="403" spans="1:10" x14ac:dyDescent="0.3">
      <c r="A403" s="6" t="s">
        <v>2527</v>
      </c>
      <c r="B403" s="7" t="s">
        <v>139</v>
      </c>
      <c r="C403" s="7" t="s">
        <v>643</v>
      </c>
      <c r="D403" s="7" t="s">
        <v>32</v>
      </c>
      <c r="E403" s="7" t="s">
        <v>1659</v>
      </c>
      <c r="F403" s="7" t="s">
        <v>1660</v>
      </c>
      <c r="G403" s="7" t="s">
        <v>2528</v>
      </c>
      <c r="H403" s="7">
        <v>3</v>
      </c>
      <c r="I403" s="7" t="s">
        <v>1083</v>
      </c>
      <c r="J403" s="7" t="s">
        <v>262</v>
      </c>
    </row>
    <row r="404" spans="1:10" x14ac:dyDescent="0.3">
      <c r="A404" s="6" t="s">
        <v>2538</v>
      </c>
      <c r="B404" s="7" t="s">
        <v>139</v>
      </c>
      <c r="C404" s="7" t="s">
        <v>643</v>
      </c>
      <c r="D404" s="7" t="s">
        <v>34</v>
      </c>
      <c r="E404" s="7" t="s">
        <v>2539</v>
      </c>
      <c r="F404" s="7" t="s">
        <v>2540</v>
      </c>
      <c r="G404" s="7" t="s">
        <v>2541</v>
      </c>
      <c r="H404" s="7">
        <v>1</v>
      </c>
      <c r="I404" s="7" t="s">
        <v>1715</v>
      </c>
      <c r="J404" s="7" t="s">
        <v>519</v>
      </c>
    </row>
    <row r="405" spans="1:10" x14ac:dyDescent="0.3">
      <c r="A405" s="6" t="s">
        <v>2547</v>
      </c>
      <c r="B405" s="7" t="s">
        <v>139</v>
      </c>
      <c r="C405" s="7" t="s">
        <v>643</v>
      </c>
      <c r="D405" s="7" t="s">
        <v>34</v>
      </c>
      <c r="E405" s="7" t="s">
        <v>2548</v>
      </c>
      <c r="F405" s="7" t="s">
        <v>2549</v>
      </c>
      <c r="G405" s="7" t="s">
        <v>2550</v>
      </c>
      <c r="H405" s="7">
        <v>18</v>
      </c>
      <c r="I405" s="7" t="s">
        <v>2553</v>
      </c>
      <c r="J405" s="7" t="s">
        <v>678</v>
      </c>
    </row>
    <row r="406" spans="1:10" x14ac:dyDescent="0.3">
      <c r="A406" s="6" t="s">
        <v>1491</v>
      </c>
      <c r="B406" s="7" t="s">
        <v>139</v>
      </c>
      <c r="C406" s="7" t="s">
        <v>643</v>
      </c>
      <c r="D406" s="7" t="s">
        <v>30</v>
      </c>
      <c r="E406" s="7" t="s">
        <v>1492</v>
      </c>
      <c r="F406" s="7" t="s">
        <v>1493</v>
      </c>
      <c r="G406" s="7" t="s">
        <v>1494</v>
      </c>
      <c r="H406" s="7">
        <v>6</v>
      </c>
      <c r="I406" s="7" t="s">
        <v>1495</v>
      </c>
      <c r="J406" s="7" t="s">
        <v>514</v>
      </c>
    </row>
    <row r="407" spans="1:10" x14ac:dyDescent="0.3">
      <c r="A407" s="6" t="s">
        <v>1464</v>
      </c>
      <c r="B407" s="7" t="s">
        <v>139</v>
      </c>
      <c r="C407" s="7" t="s">
        <v>643</v>
      </c>
      <c r="D407" s="7" t="s">
        <v>30</v>
      </c>
      <c r="E407" s="7" t="s">
        <v>1465</v>
      </c>
      <c r="F407" s="7" t="s">
        <v>1466</v>
      </c>
      <c r="G407" s="7" t="s">
        <v>1467</v>
      </c>
      <c r="H407" s="7">
        <v>2</v>
      </c>
      <c r="I407" s="7" t="s">
        <v>411</v>
      </c>
      <c r="J407" s="7" t="s">
        <v>144</v>
      </c>
    </row>
    <row r="408" spans="1:10" x14ac:dyDescent="0.3">
      <c r="A408" s="6" t="s">
        <v>1441</v>
      </c>
      <c r="B408" s="7" t="s">
        <v>139</v>
      </c>
      <c r="C408" s="7" t="s">
        <v>643</v>
      </c>
      <c r="D408" s="7" t="s">
        <v>30</v>
      </c>
      <c r="E408" s="7" t="s">
        <v>1442</v>
      </c>
      <c r="F408" s="7" t="s">
        <v>1443</v>
      </c>
      <c r="G408" s="7" t="s">
        <v>1444</v>
      </c>
      <c r="H408" s="7">
        <v>2</v>
      </c>
      <c r="I408" s="7" t="s">
        <v>411</v>
      </c>
      <c r="J408" s="7" t="s">
        <v>737</v>
      </c>
    </row>
    <row r="409" spans="1:10" x14ac:dyDescent="0.3">
      <c r="A409" s="6" t="s">
        <v>1774</v>
      </c>
      <c r="B409" s="7" t="s">
        <v>139</v>
      </c>
      <c r="C409" s="7" t="s">
        <v>1767</v>
      </c>
      <c r="D409" s="7" t="s">
        <v>14</v>
      </c>
      <c r="E409" s="7" t="s">
        <v>1141</v>
      </c>
      <c r="F409" s="7" t="s">
        <v>1142</v>
      </c>
      <c r="G409" s="7" t="s">
        <v>1775</v>
      </c>
      <c r="H409" s="7"/>
      <c r="I409" s="7" t="s">
        <v>1777</v>
      </c>
      <c r="J409" s="7" t="s">
        <v>1778</v>
      </c>
    </row>
    <row r="410" spans="1:10" x14ac:dyDescent="0.3">
      <c r="A410" s="6" t="s">
        <v>2329</v>
      </c>
      <c r="B410" s="7" t="s">
        <v>139</v>
      </c>
      <c r="C410" s="7" t="s">
        <v>643</v>
      </c>
      <c r="D410" s="7" t="s">
        <v>26</v>
      </c>
      <c r="E410" s="7" t="s">
        <v>576</v>
      </c>
      <c r="F410" s="7" t="s">
        <v>577</v>
      </c>
      <c r="G410" s="7" t="s">
        <v>2330</v>
      </c>
      <c r="H410" s="7"/>
      <c r="I410" s="7" t="s">
        <v>2333</v>
      </c>
      <c r="J410" s="7" t="s">
        <v>2334</v>
      </c>
    </row>
    <row r="411" spans="1:10" x14ac:dyDescent="0.3">
      <c r="A411" s="6" t="s">
        <v>709</v>
      </c>
      <c r="B411" s="7" t="s">
        <v>139</v>
      </c>
      <c r="C411" s="7" t="s">
        <v>643</v>
      </c>
      <c r="D411" s="7" t="s">
        <v>12</v>
      </c>
      <c r="E411" s="7" t="s">
        <v>710</v>
      </c>
      <c r="F411" s="7" t="s">
        <v>711</v>
      </c>
      <c r="G411" s="7" t="s">
        <v>120</v>
      </c>
      <c r="H411" s="7">
        <v>32</v>
      </c>
      <c r="I411" s="7" t="s">
        <v>123</v>
      </c>
      <c r="J411" s="7" t="s">
        <v>419</v>
      </c>
    </row>
    <row r="412" spans="1:10" x14ac:dyDescent="0.3">
      <c r="A412" s="6" t="s">
        <v>1515</v>
      </c>
      <c r="B412" s="7" t="s">
        <v>139</v>
      </c>
      <c r="C412" s="7" t="s">
        <v>643</v>
      </c>
      <c r="D412" s="7" t="s">
        <v>30</v>
      </c>
      <c r="E412" s="7" t="s">
        <v>1516</v>
      </c>
      <c r="F412" s="7" t="s">
        <v>711</v>
      </c>
      <c r="G412" s="7" t="s">
        <v>120</v>
      </c>
      <c r="H412" s="7">
        <v>36</v>
      </c>
      <c r="I412" s="7" t="s">
        <v>123</v>
      </c>
      <c r="J412" s="7" t="s">
        <v>419</v>
      </c>
    </row>
    <row r="413" spans="1:10" x14ac:dyDescent="0.3">
      <c r="A413" s="6" t="s">
        <v>2391</v>
      </c>
      <c r="B413" s="7" t="s">
        <v>139</v>
      </c>
      <c r="C413" s="7" t="s">
        <v>643</v>
      </c>
      <c r="D413" s="7" t="s">
        <v>29</v>
      </c>
      <c r="E413" s="7" t="s">
        <v>2392</v>
      </c>
      <c r="F413" s="7" t="s">
        <v>2393</v>
      </c>
      <c r="G413" s="7" t="s">
        <v>2394</v>
      </c>
      <c r="H413" s="7"/>
      <c r="I413" s="7" t="s">
        <v>2397</v>
      </c>
      <c r="J413" s="7" t="s">
        <v>277</v>
      </c>
    </row>
    <row r="414" spans="1:10" x14ac:dyDescent="0.3">
      <c r="A414" s="6" t="s">
        <v>1385</v>
      </c>
      <c r="B414" s="7" t="s">
        <v>139</v>
      </c>
      <c r="C414" s="7" t="s">
        <v>643</v>
      </c>
      <c r="D414" s="7" t="s">
        <v>27</v>
      </c>
      <c r="E414" s="7" t="s">
        <v>1386</v>
      </c>
      <c r="F414" s="7" t="s">
        <v>1387</v>
      </c>
      <c r="G414" s="7" t="s">
        <v>1388</v>
      </c>
      <c r="H414" s="7"/>
      <c r="I414" s="7" t="s">
        <v>1389</v>
      </c>
      <c r="J414" s="7" t="s">
        <v>144</v>
      </c>
    </row>
    <row r="415" spans="1:10" x14ac:dyDescent="0.3">
      <c r="A415" s="6" t="s">
        <v>1532</v>
      </c>
      <c r="B415" s="7" t="s">
        <v>139</v>
      </c>
      <c r="C415" s="7" t="s">
        <v>643</v>
      </c>
      <c r="D415" s="7" t="s">
        <v>30</v>
      </c>
      <c r="E415" s="7" t="s">
        <v>1533</v>
      </c>
      <c r="F415" s="7" t="s">
        <v>1534</v>
      </c>
      <c r="G415" s="7" t="s">
        <v>1535</v>
      </c>
      <c r="H415" s="7">
        <v>7</v>
      </c>
      <c r="I415" s="7" t="s">
        <v>955</v>
      </c>
      <c r="J415" s="7" t="s">
        <v>221</v>
      </c>
    </row>
    <row r="416" spans="1:10" x14ac:dyDescent="0.3">
      <c r="A416" s="6" t="s">
        <v>2370</v>
      </c>
      <c r="B416" s="7" t="s">
        <v>139</v>
      </c>
      <c r="C416" s="7" t="s">
        <v>643</v>
      </c>
      <c r="D416" s="7" t="s">
        <v>27</v>
      </c>
      <c r="E416" s="7" t="s">
        <v>2371</v>
      </c>
      <c r="F416" s="7" t="s">
        <v>2372</v>
      </c>
      <c r="G416" s="7" t="s">
        <v>2373</v>
      </c>
      <c r="H416" s="7"/>
      <c r="I416" s="7" t="s">
        <v>345</v>
      </c>
      <c r="J416" s="7" t="s">
        <v>174</v>
      </c>
    </row>
    <row r="417" spans="1:10" x14ac:dyDescent="0.3">
      <c r="A417" s="6" t="s">
        <v>2287</v>
      </c>
      <c r="B417" s="7" t="s">
        <v>139</v>
      </c>
      <c r="C417" s="7" t="s">
        <v>643</v>
      </c>
      <c r="D417" s="7" t="s">
        <v>24</v>
      </c>
      <c r="E417" s="7" t="s">
        <v>576</v>
      </c>
      <c r="F417" s="7" t="s">
        <v>577</v>
      </c>
      <c r="G417" s="7" t="s">
        <v>2288</v>
      </c>
      <c r="H417" s="7"/>
      <c r="I417" s="7" t="s">
        <v>2291</v>
      </c>
      <c r="J417" s="7" t="s">
        <v>617</v>
      </c>
    </row>
    <row r="418" spans="1:10" x14ac:dyDescent="0.3">
      <c r="A418" s="6" t="s">
        <v>762</v>
      </c>
      <c r="B418" s="7" t="s">
        <v>139</v>
      </c>
      <c r="C418" s="7" t="s">
        <v>643</v>
      </c>
      <c r="D418" s="7" t="s">
        <v>12</v>
      </c>
      <c r="E418" s="7" t="s">
        <v>763</v>
      </c>
      <c r="F418" s="7" t="s">
        <v>764</v>
      </c>
      <c r="G418" s="7" t="s">
        <v>765</v>
      </c>
      <c r="H418" s="7">
        <v>13</v>
      </c>
      <c r="I418" s="7" t="s">
        <v>766</v>
      </c>
      <c r="J418" s="7" t="s">
        <v>174</v>
      </c>
    </row>
    <row r="419" spans="1:10" x14ac:dyDescent="0.3">
      <c r="A419" s="6" t="s">
        <v>1353</v>
      </c>
      <c r="B419" s="7" t="s">
        <v>139</v>
      </c>
      <c r="C419" s="7" t="s">
        <v>643</v>
      </c>
      <c r="D419" s="7" t="s">
        <v>27</v>
      </c>
      <c r="E419" s="7" t="s">
        <v>1354</v>
      </c>
      <c r="F419" s="7" t="s">
        <v>1164</v>
      </c>
      <c r="G419" s="7" t="s">
        <v>1355</v>
      </c>
      <c r="H419" s="7"/>
      <c r="I419" s="7" t="s">
        <v>1356</v>
      </c>
      <c r="J419" s="7" t="s">
        <v>174</v>
      </c>
    </row>
    <row r="420" spans="1:10" x14ac:dyDescent="0.3">
      <c r="A420" s="6" t="s">
        <v>1412</v>
      </c>
      <c r="B420" s="7" t="s">
        <v>139</v>
      </c>
      <c r="C420" s="7" t="s">
        <v>643</v>
      </c>
      <c r="D420" s="7" t="s">
        <v>27</v>
      </c>
      <c r="E420" s="7" t="s">
        <v>1413</v>
      </c>
      <c r="F420" s="7" t="s">
        <v>1414</v>
      </c>
      <c r="G420" s="7" t="s">
        <v>1415</v>
      </c>
      <c r="H420" s="7"/>
      <c r="I420" s="7" t="s">
        <v>1416</v>
      </c>
      <c r="J420" s="7" t="s">
        <v>1417</v>
      </c>
    </row>
    <row r="421" spans="1:10" x14ac:dyDescent="0.3">
      <c r="A421" s="6" t="s">
        <v>2384</v>
      </c>
      <c r="B421" s="7" t="s">
        <v>139</v>
      </c>
      <c r="C421" s="7" t="s">
        <v>643</v>
      </c>
      <c r="D421" s="7" t="s">
        <v>27</v>
      </c>
      <c r="E421" s="7" t="s">
        <v>1413</v>
      </c>
      <c r="F421" s="7" t="s">
        <v>1414</v>
      </c>
      <c r="G421" s="7" t="s">
        <v>2385</v>
      </c>
      <c r="H421" s="7"/>
      <c r="I421" s="7" t="s">
        <v>2389</v>
      </c>
      <c r="J421" s="7" t="s">
        <v>2390</v>
      </c>
    </row>
    <row r="422" spans="1:10" x14ac:dyDescent="0.3">
      <c r="A422" s="6" t="s">
        <v>1418</v>
      </c>
      <c r="B422" s="7" t="s">
        <v>139</v>
      </c>
      <c r="C422" s="7" t="s">
        <v>643</v>
      </c>
      <c r="D422" s="7" t="s">
        <v>27</v>
      </c>
      <c r="E422" s="7" t="s">
        <v>1413</v>
      </c>
      <c r="F422" s="7" t="s">
        <v>1414</v>
      </c>
      <c r="G422" s="7" t="s">
        <v>1419</v>
      </c>
      <c r="H422" s="7"/>
      <c r="I422" s="7" t="s">
        <v>788</v>
      </c>
      <c r="J422" s="7" t="s">
        <v>789</v>
      </c>
    </row>
    <row r="423" spans="1:10" x14ac:dyDescent="0.3">
      <c r="A423" s="6" t="s">
        <v>1420</v>
      </c>
      <c r="B423" s="7" t="s">
        <v>139</v>
      </c>
      <c r="C423" s="7" t="s">
        <v>643</v>
      </c>
      <c r="D423" s="7" t="s">
        <v>27</v>
      </c>
      <c r="E423" s="7" t="s">
        <v>1421</v>
      </c>
      <c r="F423" s="7" t="s">
        <v>1142</v>
      </c>
      <c r="G423" s="7" t="s">
        <v>1422</v>
      </c>
      <c r="H423" s="7"/>
      <c r="I423" s="7" t="s">
        <v>1423</v>
      </c>
      <c r="J423" s="7" t="s">
        <v>1424</v>
      </c>
    </row>
    <row r="424" spans="1:10" x14ac:dyDescent="0.3">
      <c r="A424" s="6" t="s">
        <v>1394</v>
      </c>
      <c r="B424" s="7" t="s">
        <v>139</v>
      </c>
      <c r="C424" s="7" t="s">
        <v>643</v>
      </c>
      <c r="D424" s="7" t="s">
        <v>27</v>
      </c>
      <c r="E424" s="7" t="s">
        <v>1395</v>
      </c>
      <c r="F424" s="7" t="s">
        <v>1396</v>
      </c>
      <c r="G424" s="7" t="s">
        <v>1397</v>
      </c>
      <c r="H424" s="7"/>
      <c r="I424" s="7" t="s">
        <v>1398</v>
      </c>
      <c r="J424" s="7" t="s">
        <v>391</v>
      </c>
    </row>
    <row r="425" spans="1:10" x14ac:dyDescent="0.3">
      <c r="A425" s="6" t="s">
        <v>1399</v>
      </c>
      <c r="B425" s="7" t="s">
        <v>139</v>
      </c>
      <c r="C425" s="7" t="s">
        <v>643</v>
      </c>
      <c r="D425" s="7" t="s">
        <v>27</v>
      </c>
      <c r="E425" s="7" t="s">
        <v>1400</v>
      </c>
      <c r="F425" s="7" t="s">
        <v>1401</v>
      </c>
      <c r="G425" s="7" t="s">
        <v>1402</v>
      </c>
      <c r="H425" s="7"/>
      <c r="I425" s="7" t="s">
        <v>678</v>
      </c>
      <c r="J425" s="7" t="s">
        <v>1403</v>
      </c>
    </row>
    <row r="426" spans="1:10" x14ac:dyDescent="0.3">
      <c r="A426" s="6" t="s">
        <v>1365</v>
      </c>
      <c r="B426" s="7" t="s">
        <v>139</v>
      </c>
      <c r="C426" s="7" t="s">
        <v>643</v>
      </c>
      <c r="D426" s="7" t="s">
        <v>27</v>
      </c>
      <c r="E426" s="7" t="s">
        <v>1366</v>
      </c>
      <c r="F426" s="7" t="s">
        <v>1367</v>
      </c>
      <c r="G426" s="7" t="s">
        <v>1368</v>
      </c>
      <c r="H426" s="7"/>
      <c r="I426" s="7" t="s">
        <v>682</v>
      </c>
      <c r="J426" s="7" t="s">
        <v>211</v>
      </c>
    </row>
    <row r="427" spans="1:10" x14ac:dyDescent="0.3">
      <c r="A427" s="6" t="s">
        <v>1347</v>
      </c>
      <c r="B427" s="7" t="s">
        <v>139</v>
      </c>
      <c r="C427" s="7" t="s">
        <v>643</v>
      </c>
      <c r="D427" s="7" t="s">
        <v>27</v>
      </c>
      <c r="E427" s="7" t="s">
        <v>1348</v>
      </c>
      <c r="F427" s="7" t="s">
        <v>1349</v>
      </c>
      <c r="G427" s="7" t="s">
        <v>1350</v>
      </c>
      <c r="H427" s="7"/>
      <c r="I427" s="7" t="s">
        <v>1351</v>
      </c>
      <c r="J427" s="7" t="s">
        <v>1352</v>
      </c>
    </row>
    <row r="428" spans="1:10" x14ac:dyDescent="0.3">
      <c r="A428" s="6" t="s">
        <v>2377</v>
      </c>
      <c r="B428" s="7" t="s">
        <v>139</v>
      </c>
      <c r="C428" s="7" t="s">
        <v>643</v>
      </c>
      <c r="D428" s="7" t="s">
        <v>27</v>
      </c>
      <c r="E428" s="7" t="s">
        <v>2378</v>
      </c>
      <c r="F428" s="7" t="s">
        <v>2379</v>
      </c>
      <c r="G428" s="7" t="s">
        <v>2380</v>
      </c>
      <c r="H428" s="7"/>
      <c r="I428" s="7" t="s">
        <v>196</v>
      </c>
      <c r="J428" s="7" t="s">
        <v>2383</v>
      </c>
    </row>
    <row r="429" spans="1:10" x14ac:dyDescent="0.3">
      <c r="A429" s="6" t="s">
        <v>1404</v>
      </c>
      <c r="B429" s="7" t="s">
        <v>139</v>
      </c>
      <c r="C429" s="7" t="s">
        <v>643</v>
      </c>
      <c r="D429" s="7" t="s">
        <v>27</v>
      </c>
      <c r="E429" s="7" t="s">
        <v>1405</v>
      </c>
      <c r="F429" s="7" t="s">
        <v>577</v>
      </c>
      <c r="G429" s="7" t="s">
        <v>1406</v>
      </c>
      <c r="H429" s="7"/>
      <c r="I429" s="7" t="s">
        <v>148</v>
      </c>
      <c r="J429" s="7" t="s">
        <v>1407</v>
      </c>
    </row>
    <row r="430" spans="1:10" x14ac:dyDescent="0.3">
      <c r="A430" s="6" t="s">
        <v>1702</v>
      </c>
      <c r="B430" s="7" t="s">
        <v>139</v>
      </c>
      <c r="C430" s="7" t="s">
        <v>643</v>
      </c>
      <c r="D430" s="7" t="s">
        <v>8</v>
      </c>
      <c r="E430" s="7" t="s">
        <v>576</v>
      </c>
      <c r="F430" s="7" t="s">
        <v>577</v>
      </c>
      <c r="G430" s="7" t="s">
        <v>1703</v>
      </c>
      <c r="H430" s="7"/>
      <c r="I430" s="7" t="s">
        <v>168</v>
      </c>
      <c r="J430" s="7" t="s">
        <v>1708</v>
      </c>
    </row>
    <row r="431" spans="1:10" x14ac:dyDescent="0.3">
      <c r="A431" s="6" t="s">
        <v>1758</v>
      </c>
      <c r="B431" s="7" t="s">
        <v>139</v>
      </c>
      <c r="C431" s="7" t="s">
        <v>643</v>
      </c>
      <c r="D431" s="7" t="s">
        <v>12</v>
      </c>
      <c r="E431" s="7" t="s">
        <v>1759</v>
      </c>
      <c r="F431" s="7" t="s">
        <v>1760</v>
      </c>
      <c r="G431" s="7" t="s">
        <v>1761</v>
      </c>
      <c r="H431" s="7">
        <v>7</v>
      </c>
      <c r="I431" s="7" t="s">
        <v>1765</v>
      </c>
      <c r="J431" s="7" t="s">
        <v>174</v>
      </c>
    </row>
    <row r="432" spans="1:10" x14ac:dyDescent="0.3">
      <c r="A432" s="6" t="s">
        <v>754</v>
      </c>
      <c r="B432" s="7" t="s">
        <v>139</v>
      </c>
      <c r="C432" s="7" t="s">
        <v>643</v>
      </c>
      <c r="D432" s="7" t="s">
        <v>12</v>
      </c>
      <c r="E432" s="7" t="s">
        <v>755</v>
      </c>
      <c r="F432" s="7" t="s">
        <v>756</v>
      </c>
      <c r="G432" s="7" t="s">
        <v>757</v>
      </c>
      <c r="H432" s="7">
        <v>7</v>
      </c>
      <c r="I432" s="7" t="s">
        <v>202</v>
      </c>
      <c r="J432" s="7" t="s">
        <v>169</v>
      </c>
    </row>
    <row r="433" spans="1:10" x14ac:dyDescent="0.3">
      <c r="A433" s="6" t="s">
        <v>716</v>
      </c>
      <c r="B433" s="7" t="s">
        <v>139</v>
      </c>
      <c r="C433" s="7" t="s">
        <v>643</v>
      </c>
      <c r="D433" s="7" t="s">
        <v>12</v>
      </c>
      <c r="E433" s="7" t="s">
        <v>713</v>
      </c>
      <c r="F433" s="7" t="s">
        <v>714</v>
      </c>
      <c r="G433" s="7" t="s">
        <v>717</v>
      </c>
      <c r="H433" s="7">
        <v>0</v>
      </c>
      <c r="I433" s="7" t="s">
        <v>168</v>
      </c>
      <c r="J433" s="7" t="s">
        <v>144</v>
      </c>
    </row>
    <row r="434" spans="1:10" x14ac:dyDescent="0.3">
      <c r="A434" s="6" t="s">
        <v>642</v>
      </c>
      <c r="B434" s="7" t="s">
        <v>139</v>
      </c>
      <c r="C434" s="7" t="s">
        <v>643</v>
      </c>
      <c r="D434" s="7" t="s">
        <v>12</v>
      </c>
      <c r="E434" s="7" t="s">
        <v>644</v>
      </c>
      <c r="F434" s="7" t="s">
        <v>645</v>
      </c>
      <c r="G434" s="7" t="s">
        <v>646</v>
      </c>
      <c r="H434" s="7">
        <v>5</v>
      </c>
      <c r="I434" s="7" t="s">
        <v>647</v>
      </c>
      <c r="J434" s="7" t="s">
        <v>617</v>
      </c>
    </row>
    <row r="435" spans="1:10" x14ac:dyDescent="0.3">
      <c r="A435" s="6" t="s">
        <v>743</v>
      </c>
      <c r="B435" s="7" t="s">
        <v>139</v>
      </c>
      <c r="C435" s="7" t="s">
        <v>643</v>
      </c>
      <c r="D435" s="7" t="s">
        <v>12</v>
      </c>
      <c r="E435" s="7" t="s">
        <v>744</v>
      </c>
      <c r="F435" s="7" t="s">
        <v>745</v>
      </c>
      <c r="G435" s="7" t="s">
        <v>746</v>
      </c>
      <c r="H435" s="7">
        <v>6</v>
      </c>
      <c r="I435" s="7" t="s">
        <v>747</v>
      </c>
      <c r="J435" s="7" t="s">
        <v>144</v>
      </c>
    </row>
    <row r="436" spans="1:10" x14ac:dyDescent="0.3">
      <c r="A436" s="6" t="s">
        <v>693</v>
      </c>
      <c r="B436" s="7" t="s">
        <v>139</v>
      </c>
      <c r="C436" s="7" t="s">
        <v>643</v>
      </c>
      <c r="D436" s="7" t="s">
        <v>12</v>
      </c>
      <c r="E436" s="7" t="s">
        <v>694</v>
      </c>
      <c r="F436" s="7" t="s">
        <v>695</v>
      </c>
      <c r="G436" s="7" t="s">
        <v>696</v>
      </c>
      <c r="H436" s="7">
        <v>10</v>
      </c>
      <c r="I436" s="7" t="s">
        <v>697</v>
      </c>
      <c r="J436" s="7" t="s">
        <v>698</v>
      </c>
    </row>
    <row r="437" spans="1:10" x14ac:dyDescent="0.3">
      <c r="A437" s="6" t="s">
        <v>683</v>
      </c>
      <c r="B437" s="7" t="s">
        <v>139</v>
      </c>
      <c r="C437" s="7" t="s">
        <v>643</v>
      </c>
      <c r="D437" s="7" t="s">
        <v>12</v>
      </c>
      <c r="E437" s="7" t="s">
        <v>684</v>
      </c>
      <c r="F437" s="7" t="s">
        <v>685</v>
      </c>
      <c r="G437" s="7" t="s">
        <v>686</v>
      </c>
      <c r="H437" s="7">
        <v>1</v>
      </c>
      <c r="I437" s="7" t="s">
        <v>315</v>
      </c>
      <c r="J437" s="7" t="s">
        <v>174</v>
      </c>
    </row>
    <row r="438" spans="1:10" x14ac:dyDescent="0.3">
      <c r="A438" s="6" t="s">
        <v>1730</v>
      </c>
      <c r="B438" s="7" t="s">
        <v>139</v>
      </c>
      <c r="C438" s="7" t="s">
        <v>643</v>
      </c>
      <c r="D438" s="7" t="s">
        <v>12</v>
      </c>
      <c r="E438" s="7" t="s">
        <v>1731</v>
      </c>
      <c r="F438" s="7" t="s">
        <v>1732</v>
      </c>
      <c r="G438" s="7" t="s">
        <v>1733</v>
      </c>
      <c r="H438" s="7">
        <v>23</v>
      </c>
      <c r="I438" s="7" t="s">
        <v>1736</v>
      </c>
      <c r="J438" s="7" t="s">
        <v>174</v>
      </c>
    </row>
    <row r="439" spans="1:10" x14ac:dyDescent="0.3">
      <c r="A439" s="6" t="s">
        <v>699</v>
      </c>
      <c r="B439" s="7" t="s">
        <v>139</v>
      </c>
      <c r="C439" s="7" t="s">
        <v>643</v>
      </c>
      <c r="D439" s="7" t="s">
        <v>12</v>
      </c>
      <c r="E439" s="7" t="s">
        <v>700</v>
      </c>
      <c r="F439" s="7" t="s">
        <v>701</v>
      </c>
      <c r="G439" s="7" t="s">
        <v>702</v>
      </c>
      <c r="H439" s="7">
        <v>4</v>
      </c>
      <c r="I439" s="7" t="s">
        <v>703</v>
      </c>
      <c r="J439" s="7" t="s">
        <v>174</v>
      </c>
    </row>
    <row r="440" spans="1:10" x14ac:dyDescent="0.3">
      <c r="A440" s="6" t="s">
        <v>674</v>
      </c>
      <c r="B440" s="7" t="s">
        <v>139</v>
      </c>
      <c r="C440" s="7" t="s">
        <v>643</v>
      </c>
      <c r="D440" s="7" t="s">
        <v>12</v>
      </c>
      <c r="E440" s="7" t="s">
        <v>675</v>
      </c>
      <c r="F440" s="7" t="s">
        <v>676</v>
      </c>
      <c r="G440" s="7" t="s">
        <v>677</v>
      </c>
      <c r="H440" s="7">
        <v>15</v>
      </c>
      <c r="I440" s="7" t="s">
        <v>678</v>
      </c>
      <c r="J440" s="7" t="s">
        <v>679</v>
      </c>
    </row>
    <row r="441" spans="1:10" x14ac:dyDescent="0.3">
      <c r="A441" s="6" t="s">
        <v>704</v>
      </c>
      <c r="B441" s="7" t="s">
        <v>139</v>
      </c>
      <c r="C441" s="7" t="s">
        <v>643</v>
      </c>
      <c r="D441" s="7" t="s">
        <v>12</v>
      </c>
      <c r="E441" s="7" t="s">
        <v>705</v>
      </c>
      <c r="F441" s="7" t="s">
        <v>706</v>
      </c>
      <c r="G441" s="7" t="s">
        <v>707</v>
      </c>
      <c r="H441" s="7">
        <v>24</v>
      </c>
      <c r="I441" s="7" t="s">
        <v>583</v>
      </c>
      <c r="J441" s="7" t="s">
        <v>708</v>
      </c>
    </row>
    <row r="442" spans="1:10" x14ac:dyDescent="0.3">
      <c r="A442" s="6" t="s">
        <v>667</v>
      </c>
      <c r="B442" s="7" t="s">
        <v>139</v>
      </c>
      <c r="C442" s="7" t="s">
        <v>643</v>
      </c>
      <c r="D442" s="7" t="s">
        <v>12</v>
      </c>
      <c r="E442" s="7" t="s">
        <v>668</v>
      </c>
      <c r="F442" s="7" t="s">
        <v>669</v>
      </c>
      <c r="G442" s="7" t="s">
        <v>670</v>
      </c>
      <c r="H442" s="7">
        <v>9</v>
      </c>
      <c r="I442" s="7" t="s">
        <v>607</v>
      </c>
      <c r="J442" s="7" t="s">
        <v>144</v>
      </c>
    </row>
    <row r="443" spans="1:10" x14ac:dyDescent="0.3">
      <c r="A443" s="6" t="s">
        <v>648</v>
      </c>
      <c r="B443" s="7" t="s">
        <v>139</v>
      </c>
      <c r="C443" s="7" t="s">
        <v>643</v>
      </c>
      <c r="D443" s="7" t="s">
        <v>12</v>
      </c>
      <c r="E443" s="7" t="s">
        <v>649</v>
      </c>
      <c r="F443" s="7" t="s">
        <v>650</v>
      </c>
      <c r="G443" s="7" t="s">
        <v>651</v>
      </c>
      <c r="H443" s="7">
        <v>22</v>
      </c>
      <c r="I443" s="7" t="s">
        <v>652</v>
      </c>
      <c r="J443" s="7" t="s">
        <v>653</v>
      </c>
    </row>
    <row r="444" spans="1:10" x14ac:dyDescent="0.3">
      <c r="A444" s="6" t="s">
        <v>718</v>
      </c>
      <c r="B444" s="7" t="s">
        <v>139</v>
      </c>
      <c r="C444" s="7" t="s">
        <v>643</v>
      </c>
      <c r="D444" s="7" t="s">
        <v>12</v>
      </c>
      <c r="E444" s="7" t="s">
        <v>713</v>
      </c>
      <c r="F444" s="7" t="s">
        <v>714</v>
      </c>
      <c r="G444" s="7" t="s">
        <v>719</v>
      </c>
      <c r="H444" s="7">
        <v>0</v>
      </c>
      <c r="I444" s="7" t="s">
        <v>340</v>
      </c>
      <c r="J444" s="7" t="s">
        <v>662</v>
      </c>
    </row>
    <row r="445" spans="1:10" x14ac:dyDescent="0.3">
      <c r="A445" s="6" t="s">
        <v>738</v>
      </c>
      <c r="B445" s="7" t="s">
        <v>139</v>
      </c>
      <c r="C445" s="7" t="s">
        <v>643</v>
      </c>
      <c r="D445" s="7" t="s">
        <v>12</v>
      </c>
      <c r="E445" s="7" t="s">
        <v>739</v>
      </c>
      <c r="F445" s="7" t="s">
        <v>740</v>
      </c>
      <c r="G445" s="7" t="s">
        <v>741</v>
      </c>
      <c r="H445" s="7">
        <v>83</v>
      </c>
      <c r="I445" s="7" t="s">
        <v>682</v>
      </c>
      <c r="J445" s="7" t="s">
        <v>742</v>
      </c>
    </row>
    <row r="446" spans="1:10" x14ac:dyDescent="0.3">
      <c r="A446" s="6" t="s">
        <v>758</v>
      </c>
      <c r="B446" s="7" t="s">
        <v>139</v>
      </c>
      <c r="C446" s="7" t="s">
        <v>643</v>
      </c>
      <c r="D446" s="7" t="s">
        <v>12</v>
      </c>
      <c r="E446" s="7" t="s">
        <v>759</v>
      </c>
      <c r="F446" s="7" t="s">
        <v>760</v>
      </c>
      <c r="G446" s="7" t="s">
        <v>761</v>
      </c>
      <c r="H446" s="7">
        <v>0</v>
      </c>
      <c r="I446" s="7" t="s">
        <v>498</v>
      </c>
      <c r="J446" s="7" t="s">
        <v>662</v>
      </c>
    </row>
    <row r="447" spans="1:10" x14ac:dyDescent="0.3">
      <c r="A447" s="6" t="s">
        <v>687</v>
      </c>
      <c r="B447" s="7" t="s">
        <v>139</v>
      </c>
      <c r="C447" s="7" t="s">
        <v>643</v>
      </c>
      <c r="D447" s="7" t="s">
        <v>12</v>
      </c>
      <c r="E447" s="7" t="s">
        <v>688</v>
      </c>
      <c r="F447" s="7" t="s">
        <v>689</v>
      </c>
      <c r="G447" s="7" t="s">
        <v>690</v>
      </c>
      <c r="H447" s="7">
        <v>7</v>
      </c>
      <c r="I447" s="7" t="s">
        <v>498</v>
      </c>
      <c r="J447" s="7" t="s">
        <v>277</v>
      </c>
    </row>
    <row r="448" spans="1:10" x14ac:dyDescent="0.3">
      <c r="A448" s="6" t="s">
        <v>691</v>
      </c>
      <c r="B448" s="7" t="s">
        <v>139</v>
      </c>
      <c r="C448" s="7" t="s">
        <v>643</v>
      </c>
      <c r="D448" s="7" t="s">
        <v>12</v>
      </c>
      <c r="E448" s="7" t="s">
        <v>688</v>
      </c>
      <c r="F448" s="7" t="s">
        <v>689</v>
      </c>
      <c r="G448" s="7" t="s">
        <v>692</v>
      </c>
      <c r="H448" s="7">
        <v>4</v>
      </c>
      <c r="I448" s="7" t="s">
        <v>652</v>
      </c>
      <c r="J448" s="7" t="s">
        <v>184</v>
      </c>
    </row>
    <row r="449" spans="1:10" x14ac:dyDescent="0.3">
      <c r="A449" s="6" t="s">
        <v>1602</v>
      </c>
      <c r="B449" s="7" t="s">
        <v>139</v>
      </c>
      <c r="C449" s="7" t="s">
        <v>643</v>
      </c>
      <c r="D449" s="7" t="s">
        <v>32</v>
      </c>
      <c r="E449" s="7" t="s">
        <v>1603</v>
      </c>
      <c r="F449" s="7" t="s">
        <v>358</v>
      </c>
      <c r="G449" s="7" t="s">
        <v>1604</v>
      </c>
      <c r="H449" s="7">
        <v>14</v>
      </c>
      <c r="I449" s="7" t="s">
        <v>1605</v>
      </c>
      <c r="J449" s="7" t="s">
        <v>1540</v>
      </c>
    </row>
    <row r="450" spans="1:10" x14ac:dyDescent="0.3">
      <c r="A450" s="6" t="s">
        <v>1644</v>
      </c>
      <c r="B450" s="7" t="s">
        <v>139</v>
      </c>
      <c r="C450" s="7" t="s">
        <v>643</v>
      </c>
      <c r="D450" s="7" t="s">
        <v>32</v>
      </c>
      <c r="E450" s="7" t="s">
        <v>1645</v>
      </c>
      <c r="F450" s="7" t="s">
        <v>1646</v>
      </c>
      <c r="G450" s="7" t="s">
        <v>1647</v>
      </c>
      <c r="H450" s="7">
        <v>73</v>
      </c>
      <c r="I450" s="7" t="s">
        <v>1648</v>
      </c>
      <c r="J450" s="7" t="s">
        <v>174</v>
      </c>
    </row>
    <row r="451" spans="1:10" x14ac:dyDescent="0.3">
      <c r="A451" s="6" t="s">
        <v>1662</v>
      </c>
      <c r="B451" s="7" t="s">
        <v>139</v>
      </c>
      <c r="C451" s="7" t="s">
        <v>643</v>
      </c>
      <c r="D451" s="7" t="s">
        <v>32</v>
      </c>
      <c r="E451" s="7" t="s">
        <v>1663</v>
      </c>
      <c r="F451" s="7" t="s">
        <v>1664</v>
      </c>
      <c r="G451" s="7" t="s">
        <v>1665</v>
      </c>
      <c r="H451" s="7">
        <v>28</v>
      </c>
      <c r="I451" s="7" t="s">
        <v>1151</v>
      </c>
      <c r="J451" s="7" t="s">
        <v>514</v>
      </c>
    </row>
    <row r="452" spans="1:10" x14ac:dyDescent="0.3">
      <c r="A452" s="6" t="s">
        <v>1615</v>
      </c>
      <c r="B452" s="7" t="s">
        <v>139</v>
      </c>
      <c r="C452" s="7" t="s">
        <v>643</v>
      </c>
      <c r="D452" s="7" t="s">
        <v>32</v>
      </c>
      <c r="E452" s="7" t="s">
        <v>1616</v>
      </c>
      <c r="F452" s="7" t="s">
        <v>1617</v>
      </c>
      <c r="G452" s="7" t="s">
        <v>1618</v>
      </c>
      <c r="H452" s="7">
        <v>0</v>
      </c>
      <c r="I452" s="7" t="s">
        <v>185</v>
      </c>
      <c r="J452" s="7" t="s">
        <v>240</v>
      </c>
    </row>
    <row r="453" spans="1:10" x14ac:dyDescent="0.3">
      <c r="A453" s="6" t="s">
        <v>2455</v>
      </c>
      <c r="B453" s="7" t="s">
        <v>139</v>
      </c>
      <c r="C453" s="7" t="s">
        <v>643</v>
      </c>
      <c r="D453" s="7" t="s">
        <v>32</v>
      </c>
      <c r="E453" s="7" t="s">
        <v>2449</v>
      </c>
      <c r="F453" s="7" t="s">
        <v>2450</v>
      </c>
      <c r="G453" s="7" t="s">
        <v>2456</v>
      </c>
      <c r="H453" s="7">
        <v>5</v>
      </c>
      <c r="I453" s="7" t="s">
        <v>2458</v>
      </c>
      <c r="J453" s="7" t="s">
        <v>391</v>
      </c>
    </row>
    <row r="454" spans="1:10" x14ac:dyDescent="0.3">
      <c r="A454" s="6" t="s">
        <v>1598</v>
      </c>
      <c r="B454" s="7" t="s">
        <v>139</v>
      </c>
      <c r="C454" s="7" t="s">
        <v>643</v>
      </c>
      <c r="D454" s="7" t="s">
        <v>32</v>
      </c>
      <c r="E454" s="7" t="s">
        <v>1595</v>
      </c>
      <c r="F454" s="7" t="s">
        <v>1596</v>
      </c>
      <c r="G454" s="7" t="s">
        <v>1599</v>
      </c>
      <c r="H454" s="7">
        <v>16</v>
      </c>
      <c r="I454" s="7" t="s">
        <v>1600</v>
      </c>
      <c r="J454" s="7" t="s">
        <v>1601</v>
      </c>
    </row>
    <row r="455" spans="1:10" x14ac:dyDescent="0.3">
      <c r="A455" s="6" t="s">
        <v>1630</v>
      </c>
      <c r="B455" s="7" t="s">
        <v>139</v>
      </c>
      <c r="C455" s="7" t="s">
        <v>643</v>
      </c>
      <c r="D455" s="7" t="s">
        <v>32</v>
      </c>
      <c r="E455" s="7" t="s">
        <v>1631</v>
      </c>
      <c r="F455" s="7" t="s">
        <v>1632</v>
      </c>
      <c r="G455" s="7" t="s">
        <v>1633</v>
      </c>
      <c r="H455" s="7">
        <v>6</v>
      </c>
      <c r="I455" s="7" t="s">
        <v>1389</v>
      </c>
      <c r="J455" s="7" t="s">
        <v>617</v>
      </c>
    </row>
    <row r="456" spans="1:10" x14ac:dyDescent="0.3">
      <c r="A456" s="6" t="s">
        <v>1634</v>
      </c>
      <c r="B456" s="7" t="s">
        <v>139</v>
      </c>
      <c r="C456" s="7" t="s">
        <v>643</v>
      </c>
      <c r="D456" s="7" t="s">
        <v>32</v>
      </c>
      <c r="E456" s="7" t="s">
        <v>1631</v>
      </c>
      <c r="F456" s="7" t="s">
        <v>1632</v>
      </c>
      <c r="G456" s="7" t="s">
        <v>1635</v>
      </c>
      <c r="H456" s="7">
        <v>5</v>
      </c>
      <c r="I456" s="7" t="s">
        <v>682</v>
      </c>
      <c r="J456" s="7" t="s">
        <v>617</v>
      </c>
    </row>
    <row r="457" spans="1:10" x14ac:dyDescent="0.3">
      <c r="A457" s="6" t="s">
        <v>1578</v>
      </c>
      <c r="B457" s="7" t="s">
        <v>139</v>
      </c>
      <c r="C457" s="7" t="s">
        <v>643</v>
      </c>
      <c r="D457" s="7" t="s">
        <v>32</v>
      </c>
      <c r="E457" s="7" t="s">
        <v>1579</v>
      </c>
      <c r="F457" s="7" t="s">
        <v>1580</v>
      </c>
      <c r="G457" s="7" t="s">
        <v>1581</v>
      </c>
      <c r="H457" s="7">
        <v>13</v>
      </c>
      <c r="I457" s="7" t="s">
        <v>202</v>
      </c>
      <c r="J457" s="7" t="s">
        <v>493</v>
      </c>
    </row>
    <row r="458" spans="1:10" x14ac:dyDescent="0.3">
      <c r="A458" s="6" t="s">
        <v>2469</v>
      </c>
      <c r="B458" s="7" t="s">
        <v>139</v>
      </c>
      <c r="C458" s="7" t="s">
        <v>643</v>
      </c>
      <c r="D458" s="7" t="s">
        <v>32</v>
      </c>
      <c r="E458" s="7" t="s">
        <v>2470</v>
      </c>
      <c r="F458" s="7" t="s">
        <v>2471</v>
      </c>
      <c r="G458" s="7" t="s">
        <v>2472</v>
      </c>
      <c r="H458" s="7">
        <v>7</v>
      </c>
      <c r="I458" s="7" t="s">
        <v>2475</v>
      </c>
      <c r="J458" s="7" t="s">
        <v>185</v>
      </c>
    </row>
    <row r="459" spans="1:10" x14ac:dyDescent="0.3">
      <c r="A459" s="6" t="s">
        <v>2459</v>
      </c>
      <c r="B459" s="7" t="s">
        <v>139</v>
      </c>
      <c r="C459" s="7" t="s">
        <v>643</v>
      </c>
      <c r="D459" s="7" t="s">
        <v>32</v>
      </c>
      <c r="E459" s="7" t="s">
        <v>1595</v>
      </c>
      <c r="F459" s="7" t="s">
        <v>1596</v>
      </c>
      <c r="G459" s="7" t="s">
        <v>2460</v>
      </c>
      <c r="H459" s="7">
        <v>1</v>
      </c>
      <c r="I459" s="7" t="s">
        <v>184</v>
      </c>
      <c r="J459" s="7" t="s">
        <v>262</v>
      </c>
    </row>
    <row r="460" spans="1:10" x14ac:dyDescent="0.3">
      <c r="A460" s="6" t="s">
        <v>2493</v>
      </c>
      <c r="B460" s="7" t="s">
        <v>139</v>
      </c>
      <c r="C460" s="7" t="s">
        <v>643</v>
      </c>
      <c r="D460" s="7" t="s">
        <v>32</v>
      </c>
      <c r="E460" s="7" t="s">
        <v>1616</v>
      </c>
      <c r="F460" s="7" t="s">
        <v>1617</v>
      </c>
      <c r="G460" s="7" t="s">
        <v>2494</v>
      </c>
      <c r="H460" s="7">
        <v>6</v>
      </c>
      <c r="I460" s="7" t="s">
        <v>2496</v>
      </c>
      <c r="J460" s="7" t="s">
        <v>262</v>
      </c>
    </row>
    <row r="461" spans="1:10" x14ac:dyDescent="0.3">
      <c r="A461" s="6" t="s">
        <v>1619</v>
      </c>
      <c r="B461" s="7" t="s">
        <v>139</v>
      </c>
      <c r="C461" s="7" t="s">
        <v>643</v>
      </c>
      <c r="D461" s="7" t="s">
        <v>32</v>
      </c>
      <c r="E461" s="7" t="s">
        <v>1620</v>
      </c>
      <c r="F461" s="7" t="s">
        <v>1621</v>
      </c>
      <c r="G461" s="7" t="s">
        <v>1622</v>
      </c>
      <c r="H461" s="7">
        <v>10</v>
      </c>
      <c r="I461" s="7" t="s">
        <v>1623</v>
      </c>
      <c r="J461" s="7" t="s">
        <v>1624</v>
      </c>
    </row>
    <row r="462" spans="1:10" x14ac:dyDescent="0.3">
      <c r="A462" s="6" t="s">
        <v>1676</v>
      </c>
      <c r="B462" s="7" t="s">
        <v>139</v>
      </c>
      <c r="C462" s="7" t="s">
        <v>643</v>
      </c>
      <c r="D462" s="7" t="s">
        <v>32</v>
      </c>
      <c r="E462" s="7" t="s">
        <v>1677</v>
      </c>
      <c r="F462" s="7" t="s">
        <v>1678</v>
      </c>
      <c r="G462" s="7" t="s">
        <v>1679</v>
      </c>
      <c r="H462" s="7">
        <v>3</v>
      </c>
      <c r="I462" s="7" t="s">
        <v>173</v>
      </c>
      <c r="J462" s="7" t="s">
        <v>1384</v>
      </c>
    </row>
    <row r="463" spans="1:10" x14ac:dyDescent="0.3">
      <c r="A463" s="6" t="s">
        <v>2504</v>
      </c>
      <c r="B463" s="7" t="s">
        <v>139</v>
      </c>
      <c r="C463" s="7" t="s">
        <v>643</v>
      </c>
      <c r="D463" s="7" t="s">
        <v>32</v>
      </c>
      <c r="E463" s="7" t="s">
        <v>1620</v>
      </c>
      <c r="F463" s="7" t="s">
        <v>1621</v>
      </c>
      <c r="G463" s="7" t="s">
        <v>2505</v>
      </c>
      <c r="H463" s="7">
        <v>3</v>
      </c>
      <c r="I463" s="7" t="s">
        <v>1708</v>
      </c>
      <c r="J463" s="7" t="s">
        <v>391</v>
      </c>
    </row>
    <row r="464" spans="1:10" x14ac:dyDescent="0.3">
      <c r="A464" s="6" t="s">
        <v>2534</v>
      </c>
      <c r="B464" s="7" t="s">
        <v>139</v>
      </c>
      <c r="C464" s="7" t="s">
        <v>643</v>
      </c>
      <c r="D464" s="7" t="s">
        <v>32</v>
      </c>
      <c r="E464" s="7" t="s">
        <v>755</v>
      </c>
      <c r="F464" s="7" t="s">
        <v>756</v>
      </c>
      <c r="G464" s="7" t="s">
        <v>2535</v>
      </c>
      <c r="H464" s="7">
        <v>12</v>
      </c>
      <c r="I464" s="7" t="s">
        <v>148</v>
      </c>
      <c r="J464" s="7" t="s">
        <v>174</v>
      </c>
    </row>
    <row r="465" spans="1:10" x14ac:dyDescent="0.3">
      <c r="A465" s="6" t="s">
        <v>1606</v>
      </c>
      <c r="B465" s="7" t="s">
        <v>139</v>
      </c>
      <c r="C465" s="7" t="s">
        <v>643</v>
      </c>
      <c r="D465" s="7" t="s">
        <v>32</v>
      </c>
      <c r="E465" s="7" t="s">
        <v>1607</v>
      </c>
      <c r="F465" s="7" t="s">
        <v>1608</v>
      </c>
      <c r="G465" s="7" t="s">
        <v>1609</v>
      </c>
      <c r="H465" s="7">
        <v>9</v>
      </c>
      <c r="I465" s="7" t="s">
        <v>148</v>
      </c>
      <c r="J465" s="7" t="s">
        <v>174</v>
      </c>
    </row>
    <row r="466" spans="1:10" x14ac:dyDescent="0.3">
      <c r="A466" s="6" t="s">
        <v>2489</v>
      </c>
      <c r="B466" s="7" t="s">
        <v>139</v>
      </c>
      <c r="C466" s="7" t="s">
        <v>643</v>
      </c>
      <c r="D466" s="7" t="s">
        <v>32</v>
      </c>
      <c r="E466" s="7" t="s">
        <v>1611</v>
      </c>
      <c r="F466" s="7" t="s">
        <v>1612</v>
      </c>
      <c r="G466" s="7" t="s">
        <v>2490</v>
      </c>
      <c r="H466" s="7">
        <v>7</v>
      </c>
      <c r="I466" s="7" t="s">
        <v>123</v>
      </c>
      <c r="J466" s="7" t="s">
        <v>174</v>
      </c>
    </row>
    <row r="467" spans="1:10" x14ac:dyDescent="0.3">
      <c r="A467" s="6" t="s">
        <v>2522</v>
      </c>
      <c r="B467" s="7" t="s">
        <v>139</v>
      </c>
      <c r="C467" s="7" t="s">
        <v>643</v>
      </c>
      <c r="D467" s="7" t="s">
        <v>32</v>
      </c>
      <c r="E467" s="7" t="s">
        <v>2523</v>
      </c>
      <c r="F467" s="7" t="s">
        <v>1039</v>
      </c>
      <c r="G467" s="7" t="s">
        <v>2524</v>
      </c>
      <c r="H467" s="7">
        <v>12</v>
      </c>
      <c r="I467" s="7" t="s">
        <v>148</v>
      </c>
      <c r="J467" s="7" t="s">
        <v>391</v>
      </c>
    </row>
    <row r="468" spans="1:10" x14ac:dyDescent="0.3">
      <c r="A468" s="6" t="s">
        <v>1587</v>
      </c>
      <c r="B468" s="7" t="s">
        <v>139</v>
      </c>
      <c r="C468" s="7" t="s">
        <v>643</v>
      </c>
      <c r="D468" s="7" t="s">
        <v>32</v>
      </c>
      <c r="E468" s="7" t="s">
        <v>1583</v>
      </c>
      <c r="F468" s="7" t="s">
        <v>1584</v>
      </c>
      <c r="G468" s="7" t="s">
        <v>1588</v>
      </c>
      <c r="H468" s="7">
        <v>7</v>
      </c>
      <c r="I468" s="7" t="s">
        <v>967</v>
      </c>
      <c r="J468" s="7" t="s">
        <v>1589</v>
      </c>
    </row>
    <row r="469" spans="1:10" x14ac:dyDescent="0.3">
      <c r="A469" s="6" t="s">
        <v>1570</v>
      </c>
      <c r="B469" s="7" t="s">
        <v>139</v>
      </c>
      <c r="C469" s="7" t="s">
        <v>643</v>
      </c>
      <c r="D469" s="7" t="s">
        <v>30</v>
      </c>
      <c r="E469" s="7" t="s">
        <v>1571</v>
      </c>
      <c r="F469" s="7" t="s">
        <v>1572</v>
      </c>
      <c r="G469" s="7" t="s">
        <v>1573</v>
      </c>
      <c r="H469" s="7">
        <v>3</v>
      </c>
      <c r="I469" s="7" t="s">
        <v>1574</v>
      </c>
      <c r="J469" s="7" t="s">
        <v>1575</v>
      </c>
    </row>
    <row r="470" spans="1:10" x14ac:dyDescent="0.3">
      <c r="A470" s="6" t="s">
        <v>1576</v>
      </c>
      <c r="B470" s="7" t="s">
        <v>139</v>
      </c>
      <c r="C470" s="7" t="s">
        <v>643</v>
      </c>
      <c r="D470" s="7" t="s">
        <v>30</v>
      </c>
      <c r="E470" s="7" t="s">
        <v>1571</v>
      </c>
      <c r="F470" s="7" t="s">
        <v>1572</v>
      </c>
      <c r="G470" s="7" t="s">
        <v>1577</v>
      </c>
      <c r="H470" s="7">
        <v>4</v>
      </c>
      <c r="I470" s="7" t="s">
        <v>246</v>
      </c>
      <c r="J470" s="7" t="s">
        <v>262</v>
      </c>
    </row>
    <row r="471" spans="1:10" x14ac:dyDescent="0.3">
      <c r="A471" s="6" t="s">
        <v>1508</v>
      </c>
      <c r="B471" s="7" t="s">
        <v>139</v>
      </c>
      <c r="C471" s="7" t="s">
        <v>643</v>
      </c>
      <c r="D471" s="7" t="s">
        <v>30</v>
      </c>
      <c r="E471" s="7" t="s">
        <v>1509</v>
      </c>
      <c r="F471" s="7" t="s">
        <v>1510</v>
      </c>
      <c r="G471" s="7" t="s">
        <v>1511</v>
      </c>
      <c r="H471" s="7">
        <v>17</v>
      </c>
      <c r="I471" s="7" t="s">
        <v>1512</v>
      </c>
      <c r="J471" s="7" t="s">
        <v>174</v>
      </c>
    </row>
    <row r="472" spans="1:10" x14ac:dyDescent="0.3">
      <c r="A472" s="6" t="s">
        <v>1452</v>
      </c>
      <c r="B472" s="7" t="s">
        <v>139</v>
      </c>
      <c r="C472" s="7" t="s">
        <v>643</v>
      </c>
      <c r="D472" s="7" t="s">
        <v>30</v>
      </c>
      <c r="E472" s="7" t="s">
        <v>1453</v>
      </c>
      <c r="F472" s="7" t="s">
        <v>1454</v>
      </c>
      <c r="G472" s="7" t="s">
        <v>1455</v>
      </c>
      <c r="H472" s="7">
        <v>2</v>
      </c>
      <c r="I472" s="7" t="s">
        <v>315</v>
      </c>
      <c r="J472" s="7" t="s">
        <v>174</v>
      </c>
    </row>
    <row r="473" spans="1:10" x14ac:dyDescent="0.3">
      <c r="A473" s="6" t="s">
        <v>1513</v>
      </c>
      <c r="B473" s="7" t="s">
        <v>139</v>
      </c>
      <c r="C473" s="7" t="s">
        <v>643</v>
      </c>
      <c r="D473" s="7" t="s">
        <v>30</v>
      </c>
      <c r="E473" s="7" t="s">
        <v>1509</v>
      </c>
      <c r="F473" s="7" t="s">
        <v>1510</v>
      </c>
      <c r="G473" s="7" t="s">
        <v>1514</v>
      </c>
      <c r="H473" s="7">
        <v>17</v>
      </c>
      <c r="I473" s="7" t="s">
        <v>1512</v>
      </c>
      <c r="J473" s="7" t="s">
        <v>174</v>
      </c>
    </row>
    <row r="474" spans="1:10" x14ac:dyDescent="0.3">
      <c r="A474" s="6" t="s">
        <v>1517</v>
      </c>
      <c r="B474" s="7" t="s">
        <v>139</v>
      </c>
      <c r="C474" s="7" t="s">
        <v>643</v>
      </c>
      <c r="D474" s="7" t="s">
        <v>30</v>
      </c>
      <c r="E474" s="7" t="s">
        <v>1518</v>
      </c>
      <c r="F474" s="7" t="s">
        <v>496</v>
      </c>
      <c r="G474" s="7" t="s">
        <v>1519</v>
      </c>
      <c r="H474" s="7">
        <v>5</v>
      </c>
      <c r="I474" s="7" t="s">
        <v>349</v>
      </c>
      <c r="J474" s="7" t="s">
        <v>234</v>
      </c>
    </row>
    <row r="475" spans="1:10" x14ac:dyDescent="0.3">
      <c r="A475" s="6" t="s">
        <v>1481</v>
      </c>
      <c r="B475" s="7" t="s">
        <v>139</v>
      </c>
      <c r="C475" s="7" t="s">
        <v>643</v>
      </c>
      <c r="D475" s="7" t="s">
        <v>30</v>
      </c>
      <c r="E475" s="7" t="s">
        <v>1482</v>
      </c>
      <c r="F475" s="7" t="s">
        <v>1483</v>
      </c>
      <c r="G475" s="7" t="s">
        <v>1484</v>
      </c>
      <c r="H475" s="7">
        <v>10</v>
      </c>
      <c r="I475" s="7" t="s">
        <v>1485</v>
      </c>
      <c r="J475" s="7" t="s">
        <v>144</v>
      </c>
    </row>
    <row r="476" spans="1:10" x14ac:dyDescent="0.3">
      <c r="A476" s="6" t="s">
        <v>1564</v>
      </c>
      <c r="B476" s="7" t="s">
        <v>139</v>
      </c>
      <c r="C476" s="7" t="s">
        <v>643</v>
      </c>
      <c r="D476" s="7" t="s">
        <v>30</v>
      </c>
      <c r="E476" s="7" t="s">
        <v>1565</v>
      </c>
      <c r="F476" s="7" t="s">
        <v>1566</v>
      </c>
      <c r="G476" s="7" t="s">
        <v>1567</v>
      </c>
      <c r="H476" s="7">
        <v>17</v>
      </c>
      <c r="I476" s="7" t="s">
        <v>1568</v>
      </c>
      <c r="J476" s="7" t="s">
        <v>1569</v>
      </c>
    </row>
    <row r="477" spans="1:10" x14ac:dyDescent="0.3">
      <c r="A477" s="6" t="s">
        <v>1502</v>
      </c>
      <c r="B477" s="7" t="s">
        <v>139</v>
      </c>
      <c r="C477" s="7" t="s">
        <v>643</v>
      </c>
      <c r="D477" s="7" t="s">
        <v>30</v>
      </c>
      <c r="E477" s="7" t="s">
        <v>1503</v>
      </c>
      <c r="F477" s="7" t="s">
        <v>1396</v>
      </c>
      <c r="G477" s="7" t="s">
        <v>1504</v>
      </c>
      <c r="H477" s="7">
        <v>3</v>
      </c>
      <c r="I477" s="7" t="s">
        <v>518</v>
      </c>
      <c r="J477" s="7" t="s">
        <v>164</v>
      </c>
    </row>
    <row r="478" spans="1:10" x14ac:dyDescent="0.3">
      <c r="A478" s="6" t="s">
        <v>1505</v>
      </c>
      <c r="B478" s="7" t="s">
        <v>139</v>
      </c>
      <c r="C478" s="7" t="s">
        <v>643</v>
      </c>
      <c r="D478" s="7" t="s">
        <v>30</v>
      </c>
      <c r="E478" s="7" t="s">
        <v>1503</v>
      </c>
      <c r="F478" s="7" t="s">
        <v>1396</v>
      </c>
      <c r="G478" s="7" t="s">
        <v>1506</v>
      </c>
      <c r="H478" s="7">
        <v>3</v>
      </c>
      <c r="I478" s="7" t="s">
        <v>1507</v>
      </c>
      <c r="J478" s="7" t="s">
        <v>144</v>
      </c>
    </row>
    <row r="479" spans="1:10" x14ac:dyDescent="0.3">
      <c r="A479" s="6" t="s">
        <v>1468</v>
      </c>
      <c r="B479" s="7" t="s">
        <v>139</v>
      </c>
      <c r="C479" s="7" t="s">
        <v>643</v>
      </c>
      <c r="D479" s="7" t="s">
        <v>30</v>
      </c>
      <c r="E479" s="7" t="s">
        <v>1465</v>
      </c>
      <c r="F479" s="7" t="s">
        <v>1466</v>
      </c>
      <c r="G479" s="7" t="s">
        <v>1469</v>
      </c>
      <c r="H479" s="7">
        <v>3</v>
      </c>
      <c r="I479" s="7" t="s">
        <v>233</v>
      </c>
      <c r="J479" s="7" t="s">
        <v>1470</v>
      </c>
    </row>
    <row r="480" spans="1:10" x14ac:dyDescent="0.3">
      <c r="A480" s="6" t="s">
        <v>1425</v>
      </c>
      <c r="B480" s="7" t="s">
        <v>139</v>
      </c>
      <c r="C480" s="7" t="s">
        <v>643</v>
      </c>
      <c r="D480" s="7" t="s">
        <v>30</v>
      </c>
      <c r="E480" s="7" t="s">
        <v>1426</v>
      </c>
      <c r="F480" s="7" t="s">
        <v>669</v>
      </c>
      <c r="G480" s="7" t="s">
        <v>1427</v>
      </c>
      <c r="H480" s="7">
        <v>10</v>
      </c>
      <c r="I480" s="7" t="s">
        <v>1428</v>
      </c>
      <c r="J480" s="7" t="s">
        <v>144</v>
      </c>
    </row>
    <row r="481" spans="1:10" x14ac:dyDescent="0.3">
      <c r="A481" s="6" t="s">
        <v>1536</v>
      </c>
      <c r="B481" s="7" t="s">
        <v>139</v>
      </c>
      <c r="C481" s="7" t="s">
        <v>643</v>
      </c>
      <c r="D481" s="7" t="s">
        <v>30</v>
      </c>
      <c r="E481" s="7" t="s">
        <v>1537</v>
      </c>
      <c r="F481" s="7" t="s">
        <v>1538</v>
      </c>
      <c r="G481" s="7" t="s">
        <v>1539</v>
      </c>
      <c r="H481" s="7">
        <v>5</v>
      </c>
      <c r="I481" s="7" t="s">
        <v>498</v>
      </c>
      <c r="J481" s="7" t="s">
        <v>1540</v>
      </c>
    </row>
    <row r="482" spans="1:10" x14ac:dyDescent="0.3">
      <c r="A482" s="6" t="s">
        <v>1545</v>
      </c>
      <c r="B482" s="7" t="s">
        <v>139</v>
      </c>
      <c r="C482" s="7" t="s">
        <v>643</v>
      </c>
      <c r="D482" s="7" t="s">
        <v>30</v>
      </c>
      <c r="E482" s="7" t="s">
        <v>1546</v>
      </c>
      <c r="F482" s="7" t="s">
        <v>1547</v>
      </c>
      <c r="G482" s="7" t="s">
        <v>1548</v>
      </c>
      <c r="H482" s="7">
        <v>15</v>
      </c>
      <c r="I482" s="7" t="s">
        <v>143</v>
      </c>
      <c r="J482" s="7" t="s">
        <v>1549</v>
      </c>
    </row>
    <row r="483" spans="1:10" x14ac:dyDescent="0.3">
      <c r="A483" s="6" t="s">
        <v>1429</v>
      </c>
      <c r="B483" s="7" t="s">
        <v>139</v>
      </c>
      <c r="C483" s="7" t="s">
        <v>643</v>
      </c>
      <c r="D483" s="7" t="s">
        <v>30</v>
      </c>
      <c r="E483" s="7" t="s">
        <v>1426</v>
      </c>
      <c r="F483" s="7" t="s">
        <v>669</v>
      </c>
      <c r="G483" s="7" t="s">
        <v>1430</v>
      </c>
      <c r="H483" s="7">
        <v>16</v>
      </c>
      <c r="I483" s="7" t="s">
        <v>153</v>
      </c>
      <c r="J483" s="7" t="s">
        <v>1431</v>
      </c>
    </row>
    <row r="484" spans="1:10" x14ac:dyDescent="0.3">
      <c r="A484" s="6" t="s">
        <v>1556</v>
      </c>
      <c r="B484" s="7" t="s">
        <v>139</v>
      </c>
      <c r="C484" s="7" t="s">
        <v>643</v>
      </c>
      <c r="D484" s="7" t="s">
        <v>30</v>
      </c>
      <c r="E484" s="7" t="s">
        <v>1557</v>
      </c>
      <c r="F484" s="7" t="s">
        <v>752</v>
      </c>
      <c r="G484" s="7" t="s">
        <v>1558</v>
      </c>
      <c r="H484" s="7">
        <v>1</v>
      </c>
      <c r="I484" s="7" t="s">
        <v>1559</v>
      </c>
      <c r="J484" s="7" t="s">
        <v>1560</v>
      </c>
    </row>
    <row r="485" spans="1:10" x14ac:dyDescent="0.3">
      <c r="A485" s="6" t="s">
        <v>1456</v>
      </c>
      <c r="B485" s="7" t="s">
        <v>139</v>
      </c>
      <c r="C485" s="7" t="s">
        <v>643</v>
      </c>
      <c r="D485" s="7" t="s">
        <v>30</v>
      </c>
      <c r="E485" s="7" t="s">
        <v>1457</v>
      </c>
      <c r="F485" s="7" t="s">
        <v>1458</v>
      </c>
      <c r="G485" s="7" t="s">
        <v>1459</v>
      </c>
      <c r="H485" s="7">
        <v>17</v>
      </c>
      <c r="I485" s="7" t="s">
        <v>457</v>
      </c>
      <c r="J485" s="7" t="s">
        <v>662</v>
      </c>
    </row>
    <row r="486" spans="1:10" x14ac:dyDescent="0.3">
      <c r="A486" s="6" t="s">
        <v>2398</v>
      </c>
      <c r="B486" s="7" t="s">
        <v>139</v>
      </c>
      <c r="C486" s="7" t="s">
        <v>643</v>
      </c>
      <c r="D486" s="7" t="s">
        <v>30</v>
      </c>
      <c r="E486" s="7" t="s">
        <v>2399</v>
      </c>
      <c r="F486" s="7" t="s">
        <v>2400</v>
      </c>
      <c r="G486" s="7" t="s">
        <v>2401</v>
      </c>
      <c r="H486" s="7">
        <v>9</v>
      </c>
      <c r="I486" s="7" t="s">
        <v>196</v>
      </c>
      <c r="J486" s="7" t="s">
        <v>2406</v>
      </c>
    </row>
    <row r="487" spans="1:10" x14ac:dyDescent="0.3">
      <c r="A487" s="6" t="s">
        <v>2424</v>
      </c>
      <c r="B487" s="7" t="s">
        <v>139</v>
      </c>
      <c r="C487" s="7" t="s">
        <v>643</v>
      </c>
      <c r="D487" s="7" t="s">
        <v>30</v>
      </c>
      <c r="E487" s="7" t="s">
        <v>1542</v>
      </c>
      <c r="F487" s="7" t="s">
        <v>1543</v>
      </c>
      <c r="G487" s="7" t="s">
        <v>2425</v>
      </c>
      <c r="H487" s="7">
        <v>8</v>
      </c>
      <c r="I487" s="7" t="s">
        <v>2427</v>
      </c>
      <c r="J487" s="7" t="s">
        <v>552</v>
      </c>
    </row>
    <row r="488" spans="1:10" x14ac:dyDescent="0.3">
      <c r="A488" s="6" t="s">
        <v>1432</v>
      </c>
      <c r="B488" s="7" t="s">
        <v>139</v>
      </c>
      <c r="C488" s="7" t="s">
        <v>643</v>
      </c>
      <c r="D488" s="7" t="s">
        <v>30</v>
      </c>
      <c r="E488" s="7" t="s">
        <v>1433</v>
      </c>
      <c r="F488" s="7" t="s">
        <v>1434</v>
      </c>
      <c r="G488" s="7" t="s">
        <v>1435</v>
      </c>
      <c r="H488" s="7">
        <v>17</v>
      </c>
      <c r="I488" s="7" t="s">
        <v>1436</v>
      </c>
      <c r="J488" s="7" t="s">
        <v>297</v>
      </c>
    </row>
    <row r="489" spans="1:10" x14ac:dyDescent="0.3">
      <c r="A489" s="6" t="s">
        <v>1445</v>
      </c>
      <c r="B489" s="7" t="s">
        <v>139</v>
      </c>
      <c r="C489" s="7" t="s">
        <v>643</v>
      </c>
      <c r="D489" s="7" t="s">
        <v>30</v>
      </c>
      <c r="E489" s="7" t="s">
        <v>1446</v>
      </c>
      <c r="F489" s="7" t="s">
        <v>1447</v>
      </c>
      <c r="G489" s="7" t="s">
        <v>1448</v>
      </c>
      <c r="H489" s="7">
        <v>6</v>
      </c>
      <c r="I489" s="7" t="s">
        <v>202</v>
      </c>
      <c r="J489" s="7" t="s">
        <v>174</v>
      </c>
    </row>
    <row r="490" spans="1:10" x14ac:dyDescent="0.3">
      <c r="A490" s="6" t="s">
        <v>2428</v>
      </c>
      <c r="B490" s="7" t="s">
        <v>139</v>
      </c>
      <c r="C490" s="7" t="s">
        <v>643</v>
      </c>
      <c r="D490" s="7" t="s">
        <v>30</v>
      </c>
      <c r="E490" s="7" t="s">
        <v>1542</v>
      </c>
      <c r="F490" s="7" t="s">
        <v>1543</v>
      </c>
      <c r="G490" s="7" t="s">
        <v>2429</v>
      </c>
      <c r="H490" s="7">
        <v>6</v>
      </c>
      <c r="I490" s="7" t="s">
        <v>2431</v>
      </c>
      <c r="J490" s="7" t="s">
        <v>2432</v>
      </c>
    </row>
    <row r="491" spans="1:10" x14ac:dyDescent="0.3">
      <c r="A491" s="6" t="s">
        <v>2411</v>
      </c>
      <c r="B491" s="7" t="s">
        <v>139</v>
      </c>
      <c r="C491" s="7" t="s">
        <v>643</v>
      </c>
      <c r="D491" s="7" t="s">
        <v>30</v>
      </c>
      <c r="E491" s="7" t="s">
        <v>1472</v>
      </c>
      <c r="F491" s="7" t="s">
        <v>1473</v>
      </c>
      <c r="G491" s="7" t="s">
        <v>2412</v>
      </c>
      <c r="H491" s="7">
        <v>10</v>
      </c>
      <c r="I491" s="7" t="s">
        <v>123</v>
      </c>
      <c r="J491" s="7" t="s">
        <v>1261</v>
      </c>
    </row>
    <row r="492" spans="1:10" x14ac:dyDescent="0.3">
      <c r="A492" s="6" t="s">
        <v>1552</v>
      </c>
      <c r="B492" s="7" t="s">
        <v>139</v>
      </c>
      <c r="C492" s="7" t="s">
        <v>643</v>
      </c>
      <c r="D492" s="7" t="s">
        <v>30</v>
      </c>
      <c r="E492" s="7" t="s">
        <v>1553</v>
      </c>
      <c r="F492" s="7" t="s">
        <v>1554</v>
      </c>
      <c r="G492" s="7" t="s">
        <v>1555</v>
      </c>
      <c r="H492" s="7">
        <v>30</v>
      </c>
      <c r="I492" s="7" t="s">
        <v>434</v>
      </c>
      <c r="J492" s="7" t="s">
        <v>174</v>
      </c>
    </row>
    <row r="493" spans="1:10" x14ac:dyDescent="0.3">
      <c r="A493" s="6" t="s">
        <v>1471</v>
      </c>
      <c r="B493" s="7" t="s">
        <v>139</v>
      </c>
      <c r="C493" s="7" t="s">
        <v>643</v>
      </c>
      <c r="D493" s="7" t="s">
        <v>30</v>
      </c>
      <c r="E493" s="7" t="s">
        <v>1472</v>
      </c>
      <c r="F493" s="7" t="s">
        <v>1473</v>
      </c>
      <c r="G493" s="7" t="s">
        <v>1474</v>
      </c>
      <c r="H493" s="7">
        <v>6</v>
      </c>
      <c r="I493" s="7" t="s">
        <v>123</v>
      </c>
      <c r="J493" s="7" t="s">
        <v>480</v>
      </c>
    </row>
    <row r="494" spans="1:10" x14ac:dyDescent="0.3">
      <c r="A494" s="6" t="s">
        <v>2407</v>
      </c>
      <c r="B494" s="7" t="s">
        <v>139</v>
      </c>
      <c r="C494" s="7" t="s">
        <v>643</v>
      </c>
      <c r="D494" s="7" t="s">
        <v>30</v>
      </c>
      <c r="E494" s="7" t="s">
        <v>1465</v>
      </c>
      <c r="F494" s="7" t="s">
        <v>1466</v>
      </c>
      <c r="G494" s="7" t="s">
        <v>2408</v>
      </c>
      <c r="H494" s="7">
        <v>10</v>
      </c>
      <c r="I494" s="7" t="s">
        <v>184</v>
      </c>
      <c r="J494" s="7" t="s">
        <v>2410</v>
      </c>
    </row>
    <row r="495" spans="1:10" x14ac:dyDescent="0.3">
      <c r="A495" s="6" t="s">
        <v>2433</v>
      </c>
      <c r="B495" s="7" t="s">
        <v>139</v>
      </c>
      <c r="C495" s="7" t="s">
        <v>643</v>
      </c>
      <c r="D495" s="7" t="s">
        <v>30</v>
      </c>
      <c r="E495" s="7" t="s">
        <v>1542</v>
      </c>
      <c r="F495" s="7" t="s">
        <v>1543</v>
      </c>
      <c r="G495" s="7" t="s">
        <v>2434</v>
      </c>
      <c r="H495" s="7">
        <v>8</v>
      </c>
      <c r="I495" s="7" t="s">
        <v>123</v>
      </c>
      <c r="J495" s="7" t="s">
        <v>174</v>
      </c>
    </row>
    <row r="496" spans="1:10" x14ac:dyDescent="0.3">
      <c r="A496" s="6" t="s">
        <v>1561</v>
      </c>
      <c r="B496" s="7" t="s">
        <v>139</v>
      </c>
      <c r="C496" s="7" t="s">
        <v>643</v>
      </c>
      <c r="D496" s="7" t="s">
        <v>30</v>
      </c>
      <c r="E496" s="7" t="s">
        <v>1557</v>
      </c>
      <c r="F496" s="7" t="s">
        <v>752</v>
      </c>
      <c r="G496" s="7" t="s">
        <v>1562</v>
      </c>
      <c r="H496" s="7">
        <v>7</v>
      </c>
      <c r="I496" s="7" t="s">
        <v>184</v>
      </c>
      <c r="J496" s="7" t="s">
        <v>1563</v>
      </c>
    </row>
    <row r="497" spans="1:10" x14ac:dyDescent="0.3">
      <c r="A497" s="6" t="s">
        <v>2623</v>
      </c>
      <c r="B497" s="7" t="s">
        <v>139</v>
      </c>
      <c r="C497" s="7" t="s">
        <v>643</v>
      </c>
      <c r="D497" s="7" t="s">
        <v>37</v>
      </c>
      <c r="E497" s="7" t="s">
        <v>2042</v>
      </c>
      <c r="F497" s="7" t="s">
        <v>577</v>
      </c>
      <c r="G497" s="7" t="s">
        <v>2624</v>
      </c>
      <c r="H497" s="7">
        <v>4</v>
      </c>
      <c r="I497" s="7" t="s">
        <v>1383</v>
      </c>
      <c r="J497" s="7" t="s">
        <v>1304</v>
      </c>
    </row>
    <row r="498" spans="1:10" x14ac:dyDescent="0.3">
      <c r="A498" s="6" t="s">
        <v>2628</v>
      </c>
      <c r="B498" s="7" t="s">
        <v>139</v>
      </c>
      <c r="C498" s="7" t="s">
        <v>643</v>
      </c>
      <c r="D498" s="7" t="s">
        <v>37</v>
      </c>
      <c r="E498" s="7" t="s">
        <v>2629</v>
      </c>
      <c r="F498" s="7" t="s">
        <v>1142</v>
      </c>
      <c r="G498" s="7" t="s">
        <v>2630</v>
      </c>
      <c r="H498" s="7">
        <v>6</v>
      </c>
      <c r="I498" s="7" t="s">
        <v>2634</v>
      </c>
      <c r="J498" s="7" t="s">
        <v>2635</v>
      </c>
    </row>
    <row r="499" spans="1:10" x14ac:dyDescent="0.3">
      <c r="A499" s="6" t="s">
        <v>2618</v>
      </c>
      <c r="B499" s="7" t="s">
        <v>139</v>
      </c>
      <c r="C499" s="7" t="s">
        <v>643</v>
      </c>
      <c r="D499" s="7" t="s">
        <v>37</v>
      </c>
      <c r="E499" s="7" t="s">
        <v>1616</v>
      </c>
      <c r="F499" s="7" t="s">
        <v>2619</v>
      </c>
      <c r="G499" s="7" t="s">
        <v>2620</v>
      </c>
      <c r="H499" s="7">
        <v>7</v>
      </c>
      <c r="I499" s="7" t="s">
        <v>900</v>
      </c>
      <c r="J499" s="7" t="s">
        <v>144</v>
      </c>
    </row>
    <row r="500" spans="1:10" x14ac:dyDescent="0.3">
      <c r="A500" s="6" t="s">
        <v>659</v>
      </c>
      <c r="B500" s="7" t="s">
        <v>139</v>
      </c>
      <c r="C500" s="7" t="s">
        <v>643</v>
      </c>
      <c r="D500" s="7" t="s">
        <v>12</v>
      </c>
      <c r="E500" s="7" t="s">
        <v>205</v>
      </c>
      <c r="F500" s="7" t="s">
        <v>660</v>
      </c>
      <c r="G500" s="7" t="s">
        <v>661</v>
      </c>
      <c r="H500" s="7">
        <v>38</v>
      </c>
      <c r="I500" s="7" t="s">
        <v>457</v>
      </c>
      <c r="J500" s="7" t="s">
        <v>662</v>
      </c>
    </row>
    <row r="501" spans="1:10" x14ac:dyDescent="0.3">
      <c r="A501" s="6" t="s">
        <v>2364</v>
      </c>
      <c r="B501" s="7" t="s">
        <v>139</v>
      </c>
      <c r="C501" s="7" t="s">
        <v>643</v>
      </c>
      <c r="D501" s="7" t="s">
        <v>27</v>
      </c>
      <c r="E501" s="7" t="s">
        <v>2365</v>
      </c>
      <c r="F501" s="7" t="s">
        <v>711</v>
      </c>
      <c r="G501" s="7" t="s">
        <v>2366</v>
      </c>
      <c r="H501" s="7"/>
      <c r="I501" s="7" t="s">
        <v>123</v>
      </c>
      <c r="J501" s="7" t="s">
        <v>419</v>
      </c>
    </row>
    <row r="502" spans="1:10" x14ac:dyDescent="0.3">
      <c r="A502" s="6" t="s">
        <v>1528</v>
      </c>
      <c r="B502" s="7" t="s">
        <v>139</v>
      </c>
      <c r="C502" s="7" t="s">
        <v>643</v>
      </c>
      <c r="D502" s="7" t="s">
        <v>30</v>
      </c>
      <c r="E502" s="7" t="s">
        <v>1529</v>
      </c>
      <c r="F502" s="7" t="s">
        <v>1530</v>
      </c>
      <c r="G502" s="7" t="s">
        <v>1531</v>
      </c>
      <c r="H502" s="7">
        <v>11</v>
      </c>
      <c r="I502" s="7" t="s">
        <v>647</v>
      </c>
      <c r="J502" s="7" t="s">
        <v>662</v>
      </c>
    </row>
    <row r="503" spans="1:10" x14ac:dyDescent="0.3">
      <c r="A503" s="6" t="s">
        <v>2476</v>
      </c>
      <c r="B503" s="7" t="s">
        <v>139</v>
      </c>
      <c r="C503" s="7" t="s">
        <v>643</v>
      </c>
      <c r="D503" s="7" t="s">
        <v>32</v>
      </c>
      <c r="E503" s="7" t="s">
        <v>2477</v>
      </c>
      <c r="F503" s="7" t="s">
        <v>2478</v>
      </c>
      <c r="G503" s="7" t="s">
        <v>2479</v>
      </c>
      <c r="H503" s="7">
        <v>10</v>
      </c>
      <c r="I503" s="7" t="s">
        <v>1851</v>
      </c>
      <c r="J503" s="7" t="s">
        <v>2175</v>
      </c>
    </row>
    <row r="504" spans="1:10" x14ac:dyDescent="0.3">
      <c r="A504" s="6" t="s">
        <v>724</v>
      </c>
      <c r="B504" s="7" t="s">
        <v>139</v>
      </c>
      <c r="C504" s="7" t="s">
        <v>643</v>
      </c>
      <c r="D504" s="7" t="s">
        <v>12</v>
      </c>
      <c r="E504" s="7" t="s">
        <v>482</v>
      </c>
      <c r="F504" s="7" t="s">
        <v>725</v>
      </c>
      <c r="G504" s="7" t="s">
        <v>726</v>
      </c>
      <c r="H504" s="7">
        <v>0</v>
      </c>
      <c r="I504" s="7" t="s">
        <v>647</v>
      </c>
      <c r="J504" s="7" t="s">
        <v>727</v>
      </c>
    </row>
    <row r="505" spans="1:10" x14ac:dyDescent="0.3">
      <c r="A505" s="6" t="s">
        <v>1361</v>
      </c>
      <c r="B505" s="7" t="s">
        <v>139</v>
      </c>
      <c r="C505" s="7" t="s">
        <v>643</v>
      </c>
      <c r="D505" s="7" t="s">
        <v>27</v>
      </c>
      <c r="E505" s="7" t="s">
        <v>1362</v>
      </c>
      <c r="F505" s="7" t="s">
        <v>769</v>
      </c>
      <c r="G505" s="7" t="s">
        <v>80</v>
      </c>
      <c r="H505" s="7"/>
      <c r="I505" s="7" t="s">
        <v>1363</v>
      </c>
      <c r="J505" s="7" t="s">
        <v>1364</v>
      </c>
    </row>
    <row r="506" spans="1:10" x14ac:dyDescent="0.3">
      <c r="A506" s="6" t="s">
        <v>767</v>
      </c>
      <c r="B506" s="7" t="s">
        <v>139</v>
      </c>
      <c r="C506" s="7" t="s">
        <v>643</v>
      </c>
      <c r="D506" s="7" t="s">
        <v>15</v>
      </c>
      <c r="E506" s="7" t="s">
        <v>768</v>
      </c>
      <c r="F506" s="7" t="s">
        <v>769</v>
      </c>
      <c r="G506" s="7" t="s">
        <v>770</v>
      </c>
      <c r="H506" s="7"/>
      <c r="I506" s="7" t="s">
        <v>220</v>
      </c>
      <c r="J506" s="7" t="s">
        <v>771</v>
      </c>
    </row>
    <row r="507" spans="1:10" x14ac:dyDescent="0.3">
      <c r="A507" s="6" t="s">
        <v>1336</v>
      </c>
      <c r="B507" s="7" t="s">
        <v>139</v>
      </c>
      <c r="C507" s="7" t="s">
        <v>643</v>
      </c>
      <c r="D507" s="7" t="s">
        <v>26</v>
      </c>
      <c r="E507" s="7" t="s">
        <v>768</v>
      </c>
      <c r="F507" s="7" t="s">
        <v>769</v>
      </c>
      <c r="G507" s="7" t="s">
        <v>770</v>
      </c>
      <c r="H507" s="7"/>
      <c r="I507" s="7" t="s">
        <v>220</v>
      </c>
      <c r="J507" s="7" t="s">
        <v>771</v>
      </c>
    </row>
    <row r="508" spans="1:10" x14ac:dyDescent="0.3">
      <c r="A508" s="6" t="s">
        <v>2032</v>
      </c>
      <c r="B508" s="7" t="s">
        <v>139</v>
      </c>
      <c r="C508" s="7" t="s">
        <v>643</v>
      </c>
      <c r="D508" s="7" t="s">
        <v>20</v>
      </c>
      <c r="E508" s="7" t="s">
        <v>2033</v>
      </c>
      <c r="F508" s="7" t="s">
        <v>2034</v>
      </c>
      <c r="G508" s="7" t="s">
        <v>2035</v>
      </c>
      <c r="H508" s="7">
        <v>36</v>
      </c>
      <c r="I508" s="7" t="s">
        <v>961</v>
      </c>
      <c r="J508" s="7" t="s">
        <v>2040</v>
      </c>
    </row>
    <row r="509" spans="1:10" x14ac:dyDescent="0.3">
      <c r="A509" s="6" t="s">
        <v>2041</v>
      </c>
      <c r="B509" s="7" t="s">
        <v>139</v>
      </c>
      <c r="C509" s="7" t="s">
        <v>643</v>
      </c>
      <c r="D509" s="7" t="s">
        <v>20</v>
      </c>
      <c r="E509" s="7" t="s">
        <v>2042</v>
      </c>
      <c r="F509" s="7" t="s">
        <v>2043</v>
      </c>
      <c r="G509" s="7" t="s">
        <v>2044</v>
      </c>
      <c r="H509" s="7">
        <v>9</v>
      </c>
      <c r="I509" s="7" t="s">
        <v>814</v>
      </c>
      <c r="J509" s="7" t="s">
        <v>2047</v>
      </c>
    </row>
    <row r="510" spans="1:10" x14ac:dyDescent="0.3">
      <c r="A510" s="6" t="s">
        <v>2338</v>
      </c>
      <c r="B510" s="7" t="s">
        <v>139</v>
      </c>
      <c r="C510" s="7" t="s">
        <v>643</v>
      </c>
      <c r="D510" s="7" t="s">
        <v>26</v>
      </c>
      <c r="E510" s="7" t="s">
        <v>2339</v>
      </c>
      <c r="F510" s="7" t="s">
        <v>2340</v>
      </c>
      <c r="G510" s="7" t="s">
        <v>2341</v>
      </c>
      <c r="H510" s="7"/>
      <c r="I510" s="7" t="s">
        <v>2343</v>
      </c>
      <c r="J510" s="7" t="s">
        <v>262</v>
      </c>
    </row>
    <row r="511" spans="1:10" x14ac:dyDescent="0.3">
      <c r="A511" s="6" t="s">
        <v>2344</v>
      </c>
      <c r="B511" s="7" t="s">
        <v>139</v>
      </c>
      <c r="C511" s="7" t="s">
        <v>643</v>
      </c>
      <c r="D511" s="7" t="s">
        <v>26</v>
      </c>
      <c r="E511" s="7" t="s">
        <v>1141</v>
      </c>
      <c r="F511" s="7" t="s">
        <v>1142</v>
      </c>
      <c r="G511" s="7" t="s">
        <v>2345</v>
      </c>
      <c r="H511" s="7"/>
      <c r="I511" s="7" t="s">
        <v>2348</v>
      </c>
      <c r="J511" s="7" t="s">
        <v>2349</v>
      </c>
    </row>
    <row r="512" spans="1:10" x14ac:dyDescent="0.3">
      <c r="A512" s="6" t="s">
        <v>1374</v>
      </c>
      <c r="B512" s="7" t="s">
        <v>139</v>
      </c>
      <c r="C512" s="7" t="s">
        <v>643</v>
      </c>
      <c r="D512" s="7" t="s">
        <v>27</v>
      </c>
      <c r="E512" s="7" t="s">
        <v>1375</v>
      </c>
      <c r="F512" s="7" t="s">
        <v>1376</v>
      </c>
      <c r="G512" s="7" t="s">
        <v>1377</v>
      </c>
      <c r="H512" s="7"/>
      <c r="I512" s="7" t="s">
        <v>1378</v>
      </c>
      <c r="J512" s="7" t="s">
        <v>630</v>
      </c>
    </row>
    <row r="513" spans="1:10" x14ac:dyDescent="0.3">
      <c r="A513" s="6" t="s">
        <v>1379</v>
      </c>
      <c r="B513" s="7" t="s">
        <v>139</v>
      </c>
      <c r="C513" s="7" t="s">
        <v>643</v>
      </c>
      <c r="D513" s="7" t="s">
        <v>27</v>
      </c>
      <c r="E513" s="7" t="s">
        <v>1380</v>
      </c>
      <c r="F513" s="7" t="s">
        <v>1381</v>
      </c>
      <c r="G513" s="7" t="s">
        <v>1382</v>
      </c>
      <c r="H513" s="7"/>
      <c r="I513" s="7" t="s">
        <v>1383</v>
      </c>
      <c r="J513" s="7" t="s">
        <v>1384</v>
      </c>
    </row>
    <row r="514" spans="1:10" x14ac:dyDescent="0.3">
      <c r="A514" s="6" t="s">
        <v>1408</v>
      </c>
      <c r="B514" s="7" t="s">
        <v>139</v>
      </c>
      <c r="C514" s="7" t="s">
        <v>643</v>
      </c>
      <c r="D514" s="7" t="s">
        <v>27</v>
      </c>
      <c r="E514" s="7" t="s">
        <v>1409</v>
      </c>
      <c r="F514" s="7" t="s">
        <v>1410</v>
      </c>
      <c r="G514" s="7" t="s">
        <v>1411</v>
      </c>
      <c r="H514" s="7"/>
      <c r="I514" s="7" t="s">
        <v>1383</v>
      </c>
      <c r="J514" s="7" t="s">
        <v>1384</v>
      </c>
    </row>
    <row r="515" spans="1:10" x14ac:dyDescent="0.3">
      <c r="A515" s="6" t="s">
        <v>1390</v>
      </c>
      <c r="B515" s="7" t="s">
        <v>139</v>
      </c>
      <c r="C515" s="7" t="s">
        <v>643</v>
      </c>
      <c r="D515" s="7" t="s">
        <v>27</v>
      </c>
      <c r="E515" s="7" t="s">
        <v>1391</v>
      </c>
      <c r="F515" s="7" t="s">
        <v>1392</v>
      </c>
      <c r="G515" s="7" t="s">
        <v>1393</v>
      </c>
      <c r="H515" s="7"/>
      <c r="I515" s="7" t="s">
        <v>1383</v>
      </c>
      <c r="J515" s="7" t="s">
        <v>1384</v>
      </c>
    </row>
    <row r="516" spans="1:10" x14ac:dyDescent="0.3">
      <c r="A516" s="6" t="s">
        <v>1357</v>
      </c>
      <c r="B516" s="7" t="s">
        <v>139</v>
      </c>
      <c r="C516" s="7" t="s">
        <v>643</v>
      </c>
      <c r="D516" s="7" t="s">
        <v>27</v>
      </c>
      <c r="E516" s="7" t="s">
        <v>1358</v>
      </c>
      <c r="F516" s="7"/>
      <c r="G516" s="7" t="s">
        <v>1359</v>
      </c>
      <c r="H516" s="7"/>
      <c r="I516" s="7" t="s">
        <v>1360</v>
      </c>
      <c r="J516" s="7" t="s">
        <v>1202</v>
      </c>
    </row>
    <row r="517" spans="1:10" x14ac:dyDescent="0.3">
      <c r="A517" s="6" t="s">
        <v>2335</v>
      </c>
      <c r="B517" s="7" t="s">
        <v>139</v>
      </c>
      <c r="C517" s="7" t="s">
        <v>643</v>
      </c>
      <c r="D517" s="7" t="s">
        <v>26</v>
      </c>
      <c r="E517" s="7" t="s">
        <v>576</v>
      </c>
      <c r="F517" s="7" t="s">
        <v>577</v>
      </c>
      <c r="G517" s="7" t="s">
        <v>2336</v>
      </c>
      <c r="H517" s="7"/>
      <c r="I517" s="7" t="s">
        <v>207</v>
      </c>
      <c r="J517" s="7" t="s">
        <v>169</v>
      </c>
    </row>
    <row r="518" spans="1:10" x14ac:dyDescent="0.3">
      <c r="A518" s="6" t="s">
        <v>748</v>
      </c>
      <c r="B518" s="7" t="s">
        <v>139</v>
      </c>
      <c r="C518" s="7" t="s">
        <v>643</v>
      </c>
      <c r="D518" s="7" t="s">
        <v>12</v>
      </c>
      <c r="E518" s="7" t="s">
        <v>591</v>
      </c>
      <c r="F518" s="7" t="s">
        <v>592</v>
      </c>
      <c r="G518" s="7" t="s">
        <v>749</v>
      </c>
      <c r="H518" s="7">
        <v>4</v>
      </c>
      <c r="I518" s="7" t="s">
        <v>306</v>
      </c>
      <c r="J518" s="7" t="s">
        <v>149</v>
      </c>
    </row>
    <row r="519" spans="1:10" x14ac:dyDescent="0.3">
      <c r="A519" s="6" t="s">
        <v>750</v>
      </c>
      <c r="B519" s="7" t="s">
        <v>139</v>
      </c>
      <c r="C519" s="7" t="s">
        <v>643</v>
      </c>
      <c r="D519" s="7" t="s">
        <v>12</v>
      </c>
      <c r="E519" s="7" t="s">
        <v>751</v>
      </c>
      <c r="F519" s="7" t="s">
        <v>752</v>
      </c>
      <c r="G519" s="7" t="s">
        <v>753</v>
      </c>
      <c r="H519" s="7">
        <v>10</v>
      </c>
      <c r="I519" s="7" t="s">
        <v>396</v>
      </c>
      <c r="J519" s="7" t="s">
        <v>737</v>
      </c>
    </row>
    <row r="520" spans="1:10" x14ac:dyDescent="0.3">
      <c r="A520" s="6" t="s">
        <v>1680</v>
      </c>
      <c r="B520" s="7" t="s">
        <v>139</v>
      </c>
      <c r="C520" s="7" t="s">
        <v>643</v>
      </c>
      <c r="D520" s="7" t="s">
        <v>32</v>
      </c>
      <c r="E520" s="7" t="s">
        <v>1677</v>
      </c>
      <c r="F520" s="7" t="s">
        <v>1678</v>
      </c>
      <c r="G520" s="7" t="s">
        <v>1681</v>
      </c>
      <c r="H520" s="7">
        <v>6</v>
      </c>
      <c r="I520" s="7" t="s">
        <v>1682</v>
      </c>
      <c r="J520" s="7" t="s">
        <v>1683</v>
      </c>
    </row>
    <row r="521" spans="1:10" x14ac:dyDescent="0.3">
      <c r="A521" s="6" t="s">
        <v>1649</v>
      </c>
      <c r="B521" s="7" t="s">
        <v>139</v>
      </c>
      <c r="C521" s="7" t="s">
        <v>643</v>
      </c>
      <c r="D521" s="7" t="s">
        <v>32</v>
      </c>
      <c r="E521" s="7" t="s">
        <v>1650</v>
      </c>
      <c r="F521" s="7" t="s">
        <v>1651</v>
      </c>
      <c r="G521" s="7" t="s">
        <v>1652</v>
      </c>
      <c r="H521" s="7">
        <v>165</v>
      </c>
      <c r="I521" s="7" t="s">
        <v>1097</v>
      </c>
      <c r="J521" s="7" t="s">
        <v>1653</v>
      </c>
    </row>
    <row r="522" spans="1:10" x14ac:dyDescent="0.3">
      <c r="A522" s="6" t="s">
        <v>1460</v>
      </c>
      <c r="B522" s="7" t="s">
        <v>139</v>
      </c>
      <c r="C522" s="7" t="s">
        <v>643</v>
      </c>
      <c r="D522" s="7" t="s">
        <v>30</v>
      </c>
      <c r="E522" s="7" t="s">
        <v>1457</v>
      </c>
      <c r="F522" s="7" t="s">
        <v>1458</v>
      </c>
      <c r="G522" s="7" t="s">
        <v>1461</v>
      </c>
      <c r="H522" s="7">
        <v>20</v>
      </c>
      <c r="I522" s="7" t="s">
        <v>1462</v>
      </c>
      <c r="J522" s="7" t="s">
        <v>1463</v>
      </c>
    </row>
    <row r="523" spans="1:10" x14ac:dyDescent="0.3">
      <c r="A523" s="6" t="s">
        <v>1496</v>
      </c>
      <c r="B523" s="7" t="s">
        <v>139</v>
      </c>
      <c r="C523" s="7" t="s">
        <v>643</v>
      </c>
      <c r="D523" s="7" t="s">
        <v>30</v>
      </c>
      <c r="E523" s="7" t="s">
        <v>1497</v>
      </c>
      <c r="F523" s="7" t="s">
        <v>1498</v>
      </c>
      <c r="G523" s="7" t="s">
        <v>1499</v>
      </c>
      <c r="H523" s="7">
        <v>24</v>
      </c>
      <c r="I523" s="7" t="s">
        <v>1500</v>
      </c>
      <c r="J523" s="7" t="s">
        <v>1501</v>
      </c>
    </row>
    <row r="524" spans="1:10" x14ac:dyDescent="0.3">
      <c r="A524" s="6" t="s">
        <v>1475</v>
      </c>
      <c r="B524" s="7" t="s">
        <v>139</v>
      </c>
      <c r="C524" s="7" t="s">
        <v>643</v>
      </c>
      <c r="D524" s="7" t="s">
        <v>30</v>
      </c>
      <c r="E524" s="7" t="s">
        <v>1472</v>
      </c>
      <c r="F524" s="7" t="s">
        <v>1473</v>
      </c>
      <c r="G524" s="7" t="s">
        <v>1476</v>
      </c>
      <c r="H524" s="7">
        <v>1</v>
      </c>
      <c r="I524" s="7" t="s">
        <v>196</v>
      </c>
      <c r="J524" s="7" t="s">
        <v>1477</v>
      </c>
    </row>
    <row r="525" spans="1:10" x14ac:dyDescent="0.3">
      <c r="A525" s="6" t="s">
        <v>1550</v>
      </c>
      <c r="B525" s="7" t="s">
        <v>139</v>
      </c>
      <c r="C525" s="7" t="s">
        <v>643</v>
      </c>
      <c r="D525" s="7" t="s">
        <v>30</v>
      </c>
      <c r="E525" s="7" t="s">
        <v>1546</v>
      </c>
      <c r="F525" s="7" t="s">
        <v>1547</v>
      </c>
      <c r="G525" s="7" t="s">
        <v>1551</v>
      </c>
      <c r="H525" s="7">
        <v>27</v>
      </c>
      <c r="I525" s="7" t="s">
        <v>237</v>
      </c>
      <c r="J525" s="7" t="s">
        <v>737</v>
      </c>
    </row>
    <row r="526" spans="1:10" x14ac:dyDescent="0.3">
      <c r="A526" s="6" t="s">
        <v>1688</v>
      </c>
      <c r="B526" s="7" t="s">
        <v>139</v>
      </c>
      <c r="C526" s="7" t="s">
        <v>643</v>
      </c>
      <c r="D526" s="7" t="s">
        <v>32</v>
      </c>
      <c r="E526" s="7" t="s">
        <v>1689</v>
      </c>
      <c r="F526" s="7" t="s">
        <v>1307</v>
      </c>
      <c r="G526" s="7" t="s">
        <v>1690</v>
      </c>
      <c r="H526" s="7">
        <v>62</v>
      </c>
      <c r="I526" s="7" t="s">
        <v>1249</v>
      </c>
      <c r="J526" s="7" t="s">
        <v>174</v>
      </c>
    </row>
    <row r="527" spans="1:10" x14ac:dyDescent="0.3">
      <c r="A527" s="6" t="s">
        <v>1342</v>
      </c>
      <c r="B527" s="7" t="s">
        <v>139</v>
      </c>
      <c r="C527" s="7" t="s">
        <v>643</v>
      </c>
      <c r="D527" s="7" t="s">
        <v>27</v>
      </c>
      <c r="E527" s="7" t="s">
        <v>1343</v>
      </c>
      <c r="F527" s="7" t="s">
        <v>645</v>
      </c>
      <c r="G527" s="7" t="s">
        <v>1344</v>
      </c>
      <c r="H527" s="7"/>
      <c r="I527" s="7" t="s">
        <v>1345</v>
      </c>
      <c r="J527" s="7" t="s">
        <v>1346</v>
      </c>
    </row>
    <row r="528" spans="1:10" x14ac:dyDescent="0.3">
      <c r="A528" s="6" t="s">
        <v>2350</v>
      </c>
      <c r="B528" s="7" t="s">
        <v>139</v>
      </c>
      <c r="C528" s="7" t="s">
        <v>643</v>
      </c>
      <c r="D528" s="7" t="s">
        <v>26</v>
      </c>
      <c r="E528" s="7" t="s">
        <v>1141</v>
      </c>
      <c r="F528" s="7" t="s">
        <v>1142</v>
      </c>
      <c r="G528" s="7" t="s">
        <v>2351</v>
      </c>
      <c r="H528" s="7"/>
      <c r="I528" s="7" t="s">
        <v>1389</v>
      </c>
      <c r="J528" s="7" t="s">
        <v>2353</v>
      </c>
    </row>
    <row r="529" spans="1:10" x14ac:dyDescent="0.3">
      <c r="A529" s="6" t="s">
        <v>2281</v>
      </c>
      <c r="B529" s="7" t="s">
        <v>139</v>
      </c>
      <c r="C529" s="7" t="s">
        <v>643</v>
      </c>
      <c r="D529" s="7" t="s">
        <v>23</v>
      </c>
      <c r="E529" s="7" t="s">
        <v>576</v>
      </c>
      <c r="F529" s="7" t="s">
        <v>577</v>
      </c>
      <c r="G529" s="7" t="s">
        <v>2282</v>
      </c>
      <c r="H529" s="7"/>
      <c r="I529" s="7" t="s">
        <v>148</v>
      </c>
      <c r="J529" s="7" t="s">
        <v>2286</v>
      </c>
    </row>
    <row r="530" spans="1:10" x14ac:dyDescent="0.3">
      <c r="A530" s="6" t="s">
        <v>1752</v>
      </c>
      <c r="B530" s="7" t="s">
        <v>139</v>
      </c>
      <c r="C530" s="7" t="s">
        <v>643</v>
      </c>
      <c r="D530" s="7" t="s">
        <v>12</v>
      </c>
      <c r="E530" s="7" t="s">
        <v>1753</v>
      </c>
      <c r="F530" s="7" t="s">
        <v>1754</v>
      </c>
      <c r="G530" s="7" t="s">
        <v>1755</v>
      </c>
      <c r="H530" s="7">
        <v>38</v>
      </c>
      <c r="I530" s="7" t="s">
        <v>87</v>
      </c>
      <c r="J530" s="7" t="s">
        <v>1757</v>
      </c>
    </row>
    <row r="531" spans="1:10" x14ac:dyDescent="0.3">
      <c r="A531" s="6" t="s">
        <v>663</v>
      </c>
      <c r="B531" s="7" t="s">
        <v>139</v>
      </c>
      <c r="C531" s="7" t="s">
        <v>643</v>
      </c>
      <c r="D531" s="7" t="s">
        <v>12</v>
      </c>
      <c r="E531" s="7" t="s">
        <v>664</v>
      </c>
      <c r="F531" s="7" t="s">
        <v>665</v>
      </c>
      <c r="G531" s="7" t="s">
        <v>666</v>
      </c>
      <c r="H531" s="7">
        <v>19</v>
      </c>
      <c r="I531" s="7" t="s">
        <v>390</v>
      </c>
      <c r="J531" s="7" t="s">
        <v>391</v>
      </c>
    </row>
    <row r="532" spans="1:10" x14ac:dyDescent="0.3">
      <c r="A532" s="6" t="s">
        <v>1625</v>
      </c>
      <c r="B532" s="7" t="s">
        <v>139</v>
      </c>
      <c r="C532" s="7" t="s">
        <v>643</v>
      </c>
      <c r="D532" s="7" t="s">
        <v>32</v>
      </c>
      <c r="E532" s="7" t="s">
        <v>1626</v>
      </c>
      <c r="F532" s="7" t="s">
        <v>1627</v>
      </c>
      <c r="G532" s="7" t="s">
        <v>1628</v>
      </c>
      <c r="H532" s="7">
        <v>15</v>
      </c>
      <c r="I532" s="7" t="s">
        <v>1629</v>
      </c>
      <c r="J532" s="7" t="s">
        <v>174</v>
      </c>
    </row>
    <row r="533" spans="1:10" x14ac:dyDescent="0.3">
      <c r="A533" s="6" t="s">
        <v>1478</v>
      </c>
      <c r="B533" s="7" t="s">
        <v>139</v>
      </c>
      <c r="C533" s="7" t="s">
        <v>643</v>
      </c>
      <c r="D533" s="7" t="s">
        <v>30</v>
      </c>
      <c r="E533" s="7" t="s">
        <v>1472</v>
      </c>
      <c r="F533" s="7" t="s">
        <v>1473</v>
      </c>
      <c r="G533" s="7" t="s">
        <v>1479</v>
      </c>
      <c r="H533" s="7">
        <v>8</v>
      </c>
      <c r="I533" s="7" t="s">
        <v>196</v>
      </c>
      <c r="J533" s="7" t="s">
        <v>1480</v>
      </c>
    </row>
    <row r="534" spans="1:10" x14ac:dyDescent="0.3">
      <c r="A534" s="6" t="s">
        <v>1520</v>
      </c>
      <c r="B534" s="7" t="s">
        <v>139</v>
      </c>
      <c r="C534" s="7" t="s">
        <v>643</v>
      </c>
      <c r="D534" s="7" t="s">
        <v>30</v>
      </c>
      <c r="E534" s="7" t="s">
        <v>1521</v>
      </c>
      <c r="F534" s="7" t="s">
        <v>1522</v>
      </c>
      <c r="G534" s="7" t="s">
        <v>1523</v>
      </c>
      <c r="H534" s="7">
        <v>3</v>
      </c>
      <c r="I534" s="7" t="s">
        <v>196</v>
      </c>
      <c r="J534" s="7" t="s">
        <v>493</v>
      </c>
    </row>
    <row r="535" spans="1:10" x14ac:dyDescent="0.3">
      <c r="A535" s="6" t="s">
        <v>1524</v>
      </c>
      <c r="B535" s="7" t="s">
        <v>139</v>
      </c>
      <c r="C535" s="7" t="s">
        <v>643</v>
      </c>
      <c r="D535" s="7" t="s">
        <v>30</v>
      </c>
      <c r="E535" s="7" t="s">
        <v>1521</v>
      </c>
      <c r="F535" s="7" t="s">
        <v>1522</v>
      </c>
      <c r="G535" s="7" t="s">
        <v>1525</v>
      </c>
      <c r="H535" s="7">
        <v>3</v>
      </c>
      <c r="I535" s="7" t="s">
        <v>1526</v>
      </c>
      <c r="J535" s="7" t="s">
        <v>1527</v>
      </c>
    </row>
    <row r="536" spans="1:10" x14ac:dyDescent="0.3">
      <c r="A536" s="6" t="s">
        <v>680</v>
      </c>
      <c r="B536" s="7" t="s">
        <v>139</v>
      </c>
      <c r="C536" s="7" t="s">
        <v>643</v>
      </c>
      <c r="D536" s="7" t="s">
        <v>12</v>
      </c>
      <c r="E536" s="7" t="s">
        <v>675</v>
      </c>
      <c r="F536" s="7" t="s">
        <v>676</v>
      </c>
      <c r="G536" s="7" t="s">
        <v>681</v>
      </c>
      <c r="H536" s="7">
        <v>49</v>
      </c>
      <c r="I536" s="7" t="s">
        <v>682</v>
      </c>
      <c r="J536" s="7" t="s">
        <v>679</v>
      </c>
    </row>
    <row r="537" spans="1:10" x14ac:dyDescent="0.3">
      <c r="A537" s="6" t="s">
        <v>1486</v>
      </c>
      <c r="B537" s="7" t="s">
        <v>139</v>
      </c>
      <c r="C537" s="7" t="s">
        <v>643</v>
      </c>
      <c r="D537" s="7" t="s">
        <v>30</v>
      </c>
      <c r="E537" s="7" t="s">
        <v>1487</v>
      </c>
      <c r="F537" s="7" t="s">
        <v>1488</v>
      </c>
      <c r="G537" s="7" t="s">
        <v>1489</v>
      </c>
      <c r="H537" s="7">
        <v>24</v>
      </c>
      <c r="I537" s="7" t="s">
        <v>196</v>
      </c>
      <c r="J537" s="7" t="s">
        <v>1490</v>
      </c>
    </row>
    <row r="538" spans="1:10" x14ac:dyDescent="0.3">
      <c r="A538" s="6" t="s">
        <v>2636</v>
      </c>
      <c r="B538" s="7" t="s">
        <v>2637</v>
      </c>
      <c r="C538" s="7" t="s">
        <v>2638</v>
      </c>
      <c r="D538" s="7" t="s">
        <v>38</v>
      </c>
      <c r="E538" s="7" t="s">
        <v>2639</v>
      </c>
      <c r="F538" s="7" t="s">
        <v>1142</v>
      </c>
      <c r="G538" s="7" t="s">
        <v>2640</v>
      </c>
      <c r="H538" s="7">
        <v>3</v>
      </c>
      <c r="I538" s="7" t="s">
        <v>2644</v>
      </c>
      <c r="J538" s="7" t="s">
        <v>1260</v>
      </c>
    </row>
    <row r="539" spans="1:10" x14ac:dyDescent="0.3">
      <c r="A539" s="6" t="s">
        <v>734</v>
      </c>
      <c r="B539" s="7" t="s">
        <v>139</v>
      </c>
      <c r="C539" s="7" t="s">
        <v>643</v>
      </c>
      <c r="D539" s="7" t="s">
        <v>12</v>
      </c>
      <c r="E539" s="7" t="s">
        <v>735</v>
      </c>
      <c r="F539" s="7" t="s">
        <v>577</v>
      </c>
      <c r="G539" s="7" t="s">
        <v>736</v>
      </c>
      <c r="H539" s="7">
        <v>5</v>
      </c>
      <c r="I539" s="7" t="s">
        <v>396</v>
      </c>
      <c r="J539" s="7" t="s">
        <v>737</v>
      </c>
    </row>
    <row r="540" spans="1:10" x14ac:dyDescent="0.3">
      <c r="A540" s="6" t="s">
        <v>1666</v>
      </c>
      <c r="B540" s="7" t="s">
        <v>139</v>
      </c>
      <c r="C540" s="7" t="s">
        <v>643</v>
      </c>
      <c r="D540" s="7" t="s">
        <v>32</v>
      </c>
      <c r="E540" s="7" t="s">
        <v>1667</v>
      </c>
      <c r="F540" s="7" t="s">
        <v>1668</v>
      </c>
      <c r="G540" s="7" t="s">
        <v>1669</v>
      </c>
      <c r="H540" s="7">
        <v>3</v>
      </c>
      <c r="I540" s="7" t="s">
        <v>1670</v>
      </c>
      <c r="J540" s="7" t="s">
        <v>1671</v>
      </c>
    </row>
    <row r="541" spans="1:10" x14ac:dyDescent="0.3">
      <c r="A541" s="6" t="s">
        <v>1640</v>
      </c>
      <c r="B541" s="7" t="s">
        <v>139</v>
      </c>
      <c r="C541" s="7" t="s">
        <v>643</v>
      </c>
      <c r="D541" s="7" t="s">
        <v>32</v>
      </c>
      <c r="E541" s="7" t="s">
        <v>1641</v>
      </c>
      <c r="F541" s="7"/>
      <c r="G541" s="7" t="s">
        <v>1642</v>
      </c>
      <c r="H541" s="7">
        <v>2</v>
      </c>
      <c r="I541" s="7" t="s">
        <v>418</v>
      </c>
      <c r="J541" s="7" t="s">
        <v>1643</v>
      </c>
    </row>
    <row r="542" spans="1:10" x14ac:dyDescent="0.3">
      <c r="A542" s="6" t="s">
        <v>1449</v>
      </c>
      <c r="B542" s="7" t="s">
        <v>139</v>
      </c>
      <c r="C542" s="7" t="s">
        <v>643</v>
      </c>
      <c r="D542" s="7" t="s">
        <v>30</v>
      </c>
      <c r="E542" s="7" t="s">
        <v>1446</v>
      </c>
      <c r="F542" s="7" t="s">
        <v>1447</v>
      </c>
      <c r="G542" s="7" t="s">
        <v>1450</v>
      </c>
      <c r="H542" s="7">
        <v>50</v>
      </c>
      <c r="I542" s="7" t="s">
        <v>1133</v>
      </c>
      <c r="J542" s="7" t="s">
        <v>1451</v>
      </c>
    </row>
    <row r="543" spans="1:10" x14ac:dyDescent="0.3">
      <c r="A543" s="6" t="s">
        <v>2613</v>
      </c>
      <c r="B543" s="7" t="s">
        <v>139</v>
      </c>
      <c r="C543" s="7" t="s">
        <v>643</v>
      </c>
      <c r="D543" s="7" t="s">
        <v>36</v>
      </c>
      <c r="E543" s="7" t="s">
        <v>576</v>
      </c>
      <c r="F543" s="7" t="s">
        <v>577</v>
      </c>
      <c r="G543" s="7" t="s">
        <v>2614</v>
      </c>
      <c r="H543" s="7"/>
      <c r="I543" s="7" t="s">
        <v>602</v>
      </c>
      <c r="J543" s="7" t="s">
        <v>871</v>
      </c>
    </row>
    <row r="544" spans="1:10" x14ac:dyDescent="0.3">
      <c r="A544" s="6" t="s">
        <v>1882</v>
      </c>
      <c r="B544" s="7" t="s">
        <v>139</v>
      </c>
      <c r="C544" s="7" t="s">
        <v>773</v>
      </c>
      <c r="D544" s="7" t="s">
        <v>16</v>
      </c>
      <c r="E544" s="7" t="s">
        <v>1141</v>
      </c>
      <c r="F544" s="7" t="s">
        <v>1142</v>
      </c>
      <c r="G544" s="7" t="s">
        <v>1883</v>
      </c>
      <c r="H544" s="7">
        <v>42</v>
      </c>
      <c r="I544" s="7" t="s">
        <v>1030</v>
      </c>
      <c r="J544" s="7" t="s">
        <v>1887</v>
      </c>
    </row>
    <row r="545" spans="1:10" x14ac:dyDescent="0.3">
      <c r="A545" s="6" t="s">
        <v>1877</v>
      </c>
      <c r="B545" s="7" t="s">
        <v>139</v>
      </c>
      <c r="C545" s="7" t="s">
        <v>773</v>
      </c>
      <c r="D545" s="7" t="s">
        <v>16</v>
      </c>
      <c r="E545" s="7" t="s">
        <v>1128</v>
      </c>
      <c r="F545" s="7" t="s">
        <v>1129</v>
      </c>
      <c r="G545" s="7" t="s">
        <v>1878</v>
      </c>
      <c r="H545" s="7">
        <v>1</v>
      </c>
      <c r="I545" s="7" t="s">
        <v>1309</v>
      </c>
      <c r="J545" s="7" t="s">
        <v>1881</v>
      </c>
    </row>
    <row r="546" spans="1:10" x14ac:dyDescent="0.3">
      <c r="A546" s="6" t="s">
        <v>2320</v>
      </c>
      <c r="B546" s="7" t="s">
        <v>139</v>
      </c>
      <c r="C546" s="7" t="s">
        <v>643</v>
      </c>
      <c r="D546" s="7" t="s">
        <v>26</v>
      </c>
      <c r="E546" s="7" t="s">
        <v>2316</v>
      </c>
      <c r="F546" s="7" t="s">
        <v>366</v>
      </c>
      <c r="G546" s="7" t="s">
        <v>2321</v>
      </c>
      <c r="H546" s="7"/>
      <c r="I546" s="7" t="s">
        <v>2323</v>
      </c>
      <c r="J546" s="7" t="s">
        <v>208</v>
      </c>
    </row>
    <row r="547" spans="1:10" x14ac:dyDescent="0.3">
      <c r="A547" s="6" t="s">
        <v>2673</v>
      </c>
      <c r="B547" s="7" t="s">
        <v>1334</v>
      </c>
      <c r="C547" s="7" t="s">
        <v>1156</v>
      </c>
      <c r="D547" s="7" t="s">
        <v>25</v>
      </c>
      <c r="E547" s="7" t="s">
        <v>2674</v>
      </c>
      <c r="F547" s="7" t="s">
        <v>2675</v>
      </c>
      <c r="G547" s="7" t="s">
        <v>2676</v>
      </c>
      <c r="H547" s="7">
        <v>12</v>
      </c>
      <c r="I547" s="7"/>
      <c r="J547" s="7"/>
    </row>
    <row r="548" spans="1:10" x14ac:dyDescent="0.3">
      <c r="A548" s="6" t="s">
        <v>671</v>
      </c>
      <c r="B548" s="7" t="s">
        <v>139</v>
      </c>
      <c r="C548" s="7" t="s">
        <v>643</v>
      </c>
      <c r="D548" s="7" t="s">
        <v>12</v>
      </c>
      <c r="E548" s="7" t="s">
        <v>668</v>
      </c>
      <c r="F548" s="7" t="s">
        <v>669</v>
      </c>
      <c r="G548" s="7" t="s">
        <v>672</v>
      </c>
      <c r="H548" s="7">
        <v>12</v>
      </c>
      <c r="I548" s="7" t="s">
        <v>673</v>
      </c>
      <c r="J548" s="7" t="s">
        <v>184</v>
      </c>
    </row>
    <row r="549" spans="1:10" x14ac:dyDescent="0.3">
      <c r="A549" s="6" t="s">
        <v>1723</v>
      </c>
      <c r="B549" s="7" t="s">
        <v>139</v>
      </c>
      <c r="C549" s="7" t="s">
        <v>643</v>
      </c>
      <c r="D549" s="7" t="s">
        <v>12</v>
      </c>
      <c r="E549" s="7" t="s">
        <v>1724</v>
      </c>
      <c r="F549" s="7" t="s">
        <v>1580</v>
      </c>
      <c r="G549" s="7" t="s">
        <v>1725</v>
      </c>
      <c r="H549" s="7">
        <v>11</v>
      </c>
      <c r="I549" s="7" t="s">
        <v>1304</v>
      </c>
      <c r="J549" s="7" t="s">
        <v>174</v>
      </c>
    </row>
    <row r="550" spans="1:10" x14ac:dyDescent="0.3">
      <c r="A550" s="6" t="s">
        <v>2512</v>
      </c>
      <c r="B550" s="7" t="s">
        <v>139</v>
      </c>
      <c r="C550" s="7" t="s">
        <v>643</v>
      </c>
      <c r="D550" s="7" t="s">
        <v>32</v>
      </c>
      <c r="E550" s="7" t="s">
        <v>1631</v>
      </c>
      <c r="F550" s="7" t="s">
        <v>1632</v>
      </c>
      <c r="G550" s="7" t="s">
        <v>2513</v>
      </c>
      <c r="H550" s="7">
        <v>3</v>
      </c>
      <c r="I550" s="7" t="s">
        <v>427</v>
      </c>
      <c r="J550" s="7" t="s">
        <v>2515</v>
      </c>
    </row>
    <row r="551" spans="1:10" x14ac:dyDescent="0.3">
      <c r="A551" s="6" t="s">
        <v>1654</v>
      </c>
      <c r="B551" s="7" t="s">
        <v>139</v>
      </c>
      <c r="C551" s="7" t="s">
        <v>643</v>
      </c>
      <c r="D551" s="7" t="s">
        <v>32</v>
      </c>
      <c r="E551" s="7" t="s">
        <v>1655</v>
      </c>
      <c r="F551" s="7" t="s">
        <v>1656</v>
      </c>
      <c r="G551" s="7" t="s">
        <v>1657</v>
      </c>
      <c r="H551" s="7">
        <v>8</v>
      </c>
      <c r="I551" s="7" t="s">
        <v>858</v>
      </c>
      <c r="J551" s="7" t="s">
        <v>174</v>
      </c>
    </row>
    <row r="552" spans="1:10" x14ac:dyDescent="0.3">
      <c r="A552" s="6" t="s">
        <v>2462</v>
      </c>
      <c r="B552" s="7" t="s">
        <v>139</v>
      </c>
      <c r="C552" s="7" t="s">
        <v>643</v>
      </c>
      <c r="D552" s="7" t="s">
        <v>32</v>
      </c>
      <c r="E552" s="7" t="s">
        <v>2463</v>
      </c>
      <c r="F552" s="7" t="s">
        <v>2464</v>
      </c>
      <c r="G552" s="7" t="s">
        <v>2465</v>
      </c>
      <c r="H552" s="7">
        <v>6</v>
      </c>
      <c r="I552" s="7" t="s">
        <v>224</v>
      </c>
      <c r="J552" s="7" t="s">
        <v>2468</v>
      </c>
    </row>
    <row r="553" spans="1:10" x14ac:dyDescent="0.3">
      <c r="A553" s="6" t="s">
        <v>2497</v>
      </c>
      <c r="B553" s="7" t="s">
        <v>139</v>
      </c>
      <c r="C553" s="7" t="s">
        <v>643</v>
      </c>
      <c r="D553" s="7" t="s">
        <v>32</v>
      </c>
      <c r="E553" s="7" t="s">
        <v>1616</v>
      </c>
      <c r="F553" s="7" t="s">
        <v>1617</v>
      </c>
      <c r="G553" s="7" t="s">
        <v>2498</v>
      </c>
      <c r="H553" s="7">
        <v>9</v>
      </c>
      <c r="I553" s="7" t="s">
        <v>556</v>
      </c>
      <c r="J553" s="7" t="s">
        <v>2496</v>
      </c>
    </row>
    <row r="554" spans="1:10" x14ac:dyDescent="0.3">
      <c r="A554" s="6" t="s">
        <v>2243</v>
      </c>
      <c r="B554" s="7" t="s">
        <v>139</v>
      </c>
      <c r="C554" s="7" t="s">
        <v>2049</v>
      </c>
      <c r="D554" s="7" t="s">
        <v>21</v>
      </c>
      <c r="E554" s="7" t="s">
        <v>2244</v>
      </c>
      <c r="F554" s="7"/>
      <c r="G554" s="7" t="s">
        <v>2245</v>
      </c>
      <c r="H554" s="7">
        <v>5</v>
      </c>
      <c r="I554" s="7" t="s">
        <v>518</v>
      </c>
      <c r="J554" s="7" t="s">
        <v>617</v>
      </c>
    </row>
    <row r="555" spans="1:10" x14ac:dyDescent="0.3">
      <c r="A555" s="6" t="s">
        <v>2093</v>
      </c>
      <c r="B555" s="7" t="s">
        <v>139</v>
      </c>
      <c r="C555" s="7" t="s">
        <v>2049</v>
      </c>
      <c r="D555" s="7" t="s">
        <v>21</v>
      </c>
      <c r="E555" s="7" t="s">
        <v>2094</v>
      </c>
      <c r="F555" s="7" t="s">
        <v>2095</v>
      </c>
      <c r="G555" s="7" t="s">
        <v>2096</v>
      </c>
      <c r="H555" s="7">
        <v>4</v>
      </c>
      <c r="I555" s="7" t="s">
        <v>2098</v>
      </c>
      <c r="J555" s="7" t="s">
        <v>771</v>
      </c>
    </row>
    <row r="556" spans="1:10" x14ac:dyDescent="0.3">
      <c r="A556" s="6" t="s">
        <v>2189</v>
      </c>
      <c r="B556" s="7" t="s">
        <v>139</v>
      </c>
      <c r="C556" s="7" t="s">
        <v>2049</v>
      </c>
      <c r="D556" s="7" t="s">
        <v>21</v>
      </c>
      <c r="E556" s="7" t="s">
        <v>2190</v>
      </c>
      <c r="F556" s="7" t="s">
        <v>2191</v>
      </c>
      <c r="G556" s="7" t="s">
        <v>2192</v>
      </c>
      <c r="H556" s="7">
        <v>1</v>
      </c>
      <c r="I556" s="7" t="s">
        <v>363</v>
      </c>
      <c r="J556" s="7" t="s">
        <v>174</v>
      </c>
    </row>
    <row r="557" spans="1:10" x14ac:dyDescent="0.3">
      <c r="A557" s="6" t="s">
        <v>2417</v>
      </c>
      <c r="B557" s="7" t="s">
        <v>139</v>
      </c>
      <c r="C557" s="7" t="s">
        <v>643</v>
      </c>
      <c r="D557" s="7" t="s">
        <v>30</v>
      </c>
      <c r="E557" s="7" t="s">
        <v>2418</v>
      </c>
      <c r="F557" s="7" t="s">
        <v>2419</v>
      </c>
      <c r="G557" s="7" t="s">
        <v>2420</v>
      </c>
      <c r="H557" s="7">
        <v>1</v>
      </c>
      <c r="I557" s="7" t="s">
        <v>536</v>
      </c>
      <c r="J557" s="7" t="s">
        <v>617</v>
      </c>
    </row>
    <row r="558" spans="1:10" x14ac:dyDescent="0.3">
      <c r="A558" s="6" t="s">
        <v>1541</v>
      </c>
      <c r="B558" s="7" t="s">
        <v>139</v>
      </c>
      <c r="C558" s="7" t="s">
        <v>643</v>
      </c>
      <c r="D558" s="7" t="s">
        <v>30</v>
      </c>
      <c r="E558" s="7" t="s">
        <v>1542</v>
      </c>
      <c r="F558" s="7" t="s">
        <v>1543</v>
      </c>
      <c r="G558" s="7" t="s">
        <v>1544</v>
      </c>
      <c r="H558" s="7">
        <v>7</v>
      </c>
      <c r="I558" s="7" t="s">
        <v>363</v>
      </c>
      <c r="J558" s="7" t="s">
        <v>617</v>
      </c>
    </row>
    <row r="559" spans="1:10" x14ac:dyDescent="0.3">
      <c r="A559" s="6" t="s">
        <v>2151</v>
      </c>
      <c r="B559" s="7" t="s">
        <v>139</v>
      </c>
      <c r="C559" s="7" t="s">
        <v>2049</v>
      </c>
      <c r="D559" s="7" t="s">
        <v>21</v>
      </c>
      <c r="E559" s="7" t="s">
        <v>2152</v>
      </c>
      <c r="F559" s="7" t="s">
        <v>2153</v>
      </c>
      <c r="G559" s="7" t="s">
        <v>2154</v>
      </c>
      <c r="H559" s="7">
        <v>7</v>
      </c>
      <c r="I559" s="7" t="s">
        <v>607</v>
      </c>
      <c r="J559" s="7" t="s">
        <v>1097</v>
      </c>
    </row>
    <row r="560" spans="1:10" x14ac:dyDescent="0.3">
      <c r="A560" s="6" t="s">
        <v>2198</v>
      </c>
      <c r="B560" s="7" t="s">
        <v>139</v>
      </c>
      <c r="C560" s="7" t="s">
        <v>2049</v>
      </c>
      <c r="D560" s="7" t="s">
        <v>21</v>
      </c>
      <c r="E560" s="7" t="s">
        <v>1637</v>
      </c>
      <c r="F560" s="7" t="s">
        <v>1638</v>
      </c>
      <c r="G560" s="7" t="s">
        <v>2199</v>
      </c>
      <c r="H560" s="7">
        <v>3</v>
      </c>
      <c r="I560" s="7" t="s">
        <v>2201</v>
      </c>
      <c r="J560" s="7" t="s">
        <v>174</v>
      </c>
    </row>
    <row r="561" spans="1:10" x14ac:dyDescent="0.3">
      <c r="A561" s="6" t="s">
        <v>2156</v>
      </c>
      <c r="B561" s="7" t="s">
        <v>139</v>
      </c>
      <c r="C561" s="7" t="s">
        <v>2049</v>
      </c>
      <c r="D561" s="7" t="s">
        <v>21</v>
      </c>
      <c r="E561" s="7" t="s">
        <v>2157</v>
      </c>
      <c r="F561" s="7" t="s">
        <v>2158</v>
      </c>
      <c r="G561" s="7" t="s">
        <v>2159</v>
      </c>
      <c r="H561" s="7">
        <v>11</v>
      </c>
      <c r="I561" s="7" t="s">
        <v>2161</v>
      </c>
      <c r="J561" s="7" t="s">
        <v>961</v>
      </c>
    </row>
    <row r="562" spans="1:10" x14ac:dyDescent="0.3">
      <c r="A562" s="6" t="s">
        <v>2219</v>
      </c>
      <c r="B562" s="7" t="s">
        <v>139</v>
      </c>
      <c r="C562" s="7" t="s">
        <v>2049</v>
      </c>
      <c r="D562" s="7" t="s">
        <v>21</v>
      </c>
      <c r="E562" s="7" t="s">
        <v>2215</v>
      </c>
      <c r="F562" s="7" t="s">
        <v>2216</v>
      </c>
      <c r="G562" s="7" t="s">
        <v>125</v>
      </c>
      <c r="H562" s="7">
        <v>3</v>
      </c>
      <c r="I562" s="7" t="s">
        <v>647</v>
      </c>
      <c r="J562" s="7" t="s">
        <v>174</v>
      </c>
    </row>
    <row r="563" spans="1:10" x14ac:dyDescent="0.3">
      <c r="A563" s="6" t="s">
        <v>2254</v>
      </c>
      <c r="B563" s="7" t="s">
        <v>139</v>
      </c>
      <c r="C563" s="7" t="s">
        <v>2049</v>
      </c>
      <c r="D563" s="7" t="s">
        <v>21</v>
      </c>
      <c r="E563" s="7" t="s">
        <v>2255</v>
      </c>
      <c r="F563" s="7" t="s">
        <v>2256</v>
      </c>
      <c r="G563" s="7" t="s">
        <v>125</v>
      </c>
      <c r="H563" s="7">
        <v>36</v>
      </c>
      <c r="I563" s="7" t="s">
        <v>390</v>
      </c>
      <c r="J563" s="7" t="s">
        <v>262</v>
      </c>
    </row>
    <row r="564" spans="1:10" x14ac:dyDescent="0.3">
      <c r="A564" s="6" t="s">
        <v>2109</v>
      </c>
      <c r="B564" s="7" t="s">
        <v>139</v>
      </c>
      <c r="C564" s="7" t="s">
        <v>2049</v>
      </c>
      <c r="D564" s="7" t="s">
        <v>21</v>
      </c>
      <c r="E564" s="7" t="s">
        <v>2105</v>
      </c>
      <c r="F564" s="7" t="s">
        <v>1215</v>
      </c>
      <c r="G564" s="7" t="s">
        <v>2110</v>
      </c>
      <c r="H564" s="7">
        <v>1</v>
      </c>
      <c r="I564" s="7" t="s">
        <v>2112</v>
      </c>
      <c r="J564" s="7" t="s">
        <v>1708</v>
      </c>
    </row>
    <row r="565" spans="1:10" x14ac:dyDescent="0.3">
      <c r="A565" s="6" t="s">
        <v>2194</v>
      </c>
      <c r="B565" s="7" t="s">
        <v>139</v>
      </c>
      <c r="C565" s="7" t="s">
        <v>2049</v>
      </c>
      <c r="D565" s="7" t="s">
        <v>21</v>
      </c>
      <c r="E565" s="7" t="s">
        <v>2190</v>
      </c>
      <c r="F565" s="7" t="s">
        <v>2191</v>
      </c>
      <c r="G565" s="7" t="s">
        <v>2195</v>
      </c>
      <c r="H565" s="7">
        <v>1</v>
      </c>
      <c r="I565" s="7" t="s">
        <v>349</v>
      </c>
      <c r="J565" s="7" t="s">
        <v>406</v>
      </c>
    </row>
    <row r="566" spans="1:10" x14ac:dyDescent="0.3">
      <c r="A566" s="6" t="s">
        <v>1672</v>
      </c>
      <c r="B566" s="7" t="s">
        <v>139</v>
      </c>
      <c r="C566" s="7" t="s">
        <v>643</v>
      </c>
      <c r="D566" s="7" t="s">
        <v>32</v>
      </c>
      <c r="E566" s="7" t="s">
        <v>1673</v>
      </c>
      <c r="F566" s="7" t="s">
        <v>1674</v>
      </c>
      <c r="G566" s="7" t="s">
        <v>1675</v>
      </c>
      <c r="H566" s="7">
        <v>4</v>
      </c>
      <c r="I566" s="7" t="s">
        <v>384</v>
      </c>
      <c r="J566" s="7" t="s">
        <v>174</v>
      </c>
    </row>
  </sheetData>
  <hyperlinks>
    <hyperlink ref="A1" location="'Dashboard-R'!A1" display="⬅️ Dashboard Principal" xr:uid="{00000000-0004-0000-0800-000000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90"/>
  <sheetViews>
    <sheetView showGridLines="0" showRowColHeaders="0" workbookViewId="0"/>
  </sheetViews>
  <sheetFormatPr baseColWidth="10" defaultColWidth="8.88671875" defaultRowHeight="14.4" x14ac:dyDescent="0.3"/>
  <sheetData>
    <row r="1" spans="1:10" ht="30" customHeight="1" x14ac:dyDescent="0.3">
      <c r="A1" s="1" t="s">
        <v>0</v>
      </c>
      <c r="B1" s="2"/>
      <c r="C1" s="2"/>
      <c r="D1" s="2"/>
      <c r="E1" s="2"/>
      <c r="F1" s="2"/>
      <c r="G1" s="2"/>
      <c r="H1" s="2"/>
      <c r="I1" s="2"/>
      <c r="J1" s="3" t="s">
        <v>1</v>
      </c>
    </row>
    <row r="2" spans="1:10" ht="25.05" customHeight="1" x14ac:dyDescent="0.3">
      <c r="A2" s="4" t="s">
        <v>129</v>
      </c>
      <c r="B2" s="5" t="s">
        <v>130</v>
      </c>
      <c r="C2" s="5" t="s">
        <v>131</v>
      </c>
      <c r="D2" s="5" t="s">
        <v>132</v>
      </c>
      <c r="E2" s="5" t="s">
        <v>133</v>
      </c>
      <c r="F2" s="5" t="s">
        <v>134</v>
      </c>
      <c r="G2" s="5" t="s">
        <v>50</v>
      </c>
      <c r="H2" s="5" t="s">
        <v>135</v>
      </c>
      <c r="I2" s="5" t="s">
        <v>136</v>
      </c>
      <c r="J2" s="5" t="s">
        <v>137</v>
      </c>
    </row>
    <row r="3" spans="1:10" x14ac:dyDescent="0.3">
      <c r="A3" s="6" t="s">
        <v>1702</v>
      </c>
      <c r="B3" s="7" t="s">
        <v>139</v>
      </c>
      <c r="C3" s="7" t="s">
        <v>643</v>
      </c>
      <c r="D3" s="7" t="s">
        <v>8</v>
      </c>
      <c r="E3" s="7" t="s">
        <v>576</v>
      </c>
      <c r="F3" s="7" t="s">
        <v>577</v>
      </c>
      <c r="G3" s="7" t="s">
        <v>1703</v>
      </c>
      <c r="H3" s="7"/>
      <c r="I3" s="7" t="s">
        <v>168</v>
      </c>
      <c r="J3" s="7" t="s">
        <v>1708</v>
      </c>
    </row>
    <row r="4" spans="1:10" ht="15" x14ac:dyDescent="0.3">
      <c r="A4" s="10"/>
      <c r="B4" s="11"/>
      <c r="C4" s="11"/>
      <c r="D4" s="11" t="s">
        <v>2713</v>
      </c>
      <c r="E4" s="11" t="s">
        <v>2714</v>
      </c>
      <c r="F4" s="11"/>
      <c r="G4" s="11" t="s">
        <v>2715</v>
      </c>
      <c r="H4" s="11">
        <v>0</v>
      </c>
      <c r="I4" s="11"/>
      <c r="J4" s="11"/>
    </row>
    <row r="5" spans="1:10" x14ac:dyDescent="0.3">
      <c r="A5" s="6" t="s">
        <v>2704</v>
      </c>
      <c r="B5" s="7" t="s">
        <v>139</v>
      </c>
      <c r="C5" s="7" t="s">
        <v>140</v>
      </c>
      <c r="D5" s="7" t="s">
        <v>10</v>
      </c>
      <c r="E5" s="7" t="s">
        <v>78</v>
      </c>
      <c r="F5" s="7" t="s">
        <v>2705</v>
      </c>
      <c r="G5" s="7" t="s">
        <v>77</v>
      </c>
      <c r="H5" s="7">
        <v>1</v>
      </c>
      <c r="I5" s="7" t="s">
        <v>75</v>
      </c>
      <c r="J5" s="7" t="s">
        <v>243</v>
      </c>
    </row>
    <row r="6" spans="1:10" x14ac:dyDescent="0.3">
      <c r="A6" s="6" t="s">
        <v>2703</v>
      </c>
      <c r="B6" s="7" t="s">
        <v>139</v>
      </c>
      <c r="C6" s="7" t="s">
        <v>140</v>
      </c>
      <c r="D6" s="7" t="s">
        <v>10</v>
      </c>
      <c r="E6" s="7" t="s">
        <v>78</v>
      </c>
      <c r="F6" s="7" t="s">
        <v>290</v>
      </c>
      <c r="G6" s="7" t="s">
        <v>77</v>
      </c>
      <c r="H6" s="7">
        <v>100</v>
      </c>
      <c r="I6" s="7" t="s">
        <v>75</v>
      </c>
      <c r="J6" s="7" t="s">
        <v>243</v>
      </c>
    </row>
    <row r="7" spans="1:10" x14ac:dyDescent="0.3">
      <c r="A7" s="6" t="s">
        <v>292</v>
      </c>
      <c r="B7" s="7" t="s">
        <v>139</v>
      </c>
      <c r="C7" s="7" t="s">
        <v>140</v>
      </c>
      <c r="D7" s="7" t="s">
        <v>10</v>
      </c>
      <c r="E7" s="7" t="s">
        <v>293</v>
      </c>
      <c r="F7" s="7" t="s">
        <v>294</v>
      </c>
      <c r="G7" s="7" t="s">
        <v>295</v>
      </c>
      <c r="H7" s="7">
        <v>7</v>
      </c>
      <c r="I7" s="7" t="s">
        <v>296</v>
      </c>
      <c r="J7" s="7" t="s">
        <v>297</v>
      </c>
    </row>
    <row r="8" spans="1:10" x14ac:dyDescent="0.3">
      <c r="A8" s="6" t="s">
        <v>304</v>
      </c>
      <c r="B8" s="7" t="s">
        <v>139</v>
      </c>
      <c r="C8" s="7" t="s">
        <v>140</v>
      </c>
      <c r="D8" s="7" t="s">
        <v>10</v>
      </c>
      <c r="E8" s="7" t="s">
        <v>299</v>
      </c>
      <c r="F8" s="7" t="s">
        <v>300</v>
      </c>
      <c r="G8" s="7" t="s">
        <v>305</v>
      </c>
      <c r="H8" s="7">
        <v>14</v>
      </c>
      <c r="I8" s="7" t="s">
        <v>306</v>
      </c>
      <c r="J8" s="7" t="s">
        <v>262</v>
      </c>
    </row>
    <row r="9" spans="1:10" x14ac:dyDescent="0.3">
      <c r="A9" s="6" t="s">
        <v>298</v>
      </c>
      <c r="B9" s="7" t="s">
        <v>139</v>
      </c>
      <c r="C9" s="7" t="s">
        <v>140</v>
      </c>
      <c r="D9" s="7" t="s">
        <v>10</v>
      </c>
      <c r="E9" s="7" t="s">
        <v>299</v>
      </c>
      <c r="F9" s="7" t="s">
        <v>300</v>
      </c>
      <c r="G9" s="7" t="s">
        <v>301</v>
      </c>
      <c r="H9" s="7">
        <v>14</v>
      </c>
      <c r="I9" s="7" t="s">
        <v>302</v>
      </c>
      <c r="J9" s="7" t="s">
        <v>303</v>
      </c>
    </row>
    <row r="10" spans="1:10" x14ac:dyDescent="0.3">
      <c r="A10" s="6" t="s">
        <v>307</v>
      </c>
      <c r="B10" s="7" t="s">
        <v>139</v>
      </c>
      <c r="C10" s="7" t="s">
        <v>140</v>
      </c>
      <c r="D10" s="7" t="s">
        <v>10</v>
      </c>
      <c r="E10" s="7" t="s">
        <v>308</v>
      </c>
      <c r="F10" s="7"/>
      <c r="G10" s="7" t="s">
        <v>309</v>
      </c>
      <c r="H10" s="7">
        <v>2</v>
      </c>
      <c r="I10" s="7" t="s">
        <v>207</v>
      </c>
      <c r="J10" s="7" t="s">
        <v>310</v>
      </c>
    </row>
    <row r="11" spans="1:10" x14ac:dyDescent="0.3">
      <c r="A11" s="6" t="s">
        <v>311</v>
      </c>
      <c r="B11" s="7" t="s">
        <v>139</v>
      </c>
      <c r="C11" s="7" t="s">
        <v>140</v>
      </c>
      <c r="D11" s="7" t="s">
        <v>10</v>
      </c>
      <c r="E11" s="7" t="s">
        <v>312</v>
      </c>
      <c r="F11" s="7" t="s">
        <v>313</v>
      </c>
      <c r="G11" s="7" t="s">
        <v>314</v>
      </c>
      <c r="H11" s="7">
        <v>3</v>
      </c>
      <c r="I11" s="7" t="s">
        <v>315</v>
      </c>
      <c r="J11" s="7" t="s">
        <v>174</v>
      </c>
    </row>
    <row r="12" spans="1:10" x14ac:dyDescent="0.3">
      <c r="A12" s="6" t="s">
        <v>316</v>
      </c>
      <c r="B12" s="7" t="s">
        <v>139</v>
      </c>
      <c r="C12" s="7" t="s">
        <v>140</v>
      </c>
      <c r="D12" s="7" t="s">
        <v>10</v>
      </c>
      <c r="E12" s="7" t="s">
        <v>317</v>
      </c>
      <c r="F12" s="7" t="s">
        <v>318</v>
      </c>
      <c r="G12" s="7" t="s">
        <v>319</v>
      </c>
      <c r="H12" s="7">
        <v>3</v>
      </c>
      <c r="I12" s="7" t="s">
        <v>320</v>
      </c>
      <c r="J12" s="7" t="s">
        <v>247</v>
      </c>
    </row>
    <row r="13" spans="1:10" x14ac:dyDescent="0.3">
      <c r="A13" s="6" t="s">
        <v>327</v>
      </c>
      <c r="B13" s="7" t="s">
        <v>139</v>
      </c>
      <c r="C13" s="7" t="s">
        <v>140</v>
      </c>
      <c r="D13" s="7" t="s">
        <v>10</v>
      </c>
      <c r="E13" s="7" t="s">
        <v>328</v>
      </c>
      <c r="F13" s="7" t="s">
        <v>329</v>
      </c>
      <c r="G13" s="7" t="s">
        <v>330</v>
      </c>
      <c r="H13" s="7">
        <v>15</v>
      </c>
      <c r="I13" s="7" t="s">
        <v>331</v>
      </c>
      <c r="J13" s="7" t="s">
        <v>332</v>
      </c>
    </row>
    <row r="14" spans="1:10" x14ac:dyDescent="0.3">
      <c r="A14" s="6" t="s">
        <v>342</v>
      </c>
      <c r="B14" s="7" t="s">
        <v>139</v>
      </c>
      <c r="C14" s="7" t="s">
        <v>140</v>
      </c>
      <c r="D14" s="7" t="s">
        <v>10</v>
      </c>
      <c r="E14" s="7" t="s">
        <v>343</v>
      </c>
      <c r="F14" s="7"/>
      <c r="G14" s="7" t="s">
        <v>344</v>
      </c>
      <c r="H14" s="7">
        <v>41</v>
      </c>
      <c r="I14" s="7" t="s">
        <v>345</v>
      </c>
      <c r="J14" s="7" t="s">
        <v>266</v>
      </c>
    </row>
    <row r="15" spans="1:10" x14ac:dyDescent="0.3">
      <c r="A15" s="6" t="s">
        <v>333</v>
      </c>
      <c r="B15" s="7" t="s">
        <v>139</v>
      </c>
      <c r="C15" s="7" t="s">
        <v>140</v>
      </c>
      <c r="D15" s="7" t="s">
        <v>10</v>
      </c>
      <c r="E15" s="7" t="s">
        <v>334</v>
      </c>
      <c r="F15" s="7"/>
      <c r="G15" s="7" t="s">
        <v>335</v>
      </c>
      <c r="H15" s="7">
        <v>25</v>
      </c>
      <c r="I15" s="7" t="s">
        <v>336</v>
      </c>
      <c r="J15" s="7" t="s">
        <v>337</v>
      </c>
    </row>
    <row r="16" spans="1:10" x14ac:dyDescent="0.3">
      <c r="A16" s="6" t="s">
        <v>338</v>
      </c>
      <c r="B16" s="7" t="s">
        <v>139</v>
      </c>
      <c r="C16" s="7" t="s">
        <v>140</v>
      </c>
      <c r="D16" s="7" t="s">
        <v>10</v>
      </c>
      <c r="E16" s="7" t="s">
        <v>334</v>
      </c>
      <c r="F16" s="7"/>
      <c r="G16" s="7" t="s">
        <v>339</v>
      </c>
      <c r="H16" s="7">
        <v>10</v>
      </c>
      <c r="I16" s="7" t="s">
        <v>340</v>
      </c>
      <c r="J16" s="7" t="s">
        <v>341</v>
      </c>
    </row>
    <row r="17" spans="1:10" x14ac:dyDescent="0.3">
      <c r="A17" s="6" t="s">
        <v>346</v>
      </c>
      <c r="B17" s="7" t="s">
        <v>139</v>
      </c>
      <c r="C17" s="7" t="s">
        <v>140</v>
      </c>
      <c r="D17" s="7" t="s">
        <v>10</v>
      </c>
      <c r="E17" s="7" t="s">
        <v>347</v>
      </c>
      <c r="F17" s="7"/>
      <c r="G17" s="7" t="s">
        <v>348</v>
      </c>
      <c r="H17" s="7">
        <v>5</v>
      </c>
      <c r="I17" s="7" t="s">
        <v>349</v>
      </c>
      <c r="J17" s="7" t="s">
        <v>350</v>
      </c>
    </row>
    <row r="18" spans="1:10" x14ac:dyDescent="0.3">
      <c r="A18" s="6" t="s">
        <v>321</v>
      </c>
      <c r="B18" s="7" t="s">
        <v>139</v>
      </c>
      <c r="C18" s="7" t="s">
        <v>140</v>
      </c>
      <c r="D18" s="7" t="s">
        <v>10</v>
      </c>
      <c r="E18" s="7" t="s">
        <v>322</v>
      </c>
      <c r="F18" s="7" t="s">
        <v>323</v>
      </c>
      <c r="G18" s="7" t="s">
        <v>324</v>
      </c>
      <c r="H18" s="7">
        <v>4</v>
      </c>
      <c r="I18" s="7" t="s">
        <v>325</v>
      </c>
      <c r="J18" s="7" t="s">
        <v>326</v>
      </c>
    </row>
    <row r="19" spans="1:10" x14ac:dyDescent="0.3">
      <c r="A19" s="6" t="s">
        <v>351</v>
      </c>
      <c r="B19" s="7" t="s">
        <v>139</v>
      </c>
      <c r="C19" s="7" t="s">
        <v>140</v>
      </c>
      <c r="D19" s="7" t="s">
        <v>10</v>
      </c>
      <c r="E19" s="7" t="s">
        <v>352</v>
      </c>
      <c r="F19" s="7" t="s">
        <v>353</v>
      </c>
      <c r="G19" s="7" t="s">
        <v>354</v>
      </c>
      <c r="H19" s="7">
        <v>5</v>
      </c>
      <c r="I19" s="7" t="s">
        <v>349</v>
      </c>
      <c r="J19" s="7" t="s">
        <v>355</v>
      </c>
    </row>
    <row r="20" spans="1:10" x14ac:dyDescent="0.3">
      <c r="A20" s="6" t="s">
        <v>361</v>
      </c>
      <c r="B20" s="7" t="s">
        <v>139</v>
      </c>
      <c r="C20" s="7" t="s">
        <v>140</v>
      </c>
      <c r="D20" s="7" t="s">
        <v>10</v>
      </c>
      <c r="E20" s="7" t="s">
        <v>357</v>
      </c>
      <c r="F20" s="7" t="s">
        <v>358</v>
      </c>
      <c r="G20" s="7" t="s">
        <v>362</v>
      </c>
      <c r="H20" s="7">
        <v>12</v>
      </c>
      <c r="I20" s="7" t="s">
        <v>363</v>
      </c>
      <c r="J20" s="7" t="s">
        <v>174</v>
      </c>
    </row>
    <row r="21" spans="1:10" x14ac:dyDescent="0.3">
      <c r="A21" s="6" t="s">
        <v>356</v>
      </c>
      <c r="B21" s="7" t="s">
        <v>139</v>
      </c>
      <c r="C21" s="7" t="s">
        <v>140</v>
      </c>
      <c r="D21" s="7" t="s">
        <v>10</v>
      </c>
      <c r="E21" s="7" t="s">
        <v>357</v>
      </c>
      <c r="F21" s="7" t="s">
        <v>358</v>
      </c>
      <c r="G21" s="7" t="s">
        <v>359</v>
      </c>
      <c r="H21" s="7">
        <v>8</v>
      </c>
      <c r="I21" s="7" t="s">
        <v>87</v>
      </c>
      <c r="J21" s="7" t="s">
        <v>360</v>
      </c>
    </row>
    <row r="22" spans="1:10" x14ac:dyDescent="0.3">
      <c r="A22" s="6" t="s">
        <v>364</v>
      </c>
      <c r="B22" s="7" t="s">
        <v>139</v>
      </c>
      <c r="C22" s="7" t="s">
        <v>140</v>
      </c>
      <c r="D22" s="7" t="s">
        <v>10</v>
      </c>
      <c r="E22" s="7" t="s">
        <v>365</v>
      </c>
      <c r="F22" s="7" t="s">
        <v>366</v>
      </c>
      <c r="G22" s="7" t="s">
        <v>367</v>
      </c>
      <c r="H22" s="7">
        <v>3</v>
      </c>
      <c r="I22" s="7" t="s">
        <v>368</v>
      </c>
      <c r="J22" s="7" t="s">
        <v>211</v>
      </c>
    </row>
    <row r="23" spans="1:10" x14ac:dyDescent="0.3">
      <c r="A23" s="6" t="s">
        <v>372</v>
      </c>
      <c r="B23" s="7" t="s">
        <v>139</v>
      </c>
      <c r="C23" s="7" t="s">
        <v>140</v>
      </c>
      <c r="D23" s="7" t="s">
        <v>10</v>
      </c>
      <c r="E23" s="7" t="s">
        <v>373</v>
      </c>
      <c r="F23" s="7"/>
      <c r="G23" s="7" t="s">
        <v>374</v>
      </c>
      <c r="H23" s="7">
        <v>3</v>
      </c>
      <c r="I23" s="7" t="s">
        <v>375</v>
      </c>
      <c r="J23" s="7" t="s">
        <v>262</v>
      </c>
    </row>
    <row r="24" spans="1:10" x14ac:dyDescent="0.3">
      <c r="A24" s="6" t="s">
        <v>369</v>
      </c>
      <c r="B24" s="7" t="s">
        <v>139</v>
      </c>
      <c r="C24" s="7" t="s">
        <v>140</v>
      </c>
      <c r="D24" s="7" t="s">
        <v>10</v>
      </c>
      <c r="E24" s="7" t="s">
        <v>370</v>
      </c>
      <c r="F24" s="7"/>
      <c r="G24" s="7" t="s">
        <v>371</v>
      </c>
      <c r="H24" s="7">
        <v>3</v>
      </c>
      <c r="I24" s="7" t="s">
        <v>315</v>
      </c>
      <c r="J24" s="7" t="s">
        <v>174</v>
      </c>
    </row>
    <row r="25" spans="1:10" x14ac:dyDescent="0.3">
      <c r="A25" s="6" t="s">
        <v>382</v>
      </c>
      <c r="B25" s="7" t="s">
        <v>139</v>
      </c>
      <c r="C25" s="7" t="s">
        <v>140</v>
      </c>
      <c r="D25" s="7" t="s">
        <v>10</v>
      </c>
      <c r="E25" s="7" t="s">
        <v>377</v>
      </c>
      <c r="F25" s="7" t="s">
        <v>378</v>
      </c>
      <c r="G25" s="7" t="s">
        <v>383</v>
      </c>
      <c r="H25" s="7">
        <v>5</v>
      </c>
      <c r="I25" s="7" t="s">
        <v>384</v>
      </c>
      <c r="J25" s="7" t="s">
        <v>385</v>
      </c>
    </row>
    <row r="26" spans="1:10" x14ac:dyDescent="0.3">
      <c r="A26" s="6" t="s">
        <v>376</v>
      </c>
      <c r="B26" s="7" t="s">
        <v>139</v>
      </c>
      <c r="C26" s="7" t="s">
        <v>140</v>
      </c>
      <c r="D26" s="7" t="s">
        <v>10</v>
      </c>
      <c r="E26" s="7" t="s">
        <v>377</v>
      </c>
      <c r="F26" s="7" t="s">
        <v>378</v>
      </c>
      <c r="G26" s="7" t="s">
        <v>379</v>
      </c>
      <c r="H26" s="7">
        <v>8</v>
      </c>
      <c r="I26" s="7" t="s">
        <v>380</v>
      </c>
      <c r="J26" s="7" t="s">
        <v>381</v>
      </c>
    </row>
    <row r="27" spans="1:10" x14ac:dyDescent="0.3">
      <c r="A27" s="6" t="s">
        <v>386</v>
      </c>
      <c r="B27" s="7" t="s">
        <v>139</v>
      </c>
      <c r="C27" s="7" t="s">
        <v>140</v>
      </c>
      <c r="D27" s="7" t="s">
        <v>10</v>
      </c>
      <c r="E27" s="7" t="s">
        <v>387</v>
      </c>
      <c r="F27" s="7" t="s">
        <v>388</v>
      </c>
      <c r="G27" s="7" t="s">
        <v>389</v>
      </c>
      <c r="H27" s="7">
        <v>2</v>
      </c>
      <c r="I27" s="7" t="s">
        <v>390</v>
      </c>
      <c r="J27" s="7" t="s">
        <v>391</v>
      </c>
    </row>
    <row r="28" spans="1:10" x14ac:dyDescent="0.3">
      <c r="A28" s="6" t="s">
        <v>392</v>
      </c>
      <c r="B28" s="7" t="s">
        <v>139</v>
      </c>
      <c r="C28" s="7" t="s">
        <v>140</v>
      </c>
      <c r="D28" s="7" t="s">
        <v>10</v>
      </c>
      <c r="E28" s="7" t="s">
        <v>393</v>
      </c>
      <c r="F28" s="7" t="s">
        <v>394</v>
      </c>
      <c r="G28" s="7" t="s">
        <v>395</v>
      </c>
      <c r="H28" s="7">
        <v>2</v>
      </c>
      <c r="I28" s="7" t="s">
        <v>396</v>
      </c>
      <c r="J28" s="7" t="s">
        <v>234</v>
      </c>
    </row>
    <row r="29" spans="1:10" x14ac:dyDescent="0.3">
      <c r="A29" s="6" t="s">
        <v>397</v>
      </c>
      <c r="B29" s="7" t="s">
        <v>139</v>
      </c>
      <c r="C29" s="7" t="s">
        <v>140</v>
      </c>
      <c r="D29" s="7" t="s">
        <v>10</v>
      </c>
      <c r="E29" s="7" t="s">
        <v>398</v>
      </c>
      <c r="F29" s="7"/>
      <c r="G29" s="7" t="s">
        <v>399</v>
      </c>
      <c r="H29" s="7">
        <v>4</v>
      </c>
      <c r="I29" s="7" t="s">
        <v>196</v>
      </c>
      <c r="J29" s="7" t="s">
        <v>174</v>
      </c>
    </row>
    <row r="30" spans="1:10" x14ac:dyDescent="0.3">
      <c r="A30" s="6" t="s">
        <v>400</v>
      </c>
      <c r="B30" s="7" t="s">
        <v>139</v>
      </c>
      <c r="C30" s="7" t="s">
        <v>140</v>
      </c>
      <c r="D30" s="7" t="s">
        <v>10</v>
      </c>
      <c r="E30" s="7" t="s">
        <v>401</v>
      </c>
      <c r="F30" s="7"/>
      <c r="G30" s="7" t="s">
        <v>402</v>
      </c>
      <c r="H30" s="7">
        <v>11</v>
      </c>
      <c r="I30" s="7" t="s">
        <v>396</v>
      </c>
      <c r="J30" s="7" t="s">
        <v>144</v>
      </c>
    </row>
    <row r="31" spans="1:10" x14ac:dyDescent="0.3">
      <c r="A31" s="6" t="s">
        <v>403</v>
      </c>
      <c r="B31" s="7" t="s">
        <v>139</v>
      </c>
      <c r="C31" s="7" t="s">
        <v>140</v>
      </c>
      <c r="D31" s="7" t="s">
        <v>10</v>
      </c>
      <c r="E31" s="7" t="s">
        <v>404</v>
      </c>
      <c r="F31" s="7"/>
      <c r="G31" s="7" t="s">
        <v>405</v>
      </c>
      <c r="H31" s="7">
        <v>4</v>
      </c>
      <c r="I31" s="7" t="s">
        <v>349</v>
      </c>
      <c r="J31" s="7" t="s">
        <v>406</v>
      </c>
    </row>
    <row r="32" spans="1:10" x14ac:dyDescent="0.3">
      <c r="A32" s="6" t="s">
        <v>287</v>
      </c>
      <c r="B32" s="7" t="s">
        <v>139</v>
      </c>
      <c r="C32" s="7" t="s">
        <v>140</v>
      </c>
      <c r="D32" s="7" t="s">
        <v>10</v>
      </c>
      <c r="E32" s="7" t="s">
        <v>78</v>
      </c>
      <c r="F32" s="7" t="s">
        <v>288</v>
      </c>
      <c r="G32" s="7" t="s">
        <v>77</v>
      </c>
      <c r="H32" s="7">
        <v>4</v>
      </c>
      <c r="I32" s="7" t="s">
        <v>75</v>
      </c>
      <c r="J32" s="7" t="s">
        <v>243</v>
      </c>
    </row>
    <row r="33" spans="1:10" x14ac:dyDescent="0.3">
      <c r="A33" s="6" t="s">
        <v>289</v>
      </c>
      <c r="B33" s="7" t="s">
        <v>139</v>
      </c>
      <c r="C33" s="7" t="s">
        <v>140</v>
      </c>
      <c r="D33" s="7" t="s">
        <v>10</v>
      </c>
      <c r="E33" s="7" t="s">
        <v>78</v>
      </c>
      <c r="F33" s="7" t="s">
        <v>290</v>
      </c>
      <c r="G33" s="7" t="s">
        <v>291</v>
      </c>
      <c r="H33" s="7">
        <v>8</v>
      </c>
      <c r="I33" s="7" t="s">
        <v>75</v>
      </c>
      <c r="J33" s="7" t="s">
        <v>243</v>
      </c>
    </row>
    <row r="34" spans="1:10" x14ac:dyDescent="0.3">
      <c r="A34" s="6" t="s">
        <v>282</v>
      </c>
      <c r="B34" s="7" t="s">
        <v>139</v>
      </c>
      <c r="C34" s="7" t="s">
        <v>140</v>
      </c>
      <c r="D34" s="7" t="s">
        <v>10</v>
      </c>
      <c r="E34" s="7" t="s">
        <v>283</v>
      </c>
      <c r="F34" s="7" t="s">
        <v>284</v>
      </c>
      <c r="G34" s="7" t="s">
        <v>285</v>
      </c>
      <c r="H34" s="7">
        <v>1</v>
      </c>
      <c r="I34" s="7" t="s">
        <v>286</v>
      </c>
      <c r="J34" s="7" t="s">
        <v>174</v>
      </c>
    </row>
    <row r="35" spans="1:10" x14ac:dyDescent="0.3">
      <c r="A35" s="6" t="s">
        <v>278</v>
      </c>
      <c r="B35" s="7" t="s">
        <v>139</v>
      </c>
      <c r="C35" s="7" t="s">
        <v>140</v>
      </c>
      <c r="D35" s="7" t="s">
        <v>10</v>
      </c>
      <c r="E35" s="7" t="s">
        <v>279</v>
      </c>
      <c r="F35" s="7" t="s">
        <v>280</v>
      </c>
      <c r="G35" s="7" t="s">
        <v>281</v>
      </c>
      <c r="H35" s="7">
        <v>24</v>
      </c>
      <c r="I35" s="7" t="s">
        <v>75</v>
      </c>
      <c r="J35" s="7" t="s">
        <v>243</v>
      </c>
    </row>
    <row r="36" spans="1:10" x14ac:dyDescent="0.3">
      <c r="A36" s="6" t="s">
        <v>161</v>
      </c>
      <c r="B36" s="7" t="s">
        <v>139</v>
      </c>
      <c r="C36" s="7" t="s">
        <v>140</v>
      </c>
      <c r="D36" s="7" t="s">
        <v>10</v>
      </c>
      <c r="E36" s="7" t="s">
        <v>156</v>
      </c>
      <c r="F36" s="7" t="s">
        <v>157</v>
      </c>
      <c r="G36" s="7" t="s">
        <v>162</v>
      </c>
      <c r="H36" s="7">
        <v>2</v>
      </c>
      <c r="I36" s="7" t="s">
        <v>163</v>
      </c>
      <c r="J36" s="7" t="s">
        <v>164</v>
      </c>
    </row>
    <row r="37" spans="1:10" x14ac:dyDescent="0.3">
      <c r="A37" s="6" t="s">
        <v>155</v>
      </c>
      <c r="B37" s="7" t="s">
        <v>139</v>
      </c>
      <c r="C37" s="7" t="s">
        <v>140</v>
      </c>
      <c r="D37" s="7" t="s">
        <v>10</v>
      </c>
      <c r="E37" s="7" t="s">
        <v>156</v>
      </c>
      <c r="F37" s="7" t="s">
        <v>157</v>
      </c>
      <c r="G37" s="7" t="s">
        <v>158</v>
      </c>
      <c r="H37" s="7">
        <v>1</v>
      </c>
      <c r="I37" s="7" t="s">
        <v>159</v>
      </c>
      <c r="J37" s="7" t="s">
        <v>160</v>
      </c>
    </row>
    <row r="38" spans="1:10" x14ac:dyDescent="0.3">
      <c r="A38" s="6" t="s">
        <v>165</v>
      </c>
      <c r="B38" s="7" t="s">
        <v>139</v>
      </c>
      <c r="C38" s="7" t="s">
        <v>140</v>
      </c>
      <c r="D38" s="7" t="s">
        <v>10</v>
      </c>
      <c r="E38" s="7" t="s">
        <v>166</v>
      </c>
      <c r="F38" s="7"/>
      <c r="G38" s="7" t="s">
        <v>167</v>
      </c>
      <c r="H38" s="7">
        <v>1</v>
      </c>
      <c r="I38" s="7" t="s">
        <v>168</v>
      </c>
      <c r="J38" s="7" t="s">
        <v>169</v>
      </c>
    </row>
    <row r="39" spans="1:10" x14ac:dyDescent="0.3">
      <c r="A39" s="6" t="s">
        <v>138</v>
      </c>
      <c r="B39" s="7" t="s">
        <v>139</v>
      </c>
      <c r="C39" s="7" t="s">
        <v>140</v>
      </c>
      <c r="D39" s="7" t="s">
        <v>10</v>
      </c>
      <c r="E39" s="7" t="s">
        <v>141</v>
      </c>
      <c r="F39" s="7"/>
      <c r="G39" s="7" t="s">
        <v>142</v>
      </c>
      <c r="H39" s="7">
        <v>8</v>
      </c>
      <c r="I39" s="7" t="s">
        <v>143</v>
      </c>
      <c r="J39" s="7" t="s">
        <v>144</v>
      </c>
    </row>
    <row r="40" spans="1:10" x14ac:dyDescent="0.3">
      <c r="A40" s="6" t="s">
        <v>170</v>
      </c>
      <c r="B40" s="7" t="s">
        <v>139</v>
      </c>
      <c r="C40" s="7" t="s">
        <v>140</v>
      </c>
      <c r="D40" s="7" t="s">
        <v>10</v>
      </c>
      <c r="E40" s="7" t="s">
        <v>171</v>
      </c>
      <c r="F40" s="7"/>
      <c r="G40" s="7" t="s">
        <v>172</v>
      </c>
      <c r="H40" s="7">
        <v>4</v>
      </c>
      <c r="I40" s="7" t="s">
        <v>173</v>
      </c>
      <c r="J40" s="7" t="s">
        <v>174</v>
      </c>
    </row>
    <row r="41" spans="1:10" x14ac:dyDescent="0.3">
      <c r="A41" s="6" t="s">
        <v>175</v>
      </c>
      <c r="B41" s="7" t="s">
        <v>139</v>
      </c>
      <c r="C41" s="7" t="s">
        <v>140</v>
      </c>
      <c r="D41" s="7" t="s">
        <v>10</v>
      </c>
      <c r="E41" s="7" t="s">
        <v>176</v>
      </c>
      <c r="F41" s="7" t="s">
        <v>177</v>
      </c>
      <c r="G41" s="7" t="s">
        <v>178</v>
      </c>
      <c r="H41" s="7">
        <v>4</v>
      </c>
      <c r="I41" s="7" t="s">
        <v>179</v>
      </c>
      <c r="J41" s="7" t="s">
        <v>180</v>
      </c>
    </row>
    <row r="42" spans="1:10" x14ac:dyDescent="0.3">
      <c r="A42" s="6" t="s">
        <v>181</v>
      </c>
      <c r="B42" s="7" t="s">
        <v>139</v>
      </c>
      <c r="C42" s="7" t="s">
        <v>140</v>
      </c>
      <c r="D42" s="7" t="s">
        <v>10</v>
      </c>
      <c r="E42" s="7" t="s">
        <v>182</v>
      </c>
      <c r="F42" s="7"/>
      <c r="G42" s="7" t="s">
        <v>183</v>
      </c>
      <c r="H42" s="7">
        <v>3</v>
      </c>
      <c r="I42" s="7" t="s">
        <v>184</v>
      </c>
      <c r="J42" s="7" t="s">
        <v>185</v>
      </c>
    </row>
    <row r="43" spans="1:10" x14ac:dyDescent="0.3">
      <c r="A43" s="6" t="s">
        <v>186</v>
      </c>
      <c r="B43" s="7" t="s">
        <v>139</v>
      </c>
      <c r="C43" s="7" t="s">
        <v>140</v>
      </c>
      <c r="D43" s="7" t="s">
        <v>10</v>
      </c>
      <c r="E43" s="7" t="s">
        <v>187</v>
      </c>
      <c r="F43" s="7" t="s">
        <v>188</v>
      </c>
      <c r="G43" s="7" t="s">
        <v>189</v>
      </c>
      <c r="H43" s="7">
        <v>6</v>
      </c>
      <c r="I43" s="7" t="s">
        <v>190</v>
      </c>
      <c r="J43" s="7" t="s">
        <v>191</v>
      </c>
    </row>
    <row r="44" spans="1:10" x14ac:dyDescent="0.3">
      <c r="A44" s="6" t="s">
        <v>192</v>
      </c>
      <c r="B44" s="7" t="s">
        <v>139</v>
      </c>
      <c r="C44" s="7" t="s">
        <v>140</v>
      </c>
      <c r="D44" s="7" t="s">
        <v>10</v>
      </c>
      <c r="E44" s="7" t="s">
        <v>193</v>
      </c>
      <c r="F44" s="7" t="s">
        <v>194</v>
      </c>
      <c r="G44" s="7" t="s">
        <v>195</v>
      </c>
      <c r="H44" s="7">
        <v>4</v>
      </c>
      <c r="I44" s="7" t="s">
        <v>196</v>
      </c>
      <c r="J44" s="7" t="s">
        <v>197</v>
      </c>
    </row>
    <row r="45" spans="1:10" x14ac:dyDescent="0.3">
      <c r="A45" s="6" t="s">
        <v>198</v>
      </c>
      <c r="B45" s="7" t="s">
        <v>139</v>
      </c>
      <c r="C45" s="7" t="s">
        <v>140</v>
      </c>
      <c r="D45" s="7" t="s">
        <v>10</v>
      </c>
      <c r="E45" s="7" t="s">
        <v>199</v>
      </c>
      <c r="F45" s="7" t="s">
        <v>200</v>
      </c>
      <c r="G45" s="7" t="s">
        <v>201</v>
      </c>
      <c r="H45" s="7">
        <v>18</v>
      </c>
      <c r="I45" s="7" t="s">
        <v>202</v>
      </c>
      <c r="J45" s="7" t="s">
        <v>203</v>
      </c>
    </row>
    <row r="46" spans="1:10" x14ac:dyDescent="0.3">
      <c r="A46" s="6" t="s">
        <v>209</v>
      </c>
      <c r="B46" s="7" t="s">
        <v>139</v>
      </c>
      <c r="C46" s="7" t="s">
        <v>140</v>
      </c>
      <c r="D46" s="7" t="s">
        <v>10</v>
      </c>
      <c r="E46" s="7" t="s">
        <v>205</v>
      </c>
      <c r="F46" s="7"/>
      <c r="G46" s="7" t="s">
        <v>210</v>
      </c>
      <c r="H46" s="7">
        <v>49</v>
      </c>
      <c r="I46" s="7" t="s">
        <v>207</v>
      </c>
      <c r="J46" s="7" t="s">
        <v>211</v>
      </c>
    </row>
    <row r="47" spans="1:10" x14ac:dyDescent="0.3">
      <c r="A47" s="6" t="s">
        <v>204</v>
      </c>
      <c r="B47" s="7" t="s">
        <v>139</v>
      </c>
      <c r="C47" s="7" t="s">
        <v>140</v>
      </c>
      <c r="D47" s="7" t="s">
        <v>10</v>
      </c>
      <c r="E47" s="7" t="s">
        <v>205</v>
      </c>
      <c r="F47" s="7"/>
      <c r="G47" s="7" t="s">
        <v>206</v>
      </c>
      <c r="H47" s="7">
        <v>40</v>
      </c>
      <c r="I47" s="7" t="s">
        <v>207</v>
      </c>
      <c r="J47" s="7" t="s">
        <v>208</v>
      </c>
    </row>
    <row r="48" spans="1:10" x14ac:dyDescent="0.3">
      <c r="A48" s="6" t="s">
        <v>212</v>
      </c>
      <c r="B48" s="7" t="s">
        <v>139</v>
      </c>
      <c r="C48" s="7" t="s">
        <v>140</v>
      </c>
      <c r="D48" s="7" t="s">
        <v>10</v>
      </c>
      <c r="E48" s="7" t="s">
        <v>213</v>
      </c>
      <c r="F48" s="7"/>
      <c r="G48" s="7" t="s">
        <v>214</v>
      </c>
      <c r="H48" s="7">
        <v>39</v>
      </c>
      <c r="I48" s="7" t="s">
        <v>143</v>
      </c>
      <c r="J48" s="7" t="s">
        <v>215</v>
      </c>
    </row>
    <row r="49" spans="1:10" x14ac:dyDescent="0.3">
      <c r="A49" s="6" t="s">
        <v>425</v>
      </c>
      <c r="B49" s="7" t="s">
        <v>139</v>
      </c>
      <c r="C49" s="7" t="s">
        <v>140</v>
      </c>
      <c r="D49" s="7" t="s">
        <v>10</v>
      </c>
      <c r="E49" s="7" t="s">
        <v>408</v>
      </c>
      <c r="F49" s="7" t="s">
        <v>409</v>
      </c>
      <c r="G49" s="7" t="s">
        <v>426</v>
      </c>
      <c r="H49" s="7">
        <v>6</v>
      </c>
      <c r="I49" s="7" t="s">
        <v>265</v>
      </c>
      <c r="J49" s="7" t="s">
        <v>427</v>
      </c>
    </row>
    <row r="50" spans="1:10" x14ac:dyDescent="0.3">
      <c r="A50" s="6" t="s">
        <v>216</v>
      </c>
      <c r="B50" s="7" t="s">
        <v>139</v>
      </c>
      <c r="C50" s="7" t="s">
        <v>140</v>
      </c>
      <c r="D50" s="7" t="s">
        <v>10</v>
      </c>
      <c r="E50" s="7" t="s">
        <v>217</v>
      </c>
      <c r="F50" s="7" t="s">
        <v>218</v>
      </c>
      <c r="G50" s="7" t="s">
        <v>219</v>
      </c>
      <c r="H50" s="7">
        <v>11</v>
      </c>
      <c r="I50" s="7" t="s">
        <v>220</v>
      </c>
      <c r="J50" s="7" t="s">
        <v>221</v>
      </c>
    </row>
    <row r="51" spans="1:10" x14ac:dyDescent="0.3">
      <c r="A51" s="6" t="s">
        <v>238</v>
      </c>
      <c r="B51" s="7" t="s">
        <v>139</v>
      </c>
      <c r="C51" s="7" t="s">
        <v>140</v>
      </c>
      <c r="D51" s="7" t="s">
        <v>10</v>
      </c>
      <c r="E51" s="7" t="s">
        <v>227</v>
      </c>
      <c r="F51" s="7" t="s">
        <v>228</v>
      </c>
      <c r="G51" s="7" t="s">
        <v>239</v>
      </c>
      <c r="H51" s="7">
        <v>19</v>
      </c>
      <c r="I51" s="7" t="s">
        <v>153</v>
      </c>
      <c r="J51" s="7" t="s">
        <v>240</v>
      </c>
    </row>
    <row r="52" spans="1:10" x14ac:dyDescent="0.3">
      <c r="A52" s="6" t="s">
        <v>226</v>
      </c>
      <c r="B52" s="7" t="s">
        <v>139</v>
      </c>
      <c r="C52" s="7" t="s">
        <v>140</v>
      </c>
      <c r="D52" s="7" t="s">
        <v>10</v>
      </c>
      <c r="E52" s="7" t="s">
        <v>227</v>
      </c>
      <c r="F52" s="7" t="s">
        <v>228</v>
      </c>
      <c r="G52" s="7" t="s">
        <v>229</v>
      </c>
      <c r="H52" s="7">
        <v>10</v>
      </c>
      <c r="I52" s="7" t="s">
        <v>190</v>
      </c>
      <c r="J52" s="7" t="s">
        <v>230</v>
      </c>
    </row>
    <row r="53" spans="1:10" x14ac:dyDescent="0.3">
      <c r="A53" s="6" t="s">
        <v>231</v>
      </c>
      <c r="B53" s="7" t="s">
        <v>139</v>
      </c>
      <c r="C53" s="7" t="s">
        <v>140</v>
      </c>
      <c r="D53" s="7" t="s">
        <v>10</v>
      </c>
      <c r="E53" s="7" t="s">
        <v>227</v>
      </c>
      <c r="F53" s="7" t="s">
        <v>228</v>
      </c>
      <c r="G53" s="7" t="s">
        <v>232</v>
      </c>
      <c r="H53" s="7">
        <v>2</v>
      </c>
      <c r="I53" s="7" t="s">
        <v>233</v>
      </c>
      <c r="J53" s="7" t="s">
        <v>234</v>
      </c>
    </row>
    <row r="54" spans="1:10" x14ac:dyDescent="0.3">
      <c r="A54" s="6" t="s">
        <v>235</v>
      </c>
      <c r="B54" s="7" t="s">
        <v>139</v>
      </c>
      <c r="C54" s="7" t="s">
        <v>140</v>
      </c>
      <c r="D54" s="7" t="s">
        <v>10</v>
      </c>
      <c r="E54" s="7" t="s">
        <v>227</v>
      </c>
      <c r="F54" s="7" t="s">
        <v>228</v>
      </c>
      <c r="G54" s="7" t="s">
        <v>236</v>
      </c>
      <c r="H54" s="7">
        <v>24</v>
      </c>
      <c r="I54" s="7" t="s">
        <v>237</v>
      </c>
      <c r="J54" s="7" t="s">
        <v>203</v>
      </c>
    </row>
    <row r="55" spans="1:10" x14ac:dyDescent="0.3">
      <c r="A55" s="6" t="s">
        <v>241</v>
      </c>
      <c r="B55" s="7" t="s">
        <v>139</v>
      </c>
      <c r="C55" s="7" t="s">
        <v>140</v>
      </c>
      <c r="D55" s="7" t="s">
        <v>10</v>
      </c>
      <c r="E55" s="7" t="s">
        <v>117</v>
      </c>
      <c r="F55" s="7" t="s">
        <v>242</v>
      </c>
      <c r="G55" s="7" t="s">
        <v>116</v>
      </c>
      <c r="H55" s="7">
        <v>47</v>
      </c>
      <c r="I55" s="7" t="s">
        <v>75</v>
      </c>
      <c r="J55" s="7" t="s">
        <v>243</v>
      </c>
    </row>
    <row r="56" spans="1:10" x14ac:dyDescent="0.3">
      <c r="A56" s="6" t="s">
        <v>2710</v>
      </c>
      <c r="B56" s="7" t="s">
        <v>139</v>
      </c>
      <c r="C56" s="7" t="s">
        <v>140</v>
      </c>
      <c r="D56" s="7" t="s">
        <v>10</v>
      </c>
      <c r="E56" s="7" t="s">
        <v>117</v>
      </c>
      <c r="F56" s="7" t="s">
        <v>2711</v>
      </c>
      <c r="G56" s="7" t="s">
        <v>116</v>
      </c>
      <c r="H56" s="7">
        <v>2</v>
      </c>
      <c r="I56" s="7" t="s">
        <v>2712</v>
      </c>
      <c r="J56" s="7" t="s">
        <v>243</v>
      </c>
    </row>
    <row r="57" spans="1:10" x14ac:dyDescent="0.3">
      <c r="A57" s="6" t="s">
        <v>244</v>
      </c>
      <c r="B57" s="7" t="s">
        <v>139</v>
      </c>
      <c r="C57" s="7" t="s">
        <v>140</v>
      </c>
      <c r="D57" s="7" t="s">
        <v>10</v>
      </c>
      <c r="E57" s="7" t="s">
        <v>117</v>
      </c>
      <c r="F57" s="7" t="s">
        <v>242</v>
      </c>
      <c r="G57" s="7" t="s">
        <v>245</v>
      </c>
      <c r="H57" s="7">
        <v>10</v>
      </c>
      <c r="I57" s="7" t="s">
        <v>246</v>
      </c>
      <c r="J57" s="7" t="s">
        <v>247</v>
      </c>
    </row>
    <row r="58" spans="1:10" x14ac:dyDescent="0.3">
      <c r="A58" s="6" t="s">
        <v>248</v>
      </c>
      <c r="B58" s="7" t="s">
        <v>139</v>
      </c>
      <c r="C58" s="7" t="s">
        <v>140</v>
      </c>
      <c r="D58" s="7" t="s">
        <v>10</v>
      </c>
      <c r="E58" s="7" t="s">
        <v>249</v>
      </c>
      <c r="F58" s="7" t="s">
        <v>250</v>
      </c>
      <c r="G58" s="7" t="s">
        <v>251</v>
      </c>
      <c r="H58" s="7">
        <v>14</v>
      </c>
      <c r="I58" s="7" t="s">
        <v>252</v>
      </c>
      <c r="J58" s="7" t="s">
        <v>253</v>
      </c>
    </row>
    <row r="59" spans="1:10" x14ac:dyDescent="0.3">
      <c r="A59" s="6" t="s">
        <v>254</v>
      </c>
      <c r="B59" s="7" t="s">
        <v>139</v>
      </c>
      <c r="C59" s="7" t="s">
        <v>140</v>
      </c>
      <c r="D59" s="7" t="s">
        <v>10</v>
      </c>
      <c r="E59" s="7" t="s">
        <v>255</v>
      </c>
      <c r="F59" s="7"/>
      <c r="G59" s="7" t="s">
        <v>256</v>
      </c>
      <c r="H59" s="7">
        <v>4</v>
      </c>
      <c r="I59" s="7" t="s">
        <v>257</v>
      </c>
      <c r="J59" s="7" t="s">
        <v>258</v>
      </c>
    </row>
    <row r="60" spans="1:10" x14ac:dyDescent="0.3">
      <c r="A60" s="6" t="s">
        <v>263</v>
      </c>
      <c r="B60" s="7" t="s">
        <v>139</v>
      </c>
      <c r="C60" s="7" t="s">
        <v>140</v>
      </c>
      <c r="D60" s="7" t="s">
        <v>10</v>
      </c>
      <c r="E60" s="7" t="s">
        <v>260</v>
      </c>
      <c r="F60" s="7"/>
      <c r="G60" s="7" t="s">
        <v>264</v>
      </c>
      <c r="H60" s="7">
        <v>2</v>
      </c>
      <c r="I60" s="7" t="s">
        <v>265</v>
      </c>
      <c r="J60" s="7" t="s">
        <v>266</v>
      </c>
    </row>
    <row r="61" spans="1:10" x14ac:dyDescent="0.3">
      <c r="A61" s="6" t="s">
        <v>259</v>
      </c>
      <c r="B61" s="7" t="s">
        <v>139</v>
      </c>
      <c r="C61" s="7" t="s">
        <v>140</v>
      </c>
      <c r="D61" s="7" t="s">
        <v>10</v>
      </c>
      <c r="E61" s="7" t="s">
        <v>260</v>
      </c>
      <c r="F61" s="7"/>
      <c r="G61" s="7" t="s">
        <v>261</v>
      </c>
      <c r="H61" s="7">
        <v>10</v>
      </c>
      <c r="I61" s="7" t="s">
        <v>184</v>
      </c>
      <c r="J61" s="7" t="s">
        <v>262</v>
      </c>
    </row>
    <row r="62" spans="1:10" x14ac:dyDescent="0.3">
      <c r="A62" s="6" t="s">
        <v>267</v>
      </c>
      <c r="B62" s="7" t="s">
        <v>139</v>
      </c>
      <c r="C62" s="7" t="s">
        <v>140</v>
      </c>
      <c r="D62" s="7" t="s">
        <v>10</v>
      </c>
      <c r="E62" s="7" t="s">
        <v>268</v>
      </c>
      <c r="F62" s="7" t="s">
        <v>269</v>
      </c>
      <c r="G62" s="7" t="s">
        <v>270</v>
      </c>
      <c r="H62" s="7">
        <v>10</v>
      </c>
      <c r="I62" s="7" t="s">
        <v>271</v>
      </c>
      <c r="J62" s="7" t="s">
        <v>272</v>
      </c>
    </row>
    <row r="63" spans="1:10" x14ac:dyDescent="0.3">
      <c r="A63" s="6" t="s">
        <v>273</v>
      </c>
      <c r="B63" s="7" t="s">
        <v>139</v>
      </c>
      <c r="C63" s="7" t="s">
        <v>140</v>
      </c>
      <c r="D63" s="7" t="s">
        <v>10</v>
      </c>
      <c r="E63" s="7" t="s">
        <v>274</v>
      </c>
      <c r="F63" s="7"/>
      <c r="G63" s="7" t="s">
        <v>275</v>
      </c>
      <c r="H63" s="7">
        <v>3</v>
      </c>
      <c r="I63" s="7" t="s">
        <v>276</v>
      </c>
      <c r="J63" s="7" t="s">
        <v>277</v>
      </c>
    </row>
    <row r="64" spans="1:10" x14ac:dyDescent="0.3">
      <c r="A64" s="6" t="s">
        <v>222</v>
      </c>
      <c r="B64" s="7" t="s">
        <v>139</v>
      </c>
      <c r="C64" s="7" t="s">
        <v>140</v>
      </c>
      <c r="D64" s="7" t="s">
        <v>10</v>
      </c>
      <c r="E64" s="7" t="s">
        <v>217</v>
      </c>
      <c r="F64" s="7" t="s">
        <v>218</v>
      </c>
      <c r="G64" s="7" t="s">
        <v>223</v>
      </c>
      <c r="H64" s="7">
        <v>80</v>
      </c>
      <c r="I64" s="7" t="s">
        <v>224</v>
      </c>
      <c r="J64" s="7" t="s">
        <v>225</v>
      </c>
    </row>
    <row r="65" spans="1:10" x14ac:dyDescent="0.3">
      <c r="A65" s="6" t="s">
        <v>428</v>
      </c>
      <c r="B65" s="7" t="s">
        <v>139</v>
      </c>
      <c r="C65" s="7" t="s">
        <v>140</v>
      </c>
      <c r="D65" s="7" t="s">
        <v>10</v>
      </c>
      <c r="E65" s="7" t="s">
        <v>408</v>
      </c>
      <c r="F65" s="7" t="s">
        <v>409</v>
      </c>
      <c r="G65" s="7" t="s">
        <v>429</v>
      </c>
      <c r="H65" s="7">
        <v>11</v>
      </c>
      <c r="I65" s="7" t="s">
        <v>430</v>
      </c>
      <c r="J65" s="7" t="s">
        <v>208</v>
      </c>
    </row>
    <row r="66" spans="1:10" x14ac:dyDescent="0.3">
      <c r="A66" s="6" t="s">
        <v>413</v>
      </c>
      <c r="B66" s="7" t="s">
        <v>139</v>
      </c>
      <c r="C66" s="7" t="s">
        <v>140</v>
      </c>
      <c r="D66" s="7" t="s">
        <v>10</v>
      </c>
      <c r="E66" s="7" t="s">
        <v>408</v>
      </c>
      <c r="F66" s="7" t="s">
        <v>409</v>
      </c>
      <c r="G66" s="7" t="s">
        <v>414</v>
      </c>
      <c r="H66" s="7">
        <v>10</v>
      </c>
      <c r="I66" s="7" t="s">
        <v>415</v>
      </c>
      <c r="J66" s="7" t="s">
        <v>258</v>
      </c>
    </row>
    <row r="67" spans="1:10" x14ac:dyDescent="0.3">
      <c r="A67" s="6" t="s">
        <v>420</v>
      </c>
      <c r="B67" s="7" t="s">
        <v>139</v>
      </c>
      <c r="C67" s="7" t="s">
        <v>140</v>
      </c>
      <c r="D67" s="7" t="s">
        <v>10</v>
      </c>
      <c r="E67" s="7" t="s">
        <v>408</v>
      </c>
      <c r="F67" s="7" t="s">
        <v>409</v>
      </c>
      <c r="G67" s="7" t="s">
        <v>421</v>
      </c>
      <c r="H67" s="7">
        <v>9</v>
      </c>
      <c r="I67" s="7" t="s">
        <v>190</v>
      </c>
      <c r="J67" s="7" t="s">
        <v>422</v>
      </c>
    </row>
    <row r="68" spans="1:10" x14ac:dyDescent="0.3">
      <c r="A68" s="6" t="s">
        <v>526</v>
      </c>
      <c r="B68" s="7" t="s">
        <v>139</v>
      </c>
      <c r="C68" s="7" t="s">
        <v>140</v>
      </c>
      <c r="D68" s="7" t="s">
        <v>10</v>
      </c>
      <c r="E68" s="7" t="s">
        <v>527</v>
      </c>
      <c r="F68" s="7" t="s">
        <v>528</v>
      </c>
      <c r="G68" s="7" t="s">
        <v>529</v>
      </c>
      <c r="H68" s="7">
        <v>18</v>
      </c>
      <c r="I68" s="7" t="s">
        <v>411</v>
      </c>
      <c r="J68" s="7" t="s">
        <v>360</v>
      </c>
    </row>
    <row r="69" spans="1:10" x14ac:dyDescent="0.3">
      <c r="A69" s="6" t="s">
        <v>530</v>
      </c>
      <c r="B69" s="7" t="s">
        <v>139</v>
      </c>
      <c r="C69" s="7" t="s">
        <v>140</v>
      </c>
      <c r="D69" s="7" t="s">
        <v>10</v>
      </c>
      <c r="E69" s="7" t="s">
        <v>531</v>
      </c>
      <c r="F69" s="7"/>
      <c r="G69" s="7" t="s">
        <v>532</v>
      </c>
      <c r="H69" s="7">
        <v>5</v>
      </c>
      <c r="I69" s="7" t="s">
        <v>207</v>
      </c>
      <c r="J69" s="7" t="s">
        <v>262</v>
      </c>
    </row>
    <row r="70" spans="1:10" x14ac:dyDescent="0.3">
      <c r="A70" s="6" t="s">
        <v>533</v>
      </c>
      <c r="B70" s="7" t="s">
        <v>139</v>
      </c>
      <c r="C70" s="7" t="s">
        <v>140</v>
      </c>
      <c r="D70" s="7" t="s">
        <v>10</v>
      </c>
      <c r="E70" s="7" t="s">
        <v>534</v>
      </c>
      <c r="F70" s="7"/>
      <c r="G70" s="7" t="s">
        <v>535</v>
      </c>
      <c r="H70" s="7">
        <v>3</v>
      </c>
      <c r="I70" s="7" t="s">
        <v>536</v>
      </c>
      <c r="J70" s="7" t="s">
        <v>537</v>
      </c>
    </row>
    <row r="71" spans="1:10" x14ac:dyDescent="0.3">
      <c r="A71" s="6" t="s">
        <v>538</v>
      </c>
      <c r="B71" s="7" t="s">
        <v>139</v>
      </c>
      <c r="C71" s="7" t="s">
        <v>140</v>
      </c>
      <c r="D71" s="7" t="s">
        <v>10</v>
      </c>
      <c r="E71" s="7" t="s">
        <v>539</v>
      </c>
      <c r="F71" s="7" t="s">
        <v>540</v>
      </c>
      <c r="G71" s="7" t="s">
        <v>541</v>
      </c>
      <c r="H71" s="7">
        <v>15</v>
      </c>
      <c r="I71" s="7" t="s">
        <v>315</v>
      </c>
      <c r="J71" s="7" t="s">
        <v>542</v>
      </c>
    </row>
    <row r="72" spans="1:10" x14ac:dyDescent="0.3">
      <c r="A72" s="6" t="s">
        <v>547</v>
      </c>
      <c r="B72" s="7" t="s">
        <v>139</v>
      </c>
      <c r="C72" s="7" t="s">
        <v>140</v>
      </c>
      <c r="D72" s="7" t="s">
        <v>10</v>
      </c>
      <c r="E72" s="7" t="s">
        <v>548</v>
      </c>
      <c r="F72" s="7" t="s">
        <v>549</v>
      </c>
      <c r="G72" s="7" t="s">
        <v>550</v>
      </c>
      <c r="H72" s="7">
        <v>26</v>
      </c>
      <c r="I72" s="7" t="s">
        <v>551</v>
      </c>
      <c r="J72" s="7" t="s">
        <v>552</v>
      </c>
    </row>
    <row r="73" spans="1:10" x14ac:dyDescent="0.3">
      <c r="A73" s="6" t="s">
        <v>553</v>
      </c>
      <c r="B73" s="7" t="s">
        <v>139</v>
      </c>
      <c r="C73" s="7" t="s">
        <v>140</v>
      </c>
      <c r="D73" s="7" t="s">
        <v>10</v>
      </c>
      <c r="E73" s="7" t="s">
        <v>554</v>
      </c>
      <c r="F73" s="7"/>
      <c r="G73" s="7" t="s">
        <v>555</v>
      </c>
      <c r="H73" s="7">
        <v>9</v>
      </c>
      <c r="I73" s="7" t="s">
        <v>556</v>
      </c>
      <c r="J73" s="7" t="s">
        <v>557</v>
      </c>
    </row>
    <row r="74" spans="1:10" x14ac:dyDescent="0.3">
      <c r="A74" s="6" t="s">
        <v>558</v>
      </c>
      <c r="B74" s="7" t="s">
        <v>139</v>
      </c>
      <c r="C74" s="7" t="s">
        <v>140</v>
      </c>
      <c r="D74" s="7" t="s">
        <v>10</v>
      </c>
      <c r="E74" s="7" t="s">
        <v>559</v>
      </c>
      <c r="F74" s="7"/>
      <c r="G74" s="7" t="s">
        <v>560</v>
      </c>
      <c r="H74" s="7">
        <v>19</v>
      </c>
      <c r="I74" s="7" t="s">
        <v>434</v>
      </c>
      <c r="J74" s="7" t="s">
        <v>561</v>
      </c>
    </row>
    <row r="75" spans="1:10" x14ac:dyDescent="0.3">
      <c r="A75" s="6" t="s">
        <v>543</v>
      </c>
      <c r="B75" s="7" t="s">
        <v>139</v>
      </c>
      <c r="C75" s="7" t="s">
        <v>140</v>
      </c>
      <c r="D75" s="7" t="s">
        <v>10</v>
      </c>
      <c r="E75" s="7" t="s">
        <v>544</v>
      </c>
      <c r="F75" s="7"/>
      <c r="G75" s="7" t="s">
        <v>545</v>
      </c>
      <c r="H75" s="7">
        <v>2</v>
      </c>
      <c r="I75" s="7" t="s">
        <v>546</v>
      </c>
      <c r="J75" s="7" t="s">
        <v>337</v>
      </c>
    </row>
    <row r="76" spans="1:10" x14ac:dyDescent="0.3">
      <c r="A76" s="6" t="s">
        <v>1716</v>
      </c>
      <c r="B76" s="7" t="s">
        <v>139</v>
      </c>
      <c r="C76" s="7" t="s">
        <v>140</v>
      </c>
      <c r="D76" s="7" t="s">
        <v>10</v>
      </c>
      <c r="E76" s="7" t="s">
        <v>1717</v>
      </c>
      <c r="F76" s="7"/>
      <c r="G76" s="7" t="s">
        <v>1718</v>
      </c>
      <c r="H76" s="7">
        <v>3</v>
      </c>
      <c r="I76" s="7" t="s">
        <v>1722</v>
      </c>
      <c r="J76" s="7" t="s">
        <v>472</v>
      </c>
    </row>
    <row r="77" spans="1:10" x14ac:dyDescent="0.3">
      <c r="A77" s="6" t="s">
        <v>575</v>
      </c>
      <c r="B77" s="7" t="s">
        <v>139</v>
      </c>
      <c r="C77" s="7" t="s">
        <v>140</v>
      </c>
      <c r="D77" s="7" t="s">
        <v>10</v>
      </c>
      <c r="E77" s="7" t="s">
        <v>576</v>
      </c>
      <c r="F77" s="7" t="s">
        <v>577</v>
      </c>
      <c r="G77" s="7" t="s">
        <v>578</v>
      </c>
      <c r="H77" s="7">
        <v>2</v>
      </c>
      <c r="I77" s="7" t="s">
        <v>579</v>
      </c>
      <c r="J77" s="7" t="s">
        <v>174</v>
      </c>
    </row>
    <row r="78" spans="1:10" x14ac:dyDescent="0.3">
      <c r="A78" s="6" t="s">
        <v>562</v>
      </c>
      <c r="B78" s="7" t="s">
        <v>139</v>
      </c>
      <c r="C78" s="7" t="s">
        <v>140</v>
      </c>
      <c r="D78" s="7" t="s">
        <v>10</v>
      </c>
      <c r="E78" s="7" t="s">
        <v>563</v>
      </c>
      <c r="F78" s="7" t="s">
        <v>564</v>
      </c>
      <c r="G78" s="7" t="s">
        <v>565</v>
      </c>
      <c r="H78" s="7">
        <v>6</v>
      </c>
      <c r="I78" s="7" t="s">
        <v>315</v>
      </c>
      <c r="J78" s="7" t="s">
        <v>448</v>
      </c>
    </row>
    <row r="79" spans="1:10" x14ac:dyDescent="0.3">
      <c r="A79" s="6" t="s">
        <v>580</v>
      </c>
      <c r="B79" s="7" t="s">
        <v>139</v>
      </c>
      <c r="C79" s="7" t="s">
        <v>140</v>
      </c>
      <c r="D79" s="7" t="s">
        <v>10</v>
      </c>
      <c r="E79" s="7" t="s">
        <v>581</v>
      </c>
      <c r="F79" s="7"/>
      <c r="G79" s="7" t="s">
        <v>582</v>
      </c>
      <c r="H79" s="7">
        <v>3</v>
      </c>
      <c r="I79" s="7" t="s">
        <v>583</v>
      </c>
      <c r="J79" s="7" t="s">
        <v>584</v>
      </c>
    </row>
    <row r="80" spans="1:10" x14ac:dyDescent="0.3">
      <c r="A80" s="6" t="s">
        <v>585</v>
      </c>
      <c r="B80" s="7" t="s">
        <v>139</v>
      </c>
      <c r="C80" s="7" t="s">
        <v>140</v>
      </c>
      <c r="D80" s="7" t="s">
        <v>10</v>
      </c>
      <c r="E80" s="7" t="s">
        <v>586</v>
      </c>
      <c r="F80" s="7"/>
      <c r="G80" s="7" t="s">
        <v>587</v>
      </c>
      <c r="H80" s="7">
        <v>3</v>
      </c>
      <c r="I80" s="7" t="s">
        <v>588</v>
      </c>
      <c r="J80" s="7" t="s">
        <v>589</v>
      </c>
    </row>
    <row r="81" spans="1:10" x14ac:dyDescent="0.3">
      <c r="A81" s="6" t="s">
        <v>590</v>
      </c>
      <c r="B81" s="7" t="s">
        <v>139</v>
      </c>
      <c r="C81" s="7" t="s">
        <v>140</v>
      </c>
      <c r="D81" s="7" t="s">
        <v>10</v>
      </c>
      <c r="E81" s="7" t="s">
        <v>591</v>
      </c>
      <c r="F81" s="7" t="s">
        <v>592</v>
      </c>
      <c r="G81" s="7" t="s">
        <v>593</v>
      </c>
      <c r="H81" s="7">
        <v>3</v>
      </c>
      <c r="I81" s="7" t="s">
        <v>349</v>
      </c>
      <c r="J81" s="7" t="s">
        <v>234</v>
      </c>
    </row>
    <row r="82" spans="1:10" x14ac:dyDescent="0.3">
      <c r="A82" s="6" t="s">
        <v>594</v>
      </c>
      <c r="B82" s="7" t="s">
        <v>139</v>
      </c>
      <c r="C82" s="7" t="s">
        <v>140</v>
      </c>
      <c r="D82" s="7" t="s">
        <v>10</v>
      </c>
      <c r="E82" s="7" t="s">
        <v>595</v>
      </c>
      <c r="F82" s="7" t="s">
        <v>596</v>
      </c>
      <c r="G82" s="7" t="s">
        <v>597</v>
      </c>
      <c r="H82" s="7">
        <v>5</v>
      </c>
      <c r="I82" s="7" t="s">
        <v>598</v>
      </c>
      <c r="J82" s="7" t="s">
        <v>360</v>
      </c>
    </row>
    <row r="83" spans="1:10" x14ac:dyDescent="0.3">
      <c r="A83" s="6" t="s">
        <v>604</v>
      </c>
      <c r="B83" s="7" t="s">
        <v>139</v>
      </c>
      <c r="C83" s="7" t="s">
        <v>140</v>
      </c>
      <c r="D83" s="7" t="s">
        <v>10</v>
      </c>
      <c r="E83" s="7" t="s">
        <v>605</v>
      </c>
      <c r="F83" s="7"/>
      <c r="G83" s="7" t="s">
        <v>606</v>
      </c>
      <c r="H83" s="7">
        <v>5</v>
      </c>
      <c r="I83" s="7" t="s">
        <v>607</v>
      </c>
      <c r="J83" s="7" t="s">
        <v>608</v>
      </c>
    </row>
    <row r="84" spans="1:10" x14ac:dyDescent="0.3">
      <c r="A84" s="6" t="s">
        <v>599</v>
      </c>
      <c r="B84" s="7" t="s">
        <v>139</v>
      </c>
      <c r="C84" s="7" t="s">
        <v>140</v>
      </c>
      <c r="D84" s="7" t="s">
        <v>10</v>
      </c>
      <c r="E84" s="7" t="s">
        <v>600</v>
      </c>
      <c r="F84" s="7"/>
      <c r="G84" s="7" t="s">
        <v>601</v>
      </c>
      <c r="H84" s="7">
        <v>5</v>
      </c>
      <c r="I84" s="7" t="s">
        <v>602</v>
      </c>
      <c r="J84" s="7" t="s">
        <v>603</v>
      </c>
    </row>
    <row r="85" spans="1:10" x14ac:dyDescent="0.3">
      <c r="A85" s="6" t="s">
        <v>609</v>
      </c>
      <c r="B85" s="7" t="s">
        <v>139</v>
      </c>
      <c r="C85" s="7" t="s">
        <v>140</v>
      </c>
      <c r="D85" s="7" t="s">
        <v>10</v>
      </c>
      <c r="E85" s="7" t="s">
        <v>610</v>
      </c>
      <c r="F85" s="7"/>
      <c r="G85" s="7" t="s">
        <v>611</v>
      </c>
      <c r="H85" s="7">
        <v>1</v>
      </c>
      <c r="I85" s="7" t="s">
        <v>173</v>
      </c>
      <c r="J85" s="7" t="s">
        <v>514</v>
      </c>
    </row>
    <row r="86" spans="1:10" x14ac:dyDescent="0.3">
      <c r="A86" s="6" t="s">
        <v>612</v>
      </c>
      <c r="B86" s="7" t="s">
        <v>139</v>
      </c>
      <c r="C86" s="7" t="s">
        <v>140</v>
      </c>
      <c r="D86" s="7" t="s">
        <v>10</v>
      </c>
      <c r="E86" s="7" t="s">
        <v>613</v>
      </c>
      <c r="F86" s="7" t="s">
        <v>614</v>
      </c>
      <c r="G86" s="7" t="s">
        <v>615</v>
      </c>
      <c r="H86" s="7">
        <v>12</v>
      </c>
      <c r="I86" s="7" t="s">
        <v>616</v>
      </c>
      <c r="J86" s="7" t="s">
        <v>617</v>
      </c>
    </row>
    <row r="87" spans="1:10" x14ac:dyDescent="0.3">
      <c r="A87" s="6" t="s">
        <v>571</v>
      </c>
      <c r="B87" s="7" t="s">
        <v>139</v>
      </c>
      <c r="C87" s="7" t="s">
        <v>140</v>
      </c>
      <c r="D87" s="7" t="s">
        <v>10</v>
      </c>
      <c r="E87" s="7" t="s">
        <v>567</v>
      </c>
      <c r="F87" s="7" t="s">
        <v>568</v>
      </c>
      <c r="G87" s="7" t="s">
        <v>572</v>
      </c>
      <c r="H87" s="7">
        <v>12</v>
      </c>
      <c r="I87" s="7" t="s">
        <v>573</v>
      </c>
      <c r="J87" s="7" t="s">
        <v>574</v>
      </c>
    </row>
    <row r="88" spans="1:10" x14ac:dyDescent="0.3">
      <c r="A88" s="6" t="s">
        <v>566</v>
      </c>
      <c r="B88" s="7" t="s">
        <v>139</v>
      </c>
      <c r="C88" s="7" t="s">
        <v>140</v>
      </c>
      <c r="D88" s="7" t="s">
        <v>10</v>
      </c>
      <c r="E88" s="7" t="s">
        <v>567</v>
      </c>
      <c r="F88" s="7" t="s">
        <v>568</v>
      </c>
      <c r="G88" s="7" t="s">
        <v>569</v>
      </c>
      <c r="H88" s="7">
        <v>13</v>
      </c>
      <c r="I88" s="7" t="s">
        <v>570</v>
      </c>
      <c r="J88" s="7" t="s">
        <v>247</v>
      </c>
    </row>
    <row r="89" spans="1:10" x14ac:dyDescent="0.3">
      <c r="A89" s="6" t="s">
        <v>622</v>
      </c>
      <c r="B89" s="7" t="s">
        <v>139</v>
      </c>
      <c r="C89" s="7" t="s">
        <v>140</v>
      </c>
      <c r="D89" s="7" t="s">
        <v>10</v>
      </c>
      <c r="E89" s="7" t="s">
        <v>623</v>
      </c>
      <c r="F89" s="7" t="s">
        <v>624</v>
      </c>
      <c r="G89" s="7" t="s">
        <v>625</v>
      </c>
      <c r="H89" s="7">
        <v>2</v>
      </c>
      <c r="I89" s="7" t="s">
        <v>626</v>
      </c>
      <c r="J89" s="7" t="s">
        <v>149</v>
      </c>
    </row>
    <row r="90" spans="1:10" x14ac:dyDescent="0.3">
      <c r="A90" s="6" t="s">
        <v>627</v>
      </c>
      <c r="B90" s="7" t="s">
        <v>139</v>
      </c>
      <c r="C90" s="7" t="s">
        <v>140</v>
      </c>
      <c r="D90" s="7" t="s">
        <v>10</v>
      </c>
      <c r="E90" s="7" t="s">
        <v>628</v>
      </c>
      <c r="F90" s="7"/>
      <c r="G90" s="7" t="s">
        <v>629</v>
      </c>
      <c r="H90" s="7">
        <v>21</v>
      </c>
      <c r="I90" s="7" t="s">
        <v>237</v>
      </c>
      <c r="J90" s="7" t="s">
        <v>630</v>
      </c>
    </row>
    <row r="91" spans="1:10" x14ac:dyDescent="0.3">
      <c r="A91" s="6" t="s">
        <v>631</v>
      </c>
      <c r="B91" s="7" t="s">
        <v>139</v>
      </c>
      <c r="C91" s="7" t="s">
        <v>140</v>
      </c>
      <c r="D91" s="7" t="s">
        <v>10</v>
      </c>
      <c r="E91" s="7" t="s">
        <v>632</v>
      </c>
      <c r="F91" s="7"/>
      <c r="G91" s="7" t="s">
        <v>633</v>
      </c>
      <c r="H91" s="7">
        <v>24</v>
      </c>
      <c r="I91" s="7" t="s">
        <v>315</v>
      </c>
      <c r="J91" s="7" t="s">
        <v>174</v>
      </c>
    </row>
    <row r="92" spans="1:10" x14ac:dyDescent="0.3">
      <c r="A92" s="6" t="s">
        <v>618</v>
      </c>
      <c r="B92" s="7" t="s">
        <v>139</v>
      </c>
      <c r="C92" s="7" t="s">
        <v>140</v>
      </c>
      <c r="D92" s="7" t="s">
        <v>10</v>
      </c>
      <c r="E92" s="7" t="s">
        <v>619</v>
      </c>
      <c r="F92" s="7"/>
      <c r="G92" s="7" t="s">
        <v>620</v>
      </c>
      <c r="H92" s="7">
        <v>28</v>
      </c>
      <c r="I92" s="7" t="s">
        <v>411</v>
      </c>
      <c r="J92" s="7" t="s">
        <v>621</v>
      </c>
    </row>
    <row r="93" spans="1:10" x14ac:dyDescent="0.3">
      <c r="A93" s="6" t="s">
        <v>634</v>
      </c>
      <c r="B93" s="7" t="s">
        <v>139</v>
      </c>
      <c r="C93" s="7" t="s">
        <v>140</v>
      </c>
      <c r="D93" s="7" t="s">
        <v>10</v>
      </c>
      <c r="E93" s="7" t="s">
        <v>635</v>
      </c>
      <c r="F93" s="7"/>
      <c r="G93" s="7" t="s">
        <v>636</v>
      </c>
      <c r="H93" s="7">
        <v>5</v>
      </c>
      <c r="I93" s="7" t="s">
        <v>173</v>
      </c>
      <c r="J93" s="7" t="s">
        <v>184</v>
      </c>
    </row>
    <row r="94" spans="1:10" x14ac:dyDescent="0.3">
      <c r="A94" s="6" t="s">
        <v>637</v>
      </c>
      <c r="B94" s="7" t="s">
        <v>139</v>
      </c>
      <c r="C94" s="7" t="s">
        <v>140</v>
      </c>
      <c r="D94" s="7" t="s">
        <v>10</v>
      </c>
      <c r="E94" s="7" t="s">
        <v>638</v>
      </c>
      <c r="F94" s="7"/>
      <c r="G94" s="7" t="s">
        <v>639</v>
      </c>
      <c r="H94" s="7">
        <v>50</v>
      </c>
      <c r="I94" s="7" t="s">
        <v>640</v>
      </c>
      <c r="J94" s="7" t="s">
        <v>641</v>
      </c>
    </row>
    <row r="95" spans="1:10" x14ac:dyDescent="0.3">
      <c r="A95" s="6" t="s">
        <v>523</v>
      </c>
      <c r="B95" s="7" t="s">
        <v>139</v>
      </c>
      <c r="C95" s="7" t="s">
        <v>140</v>
      </c>
      <c r="D95" s="7" t="s">
        <v>10</v>
      </c>
      <c r="E95" s="7" t="s">
        <v>524</v>
      </c>
      <c r="F95" s="7"/>
      <c r="G95" s="7" t="s">
        <v>525</v>
      </c>
      <c r="H95" s="7">
        <v>17</v>
      </c>
      <c r="I95" s="7" t="s">
        <v>233</v>
      </c>
      <c r="J95" s="7" t="s">
        <v>247</v>
      </c>
    </row>
    <row r="96" spans="1:10" x14ac:dyDescent="0.3">
      <c r="A96" s="6" t="s">
        <v>150</v>
      </c>
      <c r="B96" s="7" t="s">
        <v>139</v>
      </c>
      <c r="C96" s="7" t="s">
        <v>140</v>
      </c>
      <c r="D96" s="7" t="s">
        <v>10</v>
      </c>
      <c r="E96" s="7" t="s">
        <v>151</v>
      </c>
      <c r="F96" s="7"/>
      <c r="G96" s="7" t="s">
        <v>152</v>
      </c>
      <c r="H96" s="7">
        <v>1</v>
      </c>
      <c r="I96" s="7" t="s">
        <v>153</v>
      </c>
      <c r="J96" s="7" t="s">
        <v>154</v>
      </c>
    </row>
    <row r="97" spans="1:10" x14ac:dyDescent="0.3">
      <c r="A97" s="6" t="s">
        <v>520</v>
      </c>
      <c r="B97" s="7" t="s">
        <v>139</v>
      </c>
      <c r="C97" s="7" t="s">
        <v>140</v>
      </c>
      <c r="D97" s="7" t="s">
        <v>10</v>
      </c>
      <c r="E97" s="7" t="s">
        <v>521</v>
      </c>
      <c r="F97" s="7"/>
      <c r="G97" s="7" t="s">
        <v>522</v>
      </c>
      <c r="H97" s="7">
        <v>3</v>
      </c>
      <c r="I97" s="7" t="s">
        <v>196</v>
      </c>
      <c r="J97" s="7" t="s">
        <v>493</v>
      </c>
    </row>
    <row r="98" spans="1:10" x14ac:dyDescent="0.3">
      <c r="A98" s="6" t="s">
        <v>511</v>
      </c>
      <c r="B98" s="7" t="s">
        <v>139</v>
      </c>
      <c r="C98" s="7" t="s">
        <v>140</v>
      </c>
      <c r="D98" s="7" t="s">
        <v>10</v>
      </c>
      <c r="E98" s="7" t="s">
        <v>512</v>
      </c>
      <c r="F98" s="7"/>
      <c r="G98" s="7" t="s">
        <v>513</v>
      </c>
      <c r="H98" s="7">
        <v>7</v>
      </c>
      <c r="I98" s="7" t="s">
        <v>418</v>
      </c>
      <c r="J98" s="7" t="s">
        <v>514</v>
      </c>
    </row>
    <row r="99" spans="1:10" x14ac:dyDescent="0.3">
      <c r="A99" s="6" t="s">
        <v>423</v>
      </c>
      <c r="B99" s="7" t="s">
        <v>139</v>
      </c>
      <c r="C99" s="7" t="s">
        <v>140</v>
      </c>
      <c r="D99" s="7" t="s">
        <v>10</v>
      </c>
      <c r="E99" s="7" t="s">
        <v>408</v>
      </c>
      <c r="F99" s="7" t="s">
        <v>409</v>
      </c>
      <c r="G99" s="7" t="s">
        <v>424</v>
      </c>
      <c r="H99" s="7">
        <v>34</v>
      </c>
      <c r="I99" s="7" t="s">
        <v>349</v>
      </c>
      <c r="J99" s="7" t="s">
        <v>406</v>
      </c>
    </row>
    <row r="100" spans="1:10" x14ac:dyDescent="0.3">
      <c r="A100" s="6" t="s">
        <v>416</v>
      </c>
      <c r="B100" s="7" t="s">
        <v>139</v>
      </c>
      <c r="C100" s="7" t="s">
        <v>140</v>
      </c>
      <c r="D100" s="7" t="s">
        <v>10</v>
      </c>
      <c r="E100" s="7" t="s">
        <v>408</v>
      </c>
      <c r="F100" s="7" t="s">
        <v>409</v>
      </c>
      <c r="G100" s="7" t="s">
        <v>417</v>
      </c>
      <c r="H100" s="7">
        <v>13</v>
      </c>
      <c r="I100" s="7" t="s">
        <v>418</v>
      </c>
      <c r="J100" s="7" t="s">
        <v>419</v>
      </c>
    </row>
    <row r="101" spans="1:10" x14ac:dyDescent="0.3">
      <c r="A101" s="6" t="s">
        <v>407</v>
      </c>
      <c r="B101" s="7" t="s">
        <v>139</v>
      </c>
      <c r="C101" s="7" t="s">
        <v>140</v>
      </c>
      <c r="D101" s="7" t="s">
        <v>10</v>
      </c>
      <c r="E101" s="7" t="s">
        <v>408</v>
      </c>
      <c r="F101" s="7" t="s">
        <v>409</v>
      </c>
      <c r="G101" s="7" t="s">
        <v>410</v>
      </c>
      <c r="H101" s="7">
        <v>9</v>
      </c>
      <c r="I101" s="7" t="s">
        <v>411</v>
      </c>
      <c r="J101" s="7" t="s">
        <v>412</v>
      </c>
    </row>
    <row r="102" spans="1:10" x14ac:dyDescent="0.3">
      <c r="A102" s="6" t="s">
        <v>431</v>
      </c>
      <c r="B102" s="7" t="s">
        <v>139</v>
      </c>
      <c r="C102" s="7" t="s">
        <v>140</v>
      </c>
      <c r="D102" s="7" t="s">
        <v>10</v>
      </c>
      <c r="E102" s="7" t="s">
        <v>432</v>
      </c>
      <c r="F102" s="7"/>
      <c r="G102" s="7" t="s">
        <v>433</v>
      </c>
      <c r="H102" s="7">
        <v>10</v>
      </c>
      <c r="I102" s="7" t="s">
        <v>434</v>
      </c>
      <c r="J102" s="7" t="s">
        <v>427</v>
      </c>
    </row>
    <row r="103" spans="1:10" x14ac:dyDescent="0.3">
      <c r="A103" s="6" t="s">
        <v>435</v>
      </c>
      <c r="B103" s="7" t="s">
        <v>139</v>
      </c>
      <c r="C103" s="7" t="s">
        <v>140</v>
      </c>
      <c r="D103" s="7" t="s">
        <v>10</v>
      </c>
      <c r="E103" s="7" t="s">
        <v>436</v>
      </c>
      <c r="F103" s="7"/>
      <c r="G103" s="7" t="s">
        <v>437</v>
      </c>
      <c r="H103" s="7">
        <v>1</v>
      </c>
      <c r="I103" s="7" t="s">
        <v>438</v>
      </c>
      <c r="J103" s="7" t="s">
        <v>439</v>
      </c>
    </row>
    <row r="104" spans="1:10" x14ac:dyDescent="0.3">
      <c r="A104" s="6" t="s">
        <v>440</v>
      </c>
      <c r="B104" s="7" t="s">
        <v>139</v>
      </c>
      <c r="C104" s="7" t="s">
        <v>140</v>
      </c>
      <c r="D104" s="7" t="s">
        <v>10</v>
      </c>
      <c r="E104" s="7" t="s">
        <v>441</v>
      </c>
      <c r="F104" s="7" t="s">
        <v>442</v>
      </c>
      <c r="G104" s="7" t="s">
        <v>443</v>
      </c>
      <c r="H104" s="7">
        <v>36</v>
      </c>
      <c r="I104" s="7" t="s">
        <v>444</v>
      </c>
      <c r="J104" s="7" t="s">
        <v>445</v>
      </c>
    </row>
    <row r="105" spans="1:10" x14ac:dyDescent="0.3">
      <c r="A105" s="6" t="s">
        <v>449</v>
      </c>
      <c r="B105" s="7" t="s">
        <v>139</v>
      </c>
      <c r="C105" s="7" t="s">
        <v>140</v>
      </c>
      <c r="D105" s="7" t="s">
        <v>10</v>
      </c>
      <c r="E105" s="7" t="s">
        <v>74</v>
      </c>
      <c r="F105" s="7" t="s">
        <v>447</v>
      </c>
      <c r="G105" s="7" t="s">
        <v>450</v>
      </c>
      <c r="H105" s="7">
        <v>14</v>
      </c>
      <c r="I105" s="7" t="s">
        <v>451</v>
      </c>
      <c r="J105" s="7" t="s">
        <v>452</v>
      </c>
    </row>
    <row r="106" spans="1:10" x14ac:dyDescent="0.3">
      <c r="A106" s="6" t="s">
        <v>446</v>
      </c>
      <c r="B106" s="7" t="s">
        <v>139</v>
      </c>
      <c r="C106" s="7" t="s">
        <v>140</v>
      </c>
      <c r="D106" s="7" t="s">
        <v>10</v>
      </c>
      <c r="E106" s="7" t="s">
        <v>74</v>
      </c>
      <c r="F106" s="7" t="s">
        <v>447</v>
      </c>
      <c r="G106" s="7" t="s">
        <v>73</v>
      </c>
      <c r="H106" s="7">
        <v>98</v>
      </c>
      <c r="I106" s="7" t="s">
        <v>75</v>
      </c>
      <c r="J106" s="7" t="s">
        <v>448</v>
      </c>
    </row>
    <row r="107" spans="1:10" x14ac:dyDescent="0.3">
      <c r="A107" s="6" t="s">
        <v>2708</v>
      </c>
      <c r="B107" s="7" t="s">
        <v>139</v>
      </c>
      <c r="C107" s="7" t="s">
        <v>140</v>
      </c>
      <c r="D107" s="7" t="s">
        <v>10</v>
      </c>
      <c r="E107" s="7" t="s">
        <v>74</v>
      </c>
      <c r="F107" s="7" t="s">
        <v>1007</v>
      </c>
      <c r="G107" s="7" t="s">
        <v>73</v>
      </c>
      <c r="H107" s="7">
        <v>7</v>
      </c>
      <c r="I107" s="7" t="s">
        <v>75</v>
      </c>
      <c r="J107" s="7" t="s">
        <v>448</v>
      </c>
    </row>
    <row r="108" spans="1:10" x14ac:dyDescent="0.3">
      <c r="A108" s="6" t="s">
        <v>2706</v>
      </c>
      <c r="B108" s="7" t="s">
        <v>139</v>
      </c>
      <c r="C108" s="7" t="s">
        <v>140</v>
      </c>
      <c r="D108" s="7" t="s">
        <v>10</v>
      </c>
      <c r="E108" s="7" t="s">
        <v>74</v>
      </c>
      <c r="F108" s="7" t="s">
        <v>2707</v>
      </c>
      <c r="G108" s="7" t="s">
        <v>73</v>
      </c>
      <c r="H108" s="7">
        <v>10</v>
      </c>
      <c r="I108" s="7" t="s">
        <v>75</v>
      </c>
      <c r="J108" s="7" t="s">
        <v>448</v>
      </c>
    </row>
    <row r="109" spans="1:10" x14ac:dyDescent="0.3">
      <c r="A109" s="6" t="s">
        <v>453</v>
      </c>
      <c r="B109" s="7" t="s">
        <v>139</v>
      </c>
      <c r="C109" s="7" t="s">
        <v>140</v>
      </c>
      <c r="D109" s="7" t="s">
        <v>10</v>
      </c>
      <c r="E109" s="7" t="s">
        <v>454</v>
      </c>
      <c r="F109" s="7" t="s">
        <v>455</v>
      </c>
      <c r="G109" s="7" t="s">
        <v>456</v>
      </c>
      <c r="H109" s="7">
        <v>16</v>
      </c>
      <c r="I109" s="7" t="s">
        <v>457</v>
      </c>
      <c r="J109" s="7" t="s">
        <v>174</v>
      </c>
    </row>
    <row r="110" spans="1:10" x14ac:dyDescent="0.3">
      <c r="A110" s="6" t="s">
        <v>458</v>
      </c>
      <c r="B110" s="7" t="s">
        <v>139</v>
      </c>
      <c r="C110" s="7" t="s">
        <v>140</v>
      </c>
      <c r="D110" s="7" t="s">
        <v>10</v>
      </c>
      <c r="E110" s="7" t="s">
        <v>459</v>
      </c>
      <c r="F110" s="7" t="s">
        <v>460</v>
      </c>
      <c r="G110" s="7" t="s">
        <v>461</v>
      </c>
      <c r="H110" s="7">
        <v>5</v>
      </c>
      <c r="I110" s="7" t="s">
        <v>462</v>
      </c>
      <c r="J110" s="7" t="s">
        <v>310</v>
      </c>
    </row>
    <row r="111" spans="1:10" x14ac:dyDescent="0.3">
      <c r="A111" s="6" t="s">
        <v>463</v>
      </c>
      <c r="B111" s="7" t="s">
        <v>139</v>
      </c>
      <c r="C111" s="7" t="s">
        <v>140</v>
      </c>
      <c r="D111" s="7" t="s">
        <v>10</v>
      </c>
      <c r="E111" s="7" t="s">
        <v>464</v>
      </c>
      <c r="F111" s="7" t="s">
        <v>465</v>
      </c>
      <c r="G111" s="7" t="s">
        <v>466</v>
      </c>
      <c r="H111" s="7">
        <v>2</v>
      </c>
      <c r="I111" s="7" t="s">
        <v>457</v>
      </c>
      <c r="J111" s="7" t="s">
        <v>234</v>
      </c>
    </row>
    <row r="112" spans="1:10" x14ac:dyDescent="0.3">
      <c r="A112" s="6" t="s">
        <v>470</v>
      </c>
      <c r="B112" s="7" t="s">
        <v>139</v>
      </c>
      <c r="C112" s="7" t="s">
        <v>140</v>
      </c>
      <c r="D112" s="7" t="s">
        <v>10</v>
      </c>
      <c r="E112" s="7" t="s">
        <v>468</v>
      </c>
      <c r="F112" s="7"/>
      <c r="G112" s="7" t="s">
        <v>471</v>
      </c>
      <c r="H112" s="7">
        <v>17</v>
      </c>
      <c r="I112" s="7" t="s">
        <v>173</v>
      </c>
      <c r="J112" s="7" t="s">
        <v>472</v>
      </c>
    </row>
    <row r="113" spans="1:10" x14ac:dyDescent="0.3">
      <c r="A113" s="6" t="s">
        <v>467</v>
      </c>
      <c r="B113" s="7" t="s">
        <v>139</v>
      </c>
      <c r="C113" s="7" t="s">
        <v>140</v>
      </c>
      <c r="D113" s="7" t="s">
        <v>10</v>
      </c>
      <c r="E113" s="7" t="s">
        <v>468</v>
      </c>
      <c r="F113" s="7"/>
      <c r="G113" s="7" t="s">
        <v>469</v>
      </c>
      <c r="H113" s="7">
        <v>52</v>
      </c>
      <c r="I113" s="7" t="s">
        <v>237</v>
      </c>
      <c r="J113" s="7" t="s">
        <v>203</v>
      </c>
    </row>
    <row r="114" spans="1:10" x14ac:dyDescent="0.3">
      <c r="A114" s="6" t="s">
        <v>477</v>
      </c>
      <c r="B114" s="7" t="s">
        <v>139</v>
      </c>
      <c r="C114" s="7" t="s">
        <v>140</v>
      </c>
      <c r="D114" s="7" t="s">
        <v>10</v>
      </c>
      <c r="E114" s="7" t="s">
        <v>474</v>
      </c>
      <c r="F114" s="7" t="s">
        <v>475</v>
      </c>
      <c r="G114" s="7" t="s">
        <v>478</v>
      </c>
      <c r="H114" s="7">
        <v>27</v>
      </c>
      <c r="I114" s="7" t="s">
        <v>479</v>
      </c>
      <c r="J114" s="7" t="s">
        <v>480</v>
      </c>
    </row>
    <row r="115" spans="1:10" x14ac:dyDescent="0.3">
      <c r="A115" s="6" t="s">
        <v>1709</v>
      </c>
      <c r="B115" s="7" t="s">
        <v>139</v>
      </c>
      <c r="C115" s="7" t="s">
        <v>140</v>
      </c>
      <c r="D115" s="7" t="s">
        <v>10</v>
      </c>
      <c r="E115" s="7" t="s">
        <v>474</v>
      </c>
      <c r="F115" s="7" t="s">
        <v>475</v>
      </c>
      <c r="G115" s="7" t="s">
        <v>1710</v>
      </c>
      <c r="H115" s="7">
        <v>33</v>
      </c>
      <c r="I115" s="7" t="s">
        <v>1715</v>
      </c>
      <c r="J115" s="7" t="s">
        <v>144</v>
      </c>
    </row>
    <row r="116" spans="1:10" x14ac:dyDescent="0.3">
      <c r="A116" s="6" t="s">
        <v>473</v>
      </c>
      <c r="B116" s="7" t="s">
        <v>139</v>
      </c>
      <c r="C116" s="7" t="s">
        <v>140</v>
      </c>
      <c r="D116" s="7" t="s">
        <v>10</v>
      </c>
      <c r="E116" s="7" t="s">
        <v>474</v>
      </c>
      <c r="F116" s="7" t="s">
        <v>475</v>
      </c>
      <c r="G116" s="7" t="s">
        <v>476</v>
      </c>
      <c r="H116" s="7">
        <v>50</v>
      </c>
      <c r="I116" s="7" t="s">
        <v>390</v>
      </c>
      <c r="J116" s="7" t="s">
        <v>422</v>
      </c>
    </row>
    <row r="117" spans="1:10" x14ac:dyDescent="0.3">
      <c r="A117" s="6" t="s">
        <v>481</v>
      </c>
      <c r="B117" s="7" t="s">
        <v>139</v>
      </c>
      <c r="C117" s="7" t="s">
        <v>140</v>
      </c>
      <c r="D117" s="7" t="s">
        <v>10</v>
      </c>
      <c r="E117" s="7" t="s">
        <v>482</v>
      </c>
      <c r="F117" s="7"/>
      <c r="G117" s="7" t="s">
        <v>483</v>
      </c>
      <c r="H117" s="7">
        <v>4</v>
      </c>
      <c r="I117" s="7" t="s">
        <v>484</v>
      </c>
      <c r="J117" s="7" t="s">
        <v>485</v>
      </c>
    </row>
    <row r="118" spans="1:10" x14ac:dyDescent="0.3">
      <c r="A118" s="6" t="s">
        <v>486</v>
      </c>
      <c r="B118" s="7" t="s">
        <v>139</v>
      </c>
      <c r="C118" s="7" t="s">
        <v>140</v>
      </c>
      <c r="D118" s="7" t="s">
        <v>10</v>
      </c>
      <c r="E118" s="7" t="s">
        <v>487</v>
      </c>
      <c r="F118" s="7"/>
      <c r="G118" s="7" t="s">
        <v>488</v>
      </c>
      <c r="H118" s="7">
        <v>5</v>
      </c>
      <c r="I118" s="7" t="s">
        <v>390</v>
      </c>
      <c r="J118" s="7" t="s">
        <v>247</v>
      </c>
    </row>
    <row r="119" spans="1:10" x14ac:dyDescent="0.3">
      <c r="A119" s="6" t="s">
        <v>489</v>
      </c>
      <c r="B119" s="7" t="s">
        <v>139</v>
      </c>
      <c r="C119" s="7" t="s">
        <v>140</v>
      </c>
      <c r="D119" s="7" t="s">
        <v>10</v>
      </c>
      <c r="E119" s="7" t="s">
        <v>490</v>
      </c>
      <c r="F119" s="7" t="s">
        <v>491</v>
      </c>
      <c r="G119" s="7" t="s">
        <v>492</v>
      </c>
      <c r="H119" s="7">
        <v>9</v>
      </c>
      <c r="I119" s="7" t="s">
        <v>196</v>
      </c>
      <c r="J119" s="7" t="s">
        <v>493</v>
      </c>
    </row>
    <row r="120" spans="1:10" x14ac:dyDescent="0.3">
      <c r="A120" s="6" t="s">
        <v>494</v>
      </c>
      <c r="B120" s="7" t="s">
        <v>139</v>
      </c>
      <c r="C120" s="7" t="s">
        <v>140</v>
      </c>
      <c r="D120" s="7" t="s">
        <v>10</v>
      </c>
      <c r="E120" s="7" t="s">
        <v>495</v>
      </c>
      <c r="F120" s="7" t="s">
        <v>496</v>
      </c>
      <c r="G120" s="7" t="s">
        <v>497</v>
      </c>
      <c r="H120" s="7">
        <v>56</v>
      </c>
      <c r="I120" s="7" t="s">
        <v>498</v>
      </c>
      <c r="J120" s="7" t="s">
        <v>499</v>
      </c>
    </row>
    <row r="121" spans="1:10" x14ac:dyDescent="0.3">
      <c r="A121" s="6" t="s">
        <v>500</v>
      </c>
      <c r="B121" s="7" t="s">
        <v>139</v>
      </c>
      <c r="C121" s="7" t="s">
        <v>140</v>
      </c>
      <c r="D121" s="7" t="s">
        <v>10</v>
      </c>
      <c r="E121" s="7" t="s">
        <v>495</v>
      </c>
      <c r="F121" s="7" t="s">
        <v>496</v>
      </c>
      <c r="G121" s="7" t="s">
        <v>501</v>
      </c>
      <c r="H121" s="7">
        <v>8</v>
      </c>
      <c r="I121" s="7" t="s">
        <v>320</v>
      </c>
      <c r="J121" s="7" t="s">
        <v>355</v>
      </c>
    </row>
    <row r="122" spans="1:10" x14ac:dyDescent="0.3">
      <c r="A122" s="6" t="s">
        <v>502</v>
      </c>
      <c r="B122" s="7" t="s">
        <v>139</v>
      </c>
      <c r="C122" s="7" t="s">
        <v>140</v>
      </c>
      <c r="D122" s="7" t="s">
        <v>10</v>
      </c>
      <c r="E122" s="7" t="s">
        <v>503</v>
      </c>
      <c r="F122" s="7"/>
      <c r="G122" s="7" t="s">
        <v>504</v>
      </c>
      <c r="H122" s="7">
        <v>16</v>
      </c>
      <c r="I122" s="7" t="s">
        <v>179</v>
      </c>
      <c r="J122" s="7" t="s">
        <v>180</v>
      </c>
    </row>
    <row r="123" spans="1:10" x14ac:dyDescent="0.3">
      <c r="A123" s="6" t="s">
        <v>505</v>
      </c>
      <c r="B123" s="7" t="s">
        <v>139</v>
      </c>
      <c r="C123" s="7" t="s">
        <v>140</v>
      </c>
      <c r="D123" s="7" t="s">
        <v>10</v>
      </c>
      <c r="E123" s="7" t="s">
        <v>506</v>
      </c>
      <c r="F123" s="7" t="s">
        <v>507</v>
      </c>
      <c r="G123" s="7" t="s">
        <v>85</v>
      </c>
      <c r="H123" s="7">
        <v>344</v>
      </c>
      <c r="I123" s="7" t="s">
        <v>87</v>
      </c>
      <c r="J123" s="7" t="s">
        <v>419</v>
      </c>
    </row>
    <row r="124" spans="1:10" x14ac:dyDescent="0.3">
      <c r="A124" s="6" t="s">
        <v>2709</v>
      </c>
      <c r="B124" s="7" t="s">
        <v>139</v>
      </c>
      <c r="C124" s="7" t="s">
        <v>140</v>
      </c>
      <c r="D124" s="7" t="s">
        <v>10</v>
      </c>
      <c r="E124" s="7" t="s">
        <v>506</v>
      </c>
      <c r="F124" s="7" t="s">
        <v>507</v>
      </c>
      <c r="G124" s="7" t="s">
        <v>85</v>
      </c>
      <c r="H124" s="7">
        <v>8</v>
      </c>
      <c r="I124" s="7" t="s">
        <v>87</v>
      </c>
      <c r="J124" s="7" t="s">
        <v>419</v>
      </c>
    </row>
    <row r="125" spans="1:10" x14ac:dyDescent="0.3">
      <c r="A125" s="6" t="s">
        <v>508</v>
      </c>
      <c r="B125" s="7" t="s">
        <v>139</v>
      </c>
      <c r="C125" s="7" t="s">
        <v>140</v>
      </c>
      <c r="D125" s="7" t="s">
        <v>10</v>
      </c>
      <c r="E125" s="7" t="s">
        <v>509</v>
      </c>
      <c r="F125" s="7" t="s">
        <v>510</v>
      </c>
      <c r="G125" s="7" t="s">
        <v>85</v>
      </c>
      <c r="H125" s="7">
        <v>128</v>
      </c>
      <c r="I125" s="7" t="s">
        <v>87</v>
      </c>
      <c r="J125" s="7" t="s">
        <v>419</v>
      </c>
    </row>
    <row r="126" spans="1:10" x14ac:dyDescent="0.3">
      <c r="A126" s="6" t="s">
        <v>515</v>
      </c>
      <c r="B126" s="7" t="s">
        <v>139</v>
      </c>
      <c r="C126" s="7" t="s">
        <v>140</v>
      </c>
      <c r="D126" s="7" t="s">
        <v>10</v>
      </c>
      <c r="E126" s="7" t="s">
        <v>516</v>
      </c>
      <c r="F126" s="7"/>
      <c r="G126" s="7" t="s">
        <v>517</v>
      </c>
      <c r="H126" s="7">
        <v>45</v>
      </c>
      <c r="I126" s="7" t="s">
        <v>518</v>
      </c>
      <c r="J126" s="7" t="s">
        <v>519</v>
      </c>
    </row>
    <row r="127" spans="1:10" x14ac:dyDescent="0.3">
      <c r="A127" s="6" t="s">
        <v>145</v>
      </c>
      <c r="B127" s="7" t="s">
        <v>139</v>
      </c>
      <c r="C127" s="7" t="s">
        <v>140</v>
      </c>
      <c r="D127" s="7" t="s">
        <v>10</v>
      </c>
      <c r="E127" s="7" t="s">
        <v>146</v>
      </c>
      <c r="F127" s="7"/>
      <c r="G127" s="7" t="s">
        <v>147</v>
      </c>
      <c r="H127" s="7">
        <v>14</v>
      </c>
      <c r="I127" s="7" t="s">
        <v>148</v>
      </c>
      <c r="J127" s="7" t="s">
        <v>149</v>
      </c>
    </row>
    <row r="128" spans="1:10" ht="15" x14ac:dyDescent="0.3">
      <c r="A128" s="10"/>
      <c r="B128" s="11"/>
      <c r="C128" s="11"/>
      <c r="D128" s="11" t="s">
        <v>2716</v>
      </c>
      <c r="E128" s="11" t="s">
        <v>2714</v>
      </c>
      <c r="F128" s="11"/>
      <c r="G128" s="11" t="s">
        <v>2717</v>
      </c>
      <c r="H128" s="11">
        <v>2213</v>
      </c>
      <c r="I128" s="11"/>
      <c r="J128" s="11"/>
    </row>
    <row r="129" spans="1:10" x14ac:dyDescent="0.3">
      <c r="A129" s="6" t="s">
        <v>648</v>
      </c>
      <c r="B129" s="7" t="s">
        <v>139</v>
      </c>
      <c r="C129" s="7" t="s">
        <v>643</v>
      </c>
      <c r="D129" s="7" t="s">
        <v>12</v>
      </c>
      <c r="E129" s="7" t="s">
        <v>649</v>
      </c>
      <c r="F129" s="7" t="s">
        <v>650</v>
      </c>
      <c r="G129" s="7" t="s">
        <v>651</v>
      </c>
      <c r="H129" s="7">
        <v>22</v>
      </c>
      <c r="I129" s="7" t="s">
        <v>652</v>
      </c>
      <c r="J129" s="7" t="s">
        <v>653</v>
      </c>
    </row>
    <row r="130" spans="1:10" x14ac:dyDescent="0.3">
      <c r="A130" s="6" t="s">
        <v>718</v>
      </c>
      <c r="B130" s="7" t="s">
        <v>139</v>
      </c>
      <c r="C130" s="7" t="s">
        <v>643</v>
      </c>
      <c r="D130" s="7" t="s">
        <v>12</v>
      </c>
      <c r="E130" s="7" t="s">
        <v>713</v>
      </c>
      <c r="F130" s="7" t="s">
        <v>714</v>
      </c>
      <c r="G130" s="7" t="s">
        <v>719</v>
      </c>
      <c r="H130" s="7">
        <v>0</v>
      </c>
      <c r="I130" s="7" t="s">
        <v>340</v>
      </c>
      <c r="J130" s="7" t="s">
        <v>662</v>
      </c>
    </row>
    <row r="131" spans="1:10" x14ac:dyDescent="0.3">
      <c r="A131" s="6" t="s">
        <v>1740</v>
      </c>
      <c r="B131" s="7" t="s">
        <v>139</v>
      </c>
      <c r="C131" s="7" t="s">
        <v>643</v>
      </c>
      <c r="D131" s="7" t="s">
        <v>12</v>
      </c>
      <c r="E131" s="7" t="s">
        <v>713</v>
      </c>
      <c r="F131" s="7" t="s">
        <v>714</v>
      </c>
      <c r="G131" s="7" t="s">
        <v>1741</v>
      </c>
      <c r="H131" s="7">
        <v>3</v>
      </c>
      <c r="I131" s="7" t="s">
        <v>1035</v>
      </c>
      <c r="J131" s="7" t="s">
        <v>1470</v>
      </c>
    </row>
    <row r="132" spans="1:10" x14ac:dyDescent="0.3">
      <c r="A132" s="6" t="s">
        <v>704</v>
      </c>
      <c r="B132" s="7" t="s">
        <v>139</v>
      </c>
      <c r="C132" s="7" t="s">
        <v>643</v>
      </c>
      <c r="D132" s="7" t="s">
        <v>12</v>
      </c>
      <c r="E132" s="7" t="s">
        <v>705</v>
      </c>
      <c r="F132" s="7" t="s">
        <v>706</v>
      </c>
      <c r="G132" s="7" t="s">
        <v>707</v>
      </c>
      <c r="H132" s="7">
        <v>24</v>
      </c>
      <c r="I132" s="7" t="s">
        <v>583</v>
      </c>
      <c r="J132" s="7" t="s">
        <v>708</v>
      </c>
    </row>
    <row r="133" spans="1:10" x14ac:dyDescent="0.3">
      <c r="A133" s="6" t="s">
        <v>709</v>
      </c>
      <c r="B133" s="7" t="s">
        <v>139</v>
      </c>
      <c r="C133" s="7" t="s">
        <v>643</v>
      </c>
      <c r="D133" s="7" t="s">
        <v>12</v>
      </c>
      <c r="E133" s="7" t="s">
        <v>710</v>
      </c>
      <c r="F133" s="7" t="s">
        <v>711</v>
      </c>
      <c r="G133" s="7" t="s">
        <v>120</v>
      </c>
      <c r="H133" s="7">
        <v>32</v>
      </c>
      <c r="I133" s="7" t="s">
        <v>123</v>
      </c>
      <c r="J133" s="7" t="s">
        <v>419</v>
      </c>
    </row>
    <row r="134" spans="1:10" x14ac:dyDescent="0.3">
      <c r="A134" s="6" t="s">
        <v>1746</v>
      </c>
      <c r="B134" s="7" t="s">
        <v>139</v>
      </c>
      <c r="C134" s="7" t="s">
        <v>643</v>
      </c>
      <c r="D134" s="7" t="s">
        <v>12</v>
      </c>
      <c r="E134" s="7" t="s">
        <v>1747</v>
      </c>
      <c r="F134" s="7" t="s">
        <v>1748</v>
      </c>
      <c r="G134" s="7" t="s">
        <v>1749</v>
      </c>
      <c r="H134" s="7">
        <v>10</v>
      </c>
      <c r="I134" s="7" t="s">
        <v>1083</v>
      </c>
      <c r="J134" s="7" t="s">
        <v>1751</v>
      </c>
    </row>
    <row r="135" spans="1:10" x14ac:dyDescent="0.3">
      <c r="A135" s="6" t="s">
        <v>720</v>
      </c>
      <c r="B135" s="7" t="s">
        <v>139</v>
      </c>
      <c r="C135" s="7" t="s">
        <v>643</v>
      </c>
      <c r="D135" s="7" t="s">
        <v>12</v>
      </c>
      <c r="E135" s="7" t="s">
        <v>721</v>
      </c>
      <c r="F135" s="7" t="s">
        <v>394</v>
      </c>
      <c r="G135" s="7" t="s">
        <v>722</v>
      </c>
      <c r="H135" s="7">
        <v>1</v>
      </c>
      <c r="I135" s="7" t="s">
        <v>723</v>
      </c>
      <c r="J135" s="7" t="s">
        <v>174</v>
      </c>
    </row>
    <row r="136" spans="1:10" x14ac:dyDescent="0.3">
      <c r="A136" s="6" t="s">
        <v>1752</v>
      </c>
      <c r="B136" s="7" t="s">
        <v>139</v>
      </c>
      <c r="C136" s="7" t="s">
        <v>643</v>
      </c>
      <c r="D136" s="7" t="s">
        <v>12</v>
      </c>
      <c r="E136" s="7" t="s">
        <v>1753</v>
      </c>
      <c r="F136" s="7" t="s">
        <v>1754</v>
      </c>
      <c r="G136" s="7" t="s">
        <v>1755</v>
      </c>
      <c r="H136" s="7">
        <v>38</v>
      </c>
      <c r="I136" s="7" t="s">
        <v>87</v>
      </c>
      <c r="J136" s="7" t="s">
        <v>1757</v>
      </c>
    </row>
    <row r="137" spans="1:10" x14ac:dyDescent="0.3">
      <c r="A137" s="6" t="s">
        <v>762</v>
      </c>
      <c r="B137" s="7" t="s">
        <v>139</v>
      </c>
      <c r="C137" s="7" t="s">
        <v>643</v>
      </c>
      <c r="D137" s="7" t="s">
        <v>12</v>
      </c>
      <c r="E137" s="7" t="s">
        <v>763</v>
      </c>
      <c r="F137" s="7" t="s">
        <v>764</v>
      </c>
      <c r="G137" s="7" t="s">
        <v>765</v>
      </c>
      <c r="H137" s="7">
        <v>13</v>
      </c>
      <c r="I137" s="7" t="s">
        <v>766</v>
      </c>
      <c r="J137" s="7" t="s">
        <v>174</v>
      </c>
    </row>
    <row r="138" spans="1:10" x14ac:dyDescent="0.3">
      <c r="A138" s="6" t="s">
        <v>724</v>
      </c>
      <c r="B138" s="7" t="s">
        <v>139</v>
      </c>
      <c r="C138" s="7" t="s">
        <v>643</v>
      </c>
      <c r="D138" s="7" t="s">
        <v>12</v>
      </c>
      <c r="E138" s="7" t="s">
        <v>482</v>
      </c>
      <c r="F138" s="7" t="s">
        <v>725</v>
      </c>
      <c r="G138" s="7" t="s">
        <v>726</v>
      </c>
      <c r="H138" s="7">
        <v>0</v>
      </c>
      <c r="I138" s="7" t="s">
        <v>647</v>
      </c>
      <c r="J138" s="7" t="s">
        <v>727</v>
      </c>
    </row>
    <row r="139" spans="1:10" x14ac:dyDescent="0.3">
      <c r="A139" s="6" t="s">
        <v>734</v>
      </c>
      <c r="B139" s="7" t="s">
        <v>139</v>
      </c>
      <c r="C139" s="7" t="s">
        <v>643</v>
      </c>
      <c r="D139" s="7" t="s">
        <v>12</v>
      </c>
      <c r="E139" s="7" t="s">
        <v>735</v>
      </c>
      <c r="F139" s="7" t="s">
        <v>577</v>
      </c>
      <c r="G139" s="7" t="s">
        <v>736</v>
      </c>
      <c r="H139" s="7">
        <v>5</v>
      </c>
      <c r="I139" s="7" t="s">
        <v>396</v>
      </c>
      <c r="J139" s="7" t="s">
        <v>737</v>
      </c>
    </row>
    <row r="140" spans="1:10" x14ac:dyDescent="0.3">
      <c r="A140" s="6" t="s">
        <v>738</v>
      </c>
      <c r="B140" s="7" t="s">
        <v>139</v>
      </c>
      <c r="C140" s="7" t="s">
        <v>643</v>
      </c>
      <c r="D140" s="7" t="s">
        <v>12</v>
      </c>
      <c r="E140" s="7" t="s">
        <v>739</v>
      </c>
      <c r="F140" s="7" t="s">
        <v>740</v>
      </c>
      <c r="G140" s="7" t="s">
        <v>741</v>
      </c>
      <c r="H140" s="7">
        <v>83</v>
      </c>
      <c r="I140" s="7" t="s">
        <v>682</v>
      </c>
      <c r="J140" s="7" t="s">
        <v>742</v>
      </c>
    </row>
    <row r="141" spans="1:10" x14ac:dyDescent="0.3">
      <c r="A141" s="6" t="s">
        <v>743</v>
      </c>
      <c r="B141" s="7" t="s">
        <v>139</v>
      </c>
      <c r="C141" s="7" t="s">
        <v>643</v>
      </c>
      <c r="D141" s="7" t="s">
        <v>12</v>
      </c>
      <c r="E141" s="7" t="s">
        <v>744</v>
      </c>
      <c r="F141" s="7" t="s">
        <v>745</v>
      </c>
      <c r="G141" s="7" t="s">
        <v>746</v>
      </c>
      <c r="H141" s="7">
        <v>6</v>
      </c>
      <c r="I141" s="7" t="s">
        <v>747</v>
      </c>
      <c r="J141" s="7" t="s">
        <v>144</v>
      </c>
    </row>
    <row r="142" spans="1:10" x14ac:dyDescent="0.3">
      <c r="A142" s="6" t="s">
        <v>748</v>
      </c>
      <c r="B142" s="7" t="s">
        <v>139</v>
      </c>
      <c r="C142" s="7" t="s">
        <v>643</v>
      </c>
      <c r="D142" s="7" t="s">
        <v>12</v>
      </c>
      <c r="E142" s="7" t="s">
        <v>591</v>
      </c>
      <c r="F142" s="7" t="s">
        <v>592</v>
      </c>
      <c r="G142" s="7" t="s">
        <v>749</v>
      </c>
      <c r="H142" s="7">
        <v>4</v>
      </c>
      <c r="I142" s="7" t="s">
        <v>306</v>
      </c>
      <c r="J142" s="7" t="s">
        <v>149</v>
      </c>
    </row>
    <row r="143" spans="1:10" x14ac:dyDescent="0.3">
      <c r="A143" s="6" t="s">
        <v>1758</v>
      </c>
      <c r="B143" s="7" t="s">
        <v>139</v>
      </c>
      <c r="C143" s="7" t="s">
        <v>643</v>
      </c>
      <c r="D143" s="7" t="s">
        <v>12</v>
      </c>
      <c r="E143" s="7" t="s">
        <v>1759</v>
      </c>
      <c r="F143" s="7" t="s">
        <v>1760</v>
      </c>
      <c r="G143" s="7" t="s">
        <v>1761</v>
      </c>
      <c r="H143" s="7">
        <v>7</v>
      </c>
      <c r="I143" s="7" t="s">
        <v>1765</v>
      </c>
      <c r="J143" s="7" t="s">
        <v>174</v>
      </c>
    </row>
    <row r="144" spans="1:10" x14ac:dyDescent="0.3">
      <c r="A144" s="6" t="s">
        <v>750</v>
      </c>
      <c r="B144" s="7" t="s">
        <v>139</v>
      </c>
      <c r="C144" s="7" t="s">
        <v>643</v>
      </c>
      <c r="D144" s="7" t="s">
        <v>12</v>
      </c>
      <c r="E144" s="7" t="s">
        <v>751</v>
      </c>
      <c r="F144" s="7" t="s">
        <v>752</v>
      </c>
      <c r="G144" s="7" t="s">
        <v>753</v>
      </c>
      <c r="H144" s="7">
        <v>10</v>
      </c>
      <c r="I144" s="7" t="s">
        <v>396</v>
      </c>
      <c r="J144" s="7" t="s">
        <v>737</v>
      </c>
    </row>
    <row r="145" spans="1:10" x14ac:dyDescent="0.3">
      <c r="A145" s="6" t="s">
        <v>728</v>
      </c>
      <c r="B145" s="7" t="s">
        <v>139</v>
      </c>
      <c r="C145" s="7" t="s">
        <v>643</v>
      </c>
      <c r="D145" s="7" t="s">
        <v>12</v>
      </c>
      <c r="E145" s="7" t="s">
        <v>729</v>
      </c>
      <c r="F145" s="7" t="s">
        <v>730</v>
      </c>
      <c r="G145" s="7" t="s">
        <v>731</v>
      </c>
      <c r="H145" s="7">
        <v>39</v>
      </c>
      <c r="I145" s="7" t="s">
        <v>732</v>
      </c>
      <c r="J145" s="7" t="s">
        <v>733</v>
      </c>
    </row>
    <row r="146" spans="1:10" x14ac:dyDescent="0.3">
      <c r="A146" s="6" t="s">
        <v>754</v>
      </c>
      <c r="B146" s="7" t="s">
        <v>139</v>
      </c>
      <c r="C146" s="7" t="s">
        <v>643</v>
      </c>
      <c r="D146" s="7" t="s">
        <v>12</v>
      </c>
      <c r="E146" s="7" t="s">
        <v>755</v>
      </c>
      <c r="F146" s="7" t="s">
        <v>756</v>
      </c>
      <c r="G146" s="7" t="s">
        <v>757</v>
      </c>
      <c r="H146" s="7">
        <v>7</v>
      </c>
      <c r="I146" s="7" t="s">
        <v>202</v>
      </c>
      <c r="J146" s="7" t="s">
        <v>169</v>
      </c>
    </row>
    <row r="147" spans="1:10" x14ac:dyDescent="0.3">
      <c r="A147" s="6" t="s">
        <v>716</v>
      </c>
      <c r="B147" s="7" t="s">
        <v>139</v>
      </c>
      <c r="C147" s="7" t="s">
        <v>643</v>
      </c>
      <c r="D147" s="7" t="s">
        <v>12</v>
      </c>
      <c r="E147" s="7" t="s">
        <v>713</v>
      </c>
      <c r="F147" s="7" t="s">
        <v>714</v>
      </c>
      <c r="G147" s="7" t="s">
        <v>717</v>
      </c>
      <c r="H147" s="7">
        <v>0</v>
      </c>
      <c r="I147" s="7" t="s">
        <v>168</v>
      </c>
      <c r="J147" s="7" t="s">
        <v>144</v>
      </c>
    </row>
    <row r="148" spans="1:10" x14ac:dyDescent="0.3">
      <c r="A148" s="6" t="s">
        <v>699</v>
      </c>
      <c r="B148" s="7" t="s">
        <v>139</v>
      </c>
      <c r="C148" s="7" t="s">
        <v>643</v>
      </c>
      <c r="D148" s="7" t="s">
        <v>12</v>
      </c>
      <c r="E148" s="7" t="s">
        <v>700</v>
      </c>
      <c r="F148" s="7" t="s">
        <v>701</v>
      </c>
      <c r="G148" s="7" t="s">
        <v>702</v>
      </c>
      <c r="H148" s="7">
        <v>4</v>
      </c>
      <c r="I148" s="7" t="s">
        <v>703</v>
      </c>
      <c r="J148" s="7" t="s">
        <v>174</v>
      </c>
    </row>
    <row r="149" spans="1:10" x14ac:dyDescent="0.3">
      <c r="A149" s="6" t="s">
        <v>654</v>
      </c>
      <c r="B149" s="7" t="s">
        <v>139</v>
      </c>
      <c r="C149" s="7" t="s">
        <v>643</v>
      </c>
      <c r="D149" s="7" t="s">
        <v>12</v>
      </c>
      <c r="E149" s="7" t="s">
        <v>655</v>
      </c>
      <c r="F149" s="7" t="s">
        <v>656</v>
      </c>
      <c r="G149" s="7" t="s">
        <v>657</v>
      </c>
      <c r="H149" s="7">
        <v>2</v>
      </c>
      <c r="I149" s="7" t="s">
        <v>202</v>
      </c>
      <c r="J149" s="7" t="s">
        <v>658</v>
      </c>
    </row>
    <row r="150" spans="1:10" x14ac:dyDescent="0.3">
      <c r="A150" s="6" t="s">
        <v>642</v>
      </c>
      <c r="B150" s="7" t="s">
        <v>139</v>
      </c>
      <c r="C150" s="7" t="s">
        <v>643</v>
      </c>
      <c r="D150" s="7" t="s">
        <v>12</v>
      </c>
      <c r="E150" s="7" t="s">
        <v>644</v>
      </c>
      <c r="F150" s="7" t="s">
        <v>645</v>
      </c>
      <c r="G150" s="7" t="s">
        <v>646</v>
      </c>
      <c r="H150" s="7">
        <v>5</v>
      </c>
      <c r="I150" s="7" t="s">
        <v>647</v>
      </c>
      <c r="J150" s="7" t="s">
        <v>617</v>
      </c>
    </row>
    <row r="151" spans="1:10" x14ac:dyDescent="0.3">
      <c r="A151" s="6" t="s">
        <v>659</v>
      </c>
      <c r="B151" s="7" t="s">
        <v>139</v>
      </c>
      <c r="C151" s="7" t="s">
        <v>643</v>
      </c>
      <c r="D151" s="7" t="s">
        <v>12</v>
      </c>
      <c r="E151" s="7" t="s">
        <v>205</v>
      </c>
      <c r="F151" s="7" t="s">
        <v>660</v>
      </c>
      <c r="G151" s="7" t="s">
        <v>661</v>
      </c>
      <c r="H151" s="7">
        <v>38</v>
      </c>
      <c r="I151" s="7" t="s">
        <v>457</v>
      </c>
      <c r="J151" s="7" t="s">
        <v>662</v>
      </c>
    </row>
    <row r="152" spans="1:10" x14ac:dyDescent="0.3">
      <c r="A152" s="6" t="s">
        <v>663</v>
      </c>
      <c r="B152" s="7" t="s">
        <v>139</v>
      </c>
      <c r="C152" s="7" t="s">
        <v>643</v>
      </c>
      <c r="D152" s="7" t="s">
        <v>12</v>
      </c>
      <c r="E152" s="7" t="s">
        <v>664</v>
      </c>
      <c r="F152" s="7" t="s">
        <v>665</v>
      </c>
      <c r="G152" s="7" t="s">
        <v>666</v>
      </c>
      <c r="H152" s="7">
        <v>19</v>
      </c>
      <c r="I152" s="7" t="s">
        <v>390</v>
      </c>
      <c r="J152" s="7" t="s">
        <v>391</v>
      </c>
    </row>
    <row r="153" spans="1:10" x14ac:dyDescent="0.3">
      <c r="A153" s="6" t="s">
        <v>671</v>
      </c>
      <c r="B153" s="7" t="s">
        <v>139</v>
      </c>
      <c r="C153" s="7" t="s">
        <v>643</v>
      </c>
      <c r="D153" s="7" t="s">
        <v>12</v>
      </c>
      <c r="E153" s="7" t="s">
        <v>668</v>
      </c>
      <c r="F153" s="7" t="s">
        <v>669</v>
      </c>
      <c r="G153" s="7" t="s">
        <v>672</v>
      </c>
      <c r="H153" s="7">
        <v>12</v>
      </c>
      <c r="I153" s="7" t="s">
        <v>673</v>
      </c>
      <c r="J153" s="7" t="s">
        <v>184</v>
      </c>
    </row>
    <row r="154" spans="1:10" x14ac:dyDescent="0.3">
      <c r="A154" s="6" t="s">
        <v>667</v>
      </c>
      <c r="B154" s="7" t="s">
        <v>139</v>
      </c>
      <c r="C154" s="7" t="s">
        <v>643</v>
      </c>
      <c r="D154" s="7" t="s">
        <v>12</v>
      </c>
      <c r="E154" s="7" t="s">
        <v>668</v>
      </c>
      <c r="F154" s="7" t="s">
        <v>669</v>
      </c>
      <c r="G154" s="7" t="s">
        <v>670</v>
      </c>
      <c r="H154" s="7">
        <v>9</v>
      </c>
      <c r="I154" s="7" t="s">
        <v>607</v>
      </c>
      <c r="J154" s="7" t="s">
        <v>144</v>
      </c>
    </row>
    <row r="155" spans="1:10" x14ac:dyDescent="0.3">
      <c r="A155" s="6" t="s">
        <v>712</v>
      </c>
      <c r="B155" s="7" t="s">
        <v>139</v>
      </c>
      <c r="C155" s="7" t="s">
        <v>643</v>
      </c>
      <c r="D155" s="7" t="s">
        <v>12</v>
      </c>
      <c r="E155" s="7" t="s">
        <v>713</v>
      </c>
      <c r="F155" s="7" t="s">
        <v>714</v>
      </c>
      <c r="G155" s="7" t="s">
        <v>715</v>
      </c>
      <c r="H155" s="7">
        <v>0</v>
      </c>
      <c r="I155" s="7" t="s">
        <v>349</v>
      </c>
      <c r="J155" s="7" t="s">
        <v>234</v>
      </c>
    </row>
    <row r="156" spans="1:10" x14ac:dyDescent="0.3">
      <c r="A156" s="6" t="s">
        <v>1723</v>
      </c>
      <c r="B156" s="7" t="s">
        <v>139</v>
      </c>
      <c r="C156" s="7" t="s">
        <v>643</v>
      </c>
      <c r="D156" s="7" t="s">
        <v>12</v>
      </c>
      <c r="E156" s="7" t="s">
        <v>1724</v>
      </c>
      <c r="F156" s="7" t="s">
        <v>1580</v>
      </c>
      <c r="G156" s="7" t="s">
        <v>1725</v>
      </c>
      <c r="H156" s="7">
        <v>11</v>
      </c>
      <c r="I156" s="7" t="s">
        <v>1304</v>
      </c>
      <c r="J156" s="7" t="s">
        <v>174</v>
      </c>
    </row>
    <row r="157" spans="1:10" x14ac:dyDescent="0.3">
      <c r="A157" s="6" t="s">
        <v>674</v>
      </c>
      <c r="B157" s="7" t="s">
        <v>139</v>
      </c>
      <c r="C157" s="7" t="s">
        <v>643</v>
      </c>
      <c r="D157" s="7" t="s">
        <v>12</v>
      </c>
      <c r="E157" s="7" t="s">
        <v>675</v>
      </c>
      <c r="F157" s="7" t="s">
        <v>676</v>
      </c>
      <c r="G157" s="7" t="s">
        <v>677</v>
      </c>
      <c r="H157" s="7">
        <v>15</v>
      </c>
      <c r="I157" s="7" t="s">
        <v>678</v>
      </c>
      <c r="J157" s="7" t="s">
        <v>679</v>
      </c>
    </row>
    <row r="158" spans="1:10" x14ac:dyDescent="0.3">
      <c r="A158" s="6" t="s">
        <v>683</v>
      </c>
      <c r="B158" s="7" t="s">
        <v>139</v>
      </c>
      <c r="C158" s="7" t="s">
        <v>643</v>
      </c>
      <c r="D158" s="7" t="s">
        <v>12</v>
      </c>
      <c r="E158" s="7" t="s">
        <v>684</v>
      </c>
      <c r="F158" s="7" t="s">
        <v>685</v>
      </c>
      <c r="G158" s="7" t="s">
        <v>686</v>
      </c>
      <c r="H158" s="7">
        <v>1</v>
      </c>
      <c r="I158" s="7" t="s">
        <v>315</v>
      </c>
      <c r="J158" s="7" t="s">
        <v>174</v>
      </c>
    </row>
    <row r="159" spans="1:10" x14ac:dyDescent="0.3">
      <c r="A159" s="6" t="s">
        <v>687</v>
      </c>
      <c r="B159" s="7" t="s">
        <v>139</v>
      </c>
      <c r="C159" s="7" t="s">
        <v>643</v>
      </c>
      <c r="D159" s="7" t="s">
        <v>12</v>
      </c>
      <c r="E159" s="7" t="s">
        <v>688</v>
      </c>
      <c r="F159" s="7" t="s">
        <v>689</v>
      </c>
      <c r="G159" s="7" t="s">
        <v>690</v>
      </c>
      <c r="H159" s="7">
        <v>7</v>
      </c>
      <c r="I159" s="7" t="s">
        <v>498</v>
      </c>
      <c r="J159" s="7" t="s">
        <v>277</v>
      </c>
    </row>
    <row r="160" spans="1:10" x14ac:dyDescent="0.3">
      <c r="A160" s="6" t="s">
        <v>691</v>
      </c>
      <c r="B160" s="7" t="s">
        <v>139</v>
      </c>
      <c r="C160" s="7" t="s">
        <v>643</v>
      </c>
      <c r="D160" s="7" t="s">
        <v>12</v>
      </c>
      <c r="E160" s="7" t="s">
        <v>688</v>
      </c>
      <c r="F160" s="7" t="s">
        <v>689</v>
      </c>
      <c r="G160" s="7" t="s">
        <v>692</v>
      </c>
      <c r="H160" s="7">
        <v>4</v>
      </c>
      <c r="I160" s="7" t="s">
        <v>652</v>
      </c>
      <c r="J160" s="7" t="s">
        <v>184</v>
      </c>
    </row>
    <row r="161" spans="1:10" x14ac:dyDescent="0.3">
      <c r="A161" s="6" t="s">
        <v>693</v>
      </c>
      <c r="B161" s="7" t="s">
        <v>139</v>
      </c>
      <c r="C161" s="7" t="s">
        <v>643</v>
      </c>
      <c r="D161" s="7" t="s">
        <v>12</v>
      </c>
      <c r="E161" s="7" t="s">
        <v>694</v>
      </c>
      <c r="F161" s="7" t="s">
        <v>695</v>
      </c>
      <c r="G161" s="7" t="s">
        <v>696</v>
      </c>
      <c r="H161" s="7">
        <v>10</v>
      </c>
      <c r="I161" s="7" t="s">
        <v>697</v>
      </c>
      <c r="J161" s="7" t="s">
        <v>698</v>
      </c>
    </row>
    <row r="162" spans="1:10" x14ac:dyDescent="0.3">
      <c r="A162" s="6" t="s">
        <v>1730</v>
      </c>
      <c r="B162" s="7" t="s">
        <v>139</v>
      </c>
      <c r="C162" s="7" t="s">
        <v>643</v>
      </c>
      <c r="D162" s="7" t="s">
        <v>12</v>
      </c>
      <c r="E162" s="7" t="s">
        <v>1731</v>
      </c>
      <c r="F162" s="7" t="s">
        <v>1732</v>
      </c>
      <c r="G162" s="7" t="s">
        <v>1733</v>
      </c>
      <c r="H162" s="7">
        <v>23</v>
      </c>
      <c r="I162" s="7" t="s">
        <v>1736</v>
      </c>
      <c r="J162" s="7" t="s">
        <v>174</v>
      </c>
    </row>
    <row r="163" spans="1:10" x14ac:dyDescent="0.3">
      <c r="A163" s="6" t="s">
        <v>680</v>
      </c>
      <c r="B163" s="7" t="s">
        <v>139</v>
      </c>
      <c r="C163" s="7" t="s">
        <v>643</v>
      </c>
      <c r="D163" s="7" t="s">
        <v>12</v>
      </c>
      <c r="E163" s="7" t="s">
        <v>675</v>
      </c>
      <c r="F163" s="7" t="s">
        <v>676</v>
      </c>
      <c r="G163" s="7" t="s">
        <v>681</v>
      </c>
      <c r="H163" s="7">
        <v>49</v>
      </c>
      <c r="I163" s="7" t="s">
        <v>682</v>
      </c>
      <c r="J163" s="7" t="s">
        <v>679</v>
      </c>
    </row>
    <row r="164" spans="1:10" x14ac:dyDescent="0.3">
      <c r="A164" s="6" t="s">
        <v>758</v>
      </c>
      <c r="B164" s="7" t="s">
        <v>139</v>
      </c>
      <c r="C164" s="7" t="s">
        <v>643</v>
      </c>
      <c r="D164" s="7" t="s">
        <v>12</v>
      </c>
      <c r="E164" s="7" t="s">
        <v>759</v>
      </c>
      <c r="F164" s="7" t="s">
        <v>760</v>
      </c>
      <c r="G164" s="7" t="s">
        <v>761</v>
      </c>
      <c r="H164" s="7">
        <v>0</v>
      </c>
      <c r="I164" s="7" t="s">
        <v>498</v>
      </c>
      <c r="J164" s="7" t="s">
        <v>662</v>
      </c>
    </row>
    <row r="165" spans="1:10" ht="15" x14ac:dyDescent="0.3">
      <c r="A165" s="10"/>
      <c r="B165" s="11"/>
      <c r="C165" s="11"/>
      <c r="D165" s="11" t="s">
        <v>2718</v>
      </c>
      <c r="E165" s="11" t="s">
        <v>2714</v>
      </c>
      <c r="F165" s="11"/>
      <c r="G165" s="11" t="s">
        <v>2719</v>
      </c>
      <c r="H165" s="11">
        <v>513</v>
      </c>
      <c r="I165" s="11"/>
      <c r="J165" s="11"/>
    </row>
    <row r="166" spans="1:10" x14ac:dyDescent="0.3">
      <c r="A166" s="6" t="s">
        <v>1774</v>
      </c>
      <c r="B166" s="7" t="s">
        <v>139</v>
      </c>
      <c r="C166" s="7" t="s">
        <v>1767</v>
      </c>
      <c r="D166" s="7" t="s">
        <v>14</v>
      </c>
      <c r="E166" s="7" t="s">
        <v>1141</v>
      </c>
      <c r="F166" s="7" t="s">
        <v>1142</v>
      </c>
      <c r="G166" s="7" t="s">
        <v>1775</v>
      </c>
      <c r="H166" s="7"/>
      <c r="I166" s="7" t="s">
        <v>1777</v>
      </c>
      <c r="J166" s="7" t="s">
        <v>1778</v>
      </c>
    </row>
    <row r="167" spans="1:10" x14ac:dyDescent="0.3">
      <c r="A167" s="6" t="s">
        <v>1766</v>
      </c>
      <c r="B167" s="7" t="s">
        <v>139</v>
      </c>
      <c r="C167" s="7" t="s">
        <v>1767</v>
      </c>
      <c r="D167" s="7" t="s">
        <v>14</v>
      </c>
      <c r="E167" s="7" t="s">
        <v>576</v>
      </c>
      <c r="F167" s="7" t="s">
        <v>577</v>
      </c>
      <c r="G167" s="7" t="s">
        <v>1768</v>
      </c>
      <c r="H167" s="7"/>
      <c r="I167" s="7" t="s">
        <v>1773</v>
      </c>
      <c r="J167" s="7"/>
    </row>
    <row r="168" spans="1:10" ht="15" x14ac:dyDescent="0.3">
      <c r="A168" s="10"/>
      <c r="B168" s="11"/>
      <c r="C168" s="11"/>
      <c r="D168" s="11" t="s">
        <v>2720</v>
      </c>
      <c r="E168" s="11" t="s">
        <v>2714</v>
      </c>
      <c r="F168" s="11"/>
      <c r="G168" s="11" t="s">
        <v>2721</v>
      </c>
      <c r="H168" s="11">
        <v>0</v>
      </c>
      <c r="I168" s="11"/>
      <c r="J168" s="11"/>
    </row>
    <row r="169" spans="1:10" x14ac:dyDescent="0.3">
      <c r="A169" s="6" t="s">
        <v>767</v>
      </c>
      <c r="B169" s="7" t="s">
        <v>139</v>
      </c>
      <c r="C169" s="7" t="s">
        <v>643</v>
      </c>
      <c r="D169" s="7" t="s">
        <v>15</v>
      </c>
      <c r="E169" s="7" t="s">
        <v>768</v>
      </c>
      <c r="F169" s="7" t="s">
        <v>769</v>
      </c>
      <c r="G169" s="7" t="s">
        <v>770</v>
      </c>
      <c r="H169" s="7"/>
      <c r="I169" s="7" t="s">
        <v>220</v>
      </c>
      <c r="J169" s="7" t="s">
        <v>771</v>
      </c>
    </row>
    <row r="170" spans="1:10" ht="15" x14ac:dyDescent="0.3">
      <c r="A170" s="10"/>
      <c r="B170" s="11"/>
      <c r="C170" s="11"/>
      <c r="D170" s="11" t="s">
        <v>2722</v>
      </c>
      <c r="E170" s="11" t="s">
        <v>2714</v>
      </c>
      <c r="F170" s="11"/>
      <c r="G170" s="11" t="s">
        <v>2715</v>
      </c>
      <c r="H170" s="11">
        <v>0</v>
      </c>
      <c r="I170" s="11"/>
      <c r="J170" s="11"/>
    </row>
    <row r="171" spans="1:10" x14ac:dyDescent="0.3">
      <c r="A171" s="6" t="s">
        <v>1023</v>
      </c>
      <c r="B171" s="7" t="s">
        <v>139</v>
      </c>
      <c r="C171" s="7" t="s">
        <v>773</v>
      </c>
      <c r="D171" s="7" t="s">
        <v>16</v>
      </c>
      <c r="E171" s="7" t="s">
        <v>1015</v>
      </c>
      <c r="F171" s="7" t="s">
        <v>1016</v>
      </c>
      <c r="G171" s="7" t="s">
        <v>1024</v>
      </c>
      <c r="H171" s="7">
        <v>1</v>
      </c>
      <c r="I171" s="7" t="s">
        <v>697</v>
      </c>
      <c r="J171" s="7" t="s">
        <v>1025</v>
      </c>
    </row>
    <row r="172" spans="1:10" x14ac:dyDescent="0.3">
      <c r="A172" s="6" t="s">
        <v>941</v>
      </c>
      <c r="B172" s="7" t="s">
        <v>139</v>
      </c>
      <c r="C172" s="7" t="s">
        <v>773</v>
      </c>
      <c r="D172" s="7" t="s">
        <v>16</v>
      </c>
      <c r="E172" s="7" t="s">
        <v>942</v>
      </c>
      <c r="F172" s="7" t="s">
        <v>943</v>
      </c>
      <c r="G172" s="7" t="s">
        <v>944</v>
      </c>
      <c r="H172" s="7">
        <v>7</v>
      </c>
      <c r="I172" s="7" t="s">
        <v>678</v>
      </c>
      <c r="J172" s="7" t="s">
        <v>945</v>
      </c>
    </row>
    <row r="173" spans="1:10" x14ac:dyDescent="0.3">
      <c r="A173" s="6" t="s">
        <v>938</v>
      </c>
      <c r="B173" s="7" t="s">
        <v>139</v>
      </c>
      <c r="C173" s="7" t="s">
        <v>773</v>
      </c>
      <c r="D173" s="7" t="s">
        <v>16</v>
      </c>
      <c r="E173" s="7" t="s">
        <v>934</v>
      </c>
      <c r="F173" s="7" t="s">
        <v>935</v>
      </c>
      <c r="G173" s="7" t="s">
        <v>939</v>
      </c>
      <c r="H173" s="7">
        <v>14</v>
      </c>
      <c r="I173" s="7" t="s">
        <v>940</v>
      </c>
      <c r="J173" s="7" t="s">
        <v>815</v>
      </c>
    </row>
    <row r="174" spans="1:10" x14ac:dyDescent="0.3">
      <c r="A174" s="6" t="s">
        <v>933</v>
      </c>
      <c r="B174" s="7" t="s">
        <v>139</v>
      </c>
      <c r="C174" s="7" t="s">
        <v>773</v>
      </c>
      <c r="D174" s="7" t="s">
        <v>16</v>
      </c>
      <c r="E174" s="7" t="s">
        <v>934</v>
      </c>
      <c r="F174" s="7" t="s">
        <v>935</v>
      </c>
      <c r="G174" s="7" t="s">
        <v>936</v>
      </c>
      <c r="H174" s="7">
        <v>12</v>
      </c>
      <c r="I174" s="7" t="s">
        <v>937</v>
      </c>
      <c r="J174" s="7" t="s">
        <v>641</v>
      </c>
    </row>
    <row r="175" spans="1:10" x14ac:dyDescent="0.3">
      <c r="A175" s="6" t="s">
        <v>927</v>
      </c>
      <c r="B175" s="7" t="s">
        <v>139</v>
      </c>
      <c r="C175" s="7" t="s">
        <v>773</v>
      </c>
      <c r="D175" s="7" t="s">
        <v>16</v>
      </c>
      <c r="E175" s="7" t="s">
        <v>928</v>
      </c>
      <c r="F175" s="7" t="s">
        <v>929</v>
      </c>
      <c r="G175" s="7" t="s">
        <v>930</v>
      </c>
      <c r="H175" s="7">
        <v>5</v>
      </c>
      <c r="I175" s="7" t="s">
        <v>931</v>
      </c>
      <c r="J175" s="7" t="s">
        <v>932</v>
      </c>
    </row>
    <row r="176" spans="1:10" x14ac:dyDescent="0.3">
      <c r="A176" s="6" t="s">
        <v>920</v>
      </c>
      <c r="B176" s="7" t="s">
        <v>139</v>
      </c>
      <c r="C176" s="7" t="s">
        <v>773</v>
      </c>
      <c r="D176" s="7" t="s">
        <v>16</v>
      </c>
      <c r="E176" s="7" t="s">
        <v>921</v>
      </c>
      <c r="F176" s="7" t="s">
        <v>922</v>
      </c>
      <c r="G176" s="7" t="s">
        <v>923</v>
      </c>
      <c r="H176" s="7">
        <v>2</v>
      </c>
      <c r="I176" s="7" t="s">
        <v>434</v>
      </c>
      <c r="J176" s="7" t="s">
        <v>924</v>
      </c>
    </row>
    <row r="177" spans="1:10" x14ac:dyDescent="0.3">
      <c r="A177" s="6" t="s">
        <v>925</v>
      </c>
      <c r="B177" s="7" t="s">
        <v>139</v>
      </c>
      <c r="C177" s="7" t="s">
        <v>773</v>
      </c>
      <c r="D177" s="7" t="s">
        <v>16</v>
      </c>
      <c r="E177" s="7" t="s">
        <v>921</v>
      </c>
      <c r="F177" s="7" t="s">
        <v>922</v>
      </c>
      <c r="G177" s="7" t="s">
        <v>926</v>
      </c>
      <c r="H177" s="7">
        <v>9</v>
      </c>
      <c r="I177" s="7" t="s">
        <v>682</v>
      </c>
      <c r="J177" s="7" t="s">
        <v>174</v>
      </c>
    </row>
    <row r="178" spans="1:10" x14ac:dyDescent="0.3">
      <c r="A178" s="6" t="s">
        <v>951</v>
      </c>
      <c r="B178" s="7" t="s">
        <v>139</v>
      </c>
      <c r="C178" s="7" t="s">
        <v>773</v>
      </c>
      <c r="D178" s="7" t="s">
        <v>16</v>
      </c>
      <c r="E178" s="7" t="s">
        <v>952</v>
      </c>
      <c r="F178" s="7" t="s">
        <v>953</v>
      </c>
      <c r="G178" s="7" t="s">
        <v>954</v>
      </c>
      <c r="H178" s="7">
        <v>3</v>
      </c>
      <c r="I178" s="7" t="s">
        <v>955</v>
      </c>
      <c r="J178" s="7" t="s">
        <v>385</v>
      </c>
    </row>
    <row r="179" spans="1:10" x14ac:dyDescent="0.3">
      <c r="A179" s="6" t="s">
        <v>917</v>
      </c>
      <c r="B179" s="7" t="s">
        <v>139</v>
      </c>
      <c r="C179" s="7" t="s">
        <v>773</v>
      </c>
      <c r="D179" s="7" t="s">
        <v>16</v>
      </c>
      <c r="E179" s="7" t="s">
        <v>912</v>
      </c>
      <c r="F179" s="7" t="s">
        <v>913</v>
      </c>
      <c r="G179" s="7" t="s">
        <v>918</v>
      </c>
      <c r="H179" s="7">
        <v>5</v>
      </c>
      <c r="I179" s="7" t="s">
        <v>434</v>
      </c>
      <c r="J179" s="7" t="s">
        <v>919</v>
      </c>
    </row>
    <row r="180" spans="1:10" x14ac:dyDescent="0.3">
      <c r="A180" s="6" t="s">
        <v>906</v>
      </c>
      <c r="B180" s="7" t="s">
        <v>139</v>
      </c>
      <c r="C180" s="7" t="s">
        <v>773</v>
      </c>
      <c r="D180" s="7" t="s">
        <v>16</v>
      </c>
      <c r="E180" s="7" t="s">
        <v>907</v>
      </c>
      <c r="F180" s="7" t="s">
        <v>908</v>
      </c>
      <c r="G180" s="7" t="s">
        <v>909</v>
      </c>
      <c r="H180" s="7"/>
      <c r="I180" s="7" t="s">
        <v>337</v>
      </c>
      <c r="J180" s="7" t="s">
        <v>910</v>
      </c>
    </row>
    <row r="181" spans="1:10" x14ac:dyDescent="0.3">
      <c r="A181" s="6" t="s">
        <v>901</v>
      </c>
      <c r="B181" s="7" t="s">
        <v>139</v>
      </c>
      <c r="C181" s="7" t="s">
        <v>773</v>
      </c>
      <c r="D181" s="7" t="s">
        <v>16</v>
      </c>
      <c r="E181" s="7" t="s">
        <v>902</v>
      </c>
      <c r="F181" s="7" t="s">
        <v>903</v>
      </c>
      <c r="G181" s="7" t="s">
        <v>904</v>
      </c>
      <c r="H181" s="7">
        <v>1</v>
      </c>
      <c r="I181" s="7" t="s">
        <v>805</v>
      </c>
      <c r="J181" s="7" t="s">
        <v>905</v>
      </c>
    </row>
    <row r="182" spans="1:10" x14ac:dyDescent="0.3">
      <c r="A182" s="6" t="s">
        <v>1835</v>
      </c>
      <c r="B182" s="7" t="s">
        <v>139</v>
      </c>
      <c r="C182" s="7" t="s">
        <v>773</v>
      </c>
      <c r="D182" s="7" t="s">
        <v>16</v>
      </c>
      <c r="E182" s="7" t="s">
        <v>902</v>
      </c>
      <c r="F182" s="7" t="s">
        <v>903</v>
      </c>
      <c r="G182" s="7" t="s">
        <v>1836</v>
      </c>
      <c r="H182" s="7">
        <v>18</v>
      </c>
      <c r="I182" s="7" t="s">
        <v>207</v>
      </c>
      <c r="J182" s="7" t="s">
        <v>169</v>
      </c>
    </row>
    <row r="183" spans="1:10" x14ac:dyDescent="0.3">
      <c r="A183" s="6" t="s">
        <v>894</v>
      </c>
      <c r="B183" s="7" t="s">
        <v>139</v>
      </c>
      <c r="C183" s="7" t="s">
        <v>773</v>
      </c>
      <c r="D183" s="7" t="s">
        <v>16</v>
      </c>
      <c r="E183" s="7" t="s">
        <v>895</v>
      </c>
      <c r="F183" s="7" t="s">
        <v>896</v>
      </c>
      <c r="G183" s="7" t="s">
        <v>897</v>
      </c>
      <c r="H183" s="7">
        <v>0</v>
      </c>
      <c r="I183" s="7" t="s">
        <v>349</v>
      </c>
      <c r="J183" s="7" t="s">
        <v>174</v>
      </c>
    </row>
    <row r="184" spans="1:10" x14ac:dyDescent="0.3">
      <c r="A184" s="6" t="s">
        <v>898</v>
      </c>
      <c r="B184" s="7" t="s">
        <v>139</v>
      </c>
      <c r="C184" s="7" t="s">
        <v>773</v>
      </c>
      <c r="D184" s="7" t="s">
        <v>16</v>
      </c>
      <c r="E184" s="7" t="s">
        <v>895</v>
      </c>
      <c r="F184" s="7" t="s">
        <v>896</v>
      </c>
      <c r="G184" s="7" t="s">
        <v>899</v>
      </c>
      <c r="H184" s="7">
        <v>31</v>
      </c>
      <c r="I184" s="7" t="s">
        <v>900</v>
      </c>
      <c r="J184" s="7" t="s">
        <v>422</v>
      </c>
    </row>
    <row r="185" spans="1:10" x14ac:dyDescent="0.3">
      <c r="A185" s="6" t="s">
        <v>1829</v>
      </c>
      <c r="B185" s="7" t="s">
        <v>139</v>
      </c>
      <c r="C185" s="7" t="s">
        <v>773</v>
      </c>
      <c r="D185" s="7" t="s">
        <v>16</v>
      </c>
      <c r="E185" s="7" t="s">
        <v>1830</v>
      </c>
      <c r="F185" s="7" t="s">
        <v>394</v>
      </c>
      <c r="G185" s="7" t="s">
        <v>1831</v>
      </c>
      <c r="H185" s="7">
        <v>2</v>
      </c>
      <c r="I185" s="7" t="s">
        <v>190</v>
      </c>
      <c r="J185" s="7" t="s">
        <v>422</v>
      </c>
    </row>
    <row r="186" spans="1:10" x14ac:dyDescent="0.3">
      <c r="A186" s="6" t="s">
        <v>911</v>
      </c>
      <c r="B186" s="7" t="s">
        <v>139</v>
      </c>
      <c r="C186" s="7" t="s">
        <v>773</v>
      </c>
      <c r="D186" s="7" t="s">
        <v>16</v>
      </c>
      <c r="E186" s="7" t="s">
        <v>912</v>
      </c>
      <c r="F186" s="7" t="s">
        <v>913</v>
      </c>
      <c r="G186" s="7" t="s">
        <v>914</v>
      </c>
      <c r="H186" s="7">
        <v>13</v>
      </c>
      <c r="I186" s="7" t="s">
        <v>915</v>
      </c>
      <c r="J186" s="7" t="s">
        <v>916</v>
      </c>
    </row>
    <row r="187" spans="1:10" x14ac:dyDescent="0.3">
      <c r="A187" s="6" t="s">
        <v>887</v>
      </c>
      <c r="B187" s="7" t="s">
        <v>139</v>
      </c>
      <c r="C187" s="7" t="s">
        <v>773</v>
      </c>
      <c r="D187" s="7" t="s">
        <v>16</v>
      </c>
      <c r="E187" s="7" t="s">
        <v>888</v>
      </c>
      <c r="F187" s="7" t="s">
        <v>889</v>
      </c>
      <c r="G187" s="7" t="s">
        <v>890</v>
      </c>
      <c r="H187" s="7"/>
      <c r="I187" s="7" t="s">
        <v>583</v>
      </c>
      <c r="J187" s="7" t="s">
        <v>891</v>
      </c>
    </row>
    <row r="188" spans="1:10" x14ac:dyDescent="0.3">
      <c r="A188" s="6" t="s">
        <v>956</v>
      </c>
      <c r="B188" s="7" t="s">
        <v>139</v>
      </c>
      <c r="C188" s="7" t="s">
        <v>773</v>
      </c>
      <c r="D188" s="7" t="s">
        <v>16</v>
      </c>
      <c r="E188" s="7" t="s">
        <v>952</v>
      </c>
      <c r="F188" s="7" t="s">
        <v>953</v>
      </c>
      <c r="G188" s="7" t="s">
        <v>957</v>
      </c>
      <c r="H188" s="7">
        <v>1</v>
      </c>
      <c r="I188" s="7" t="s">
        <v>958</v>
      </c>
      <c r="J188" s="7" t="s">
        <v>174</v>
      </c>
    </row>
    <row r="189" spans="1:10" x14ac:dyDescent="0.3">
      <c r="A189" s="6" t="s">
        <v>946</v>
      </c>
      <c r="B189" s="7" t="s">
        <v>139</v>
      </c>
      <c r="C189" s="7" t="s">
        <v>773</v>
      </c>
      <c r="D189" s="7" t="s">
        <v>16</v>
      </c>
      <c r="E189" s="7" t="s">
        <v>947</v>
      </c>
      <c r="F189" s="7" t="s">
        <v>948</v>
      </c>
      <c r="G189" s="7" t="s">
        <v>949</v>
      </c>
      <c r="H189" s="7"/>
      <c r="I189" s="7" t="s">
        <v>325</v>
      </c>
      <c r="J189" s="7" t="s">
        <v>950</v>
      </c>
    </row>
    <row r="190" spans="1:10" x14ac:dyDescent="0.3">
      <c r="A190" s="6" t="s">
        <v>1014</v>
      </c>
      <c r="B190" s="7" t="s">
        <v>139</v>
      </c>
      <c r="C190" s="7" t="s">
        <v>773</v>
      </c>
      <c r="D190" s="7" t="s">
        <v>16</v>
      </c>
      <c r="E190" s="7" t="s">
        <v>1015</v>
      </c>
      <c r="F190" s="7" t="s">
        <v>1016</v>
      </c>
      <c r="G190" s="7" t="s">
        <v>1017</v>
      </c>
      <c r="H190" s="7">
        <v>6</v>
      </c>
      <c r="I190" s="7" t="s">
        <v>1018</v>
      </c>
      <c r="J190" s="7" t="s">
        <v>391</v>
      </c>
    </row>
    <row r="191" spans="1:10" x14ac:dyDescent="0.3">
      <c r="A191" s="6" t="s">
        <v>1012</v>
      </c>
      <c r="B191" s="7" t="s">
        <v>139</v>
      </c>
      <c r="C191" s="7" t="s">
        <v>773</v>
      </c>
      <c r="D191" s="7" t="s">
        <v>16</v>
      </c>
      <c r="E191" s="7" t="s">
        <v>1013</v>
      </c>
      <c r="F191" s="7" t="s">
        <v>510</v>
      </c>
      <c r="G191" s="7" t="s">
        <v>100</v>
      </c>
      <c r="H191" s="7">
        <v>23</v>
      </c>
      <c r="I191" s="7" t="s">
        <v>87</v>
      </c>
      <c r="J191" s="7" t="s">
        <v>419</v>
      </c>
    </row>
    <row r="192" spans="1:10" x14ac:dyDescent="0.3">
      <c r="A192" s="6" t="s">
        <v>1010</v>
      </c>
      <c r="B192" s="7" t="s">
        <v>139</v>
      </c>
      <c r="C192" s="7" t="s">
        <v>773</v>
      </c>
      <c r="D192" s="7" t="s">
        <v>16</v>
      </c>
      <c r="E192" s="7" t="s">
        <v>1011</v>
      </c>
      <c r="F192" s="7" t="s">
        <v>507</v>
      </c>
      <c r="G192" s="7" t="s">
        <v>100</v>
      </c>
      <c r="H192" s="7">
        <v>85</v>
      </c>
      <c r="I192" s="7" t="s">
        <v>87</v>
      </c>
      <c r="J192" s="7" t="s">
        <v>419</v>
      </c>
    </row>
    <row r="193" spans="1:10" x14ac:dyDescent="0.3">
      <c r="A193" s="6" t="s">
        <v>1005</v>
      </c>
      <c r="B193" s="7" t="s">
        <v>139</v>
      </c>
      <c r="C193" s="7" t="s">
        <v>773</v>
      </c>
      <c r="D193" s="7" t="s">
        <v>16</v>
      </c>
      <c r="E193" s="7" t="s">
        <v>1006</v>
      </c>
      <c r="F193" s="7" t="s">
        <v>1007</v>
      </c>
      <c r="G193" s="7" t="s">
        <v>1008</v>
      </c>
      <c r="H193" s="7">
        <v>14</v>
      </c>
      <c r="I193" s="7" t="s">
        <v>1009</v>
      </c>
      <c r="J193" s="7" t="s">
        <v>584</v>
      </c>
    </row>
    <row r="194" spans="1:10" x14ac:dyDescent="0.3">
      <c r="A194" s="6" t="s">
        <v>1000</v>
      </c>
      <c r="B194" s="7" t="s">
        <v>139</v>
      </c>
      <c r="C194" s="7" t="s">
        <v>773</v>
      </c>
      <c r="D194" s="7" t="s">
        <v>16</v>
      </c>
      <c r="E194" s="7" t="s">
        <v>1001</v>
      </c>
      <c r="F194" s="7" t="s">
        <v>1002</v>
      </c>
      <c r="G194" s="7" t="s">
        <v>1003</v>
      </c>
      <c r="H194" s="7">
        <v>15</v>
      </c>
      <c r="I194" s="7" t="s">
        <v>1004</v>
      </c>
      <c r="J194" s="7" t="s">
        <v>493</v>
      </c>
    </row>
    <row r="195" spans="1:10" x14ac:dyDescent="0.3">
      <c r="A195" s="6" t="s">
        <v>996</v>
      </c>
      <c r="B195" s="7" t="s">
        <v>139</v>
      </c>
      <c r="C195" s="7" t="s">
        <v>773</v>
      </c>
      <c r="D195" s="7" t="s">
        <v>16</v>
      </c>
      <c r="E195" s="7" t="s">
        <v>997</v>
      </c>
      <c r="F195" s="7" t="s">
        <v>998</v>
      </c>
      <c r="G195" s="7" t="s">
        <v>999</v>
      </c>
      <c r="H195" s="7">
        <v>18</v>
      </c>
      <c r="I195" s="7" t="s">
        <v>805</v>
      </c>
      <c r="J195" s="7" t="s">
        <v>197</v>
      </c>
    </row>
    <row r="196" spans="1:10" x14ac:dyDescent="0.3">
      <c r="A196" s="6" t="s">
        <v>959</v>
      </c>
      <c r="B196" s="7" t="s">
        <v>139</v>
      </c>
      <c r="C196" s="7" t="s">
        <v>773</v>
      </c>
      <c r="D196" s="7" t="s">
        <v>16</v>
      </c>
      <c r="E196" s="7" t="s">
        <v>952</v>
      </c>
      <c r="F196" s="7" t="s">
        <v>953</v>
      </c>
      <c r="G196" s="7" t="s">
        <v>960</v>
      </c>
      <c r="H196" s="7"/>
      <c r="I196" s="7" t="s">
        <v>961</v>
      </c>
      <c r="J196" s="7" t="s">
        <v>962</v>
      </c>
    </row>
    <row r="197" spans="1:10" x14ac:dyDescent="0.3">
      <c r="A197" s="6" t="s">
        <v>991</v>
      </c>
      <c r="B197" s="7" t="s">
        <v>139</v>
      </c>
      <c r="C197" s="7" t="s">
        <v>773</v>
      </c>
      <c r="D197" s="7" t="s">
        <v>16</v>
      </c>
      <c r="E197" s="7" t="s">
        <v>992</v>
      </c>
      <c r="F197" s="7" t="s">
        <v>475</v>
      </c>
      <c r="G197" s="7" t="s">
        <v>993</v>
      </c>
      <c r="H197" s="7">
        <v>35</v>
      </c>
      <c r="I197" s="7" t="s">
        <v>994</v>
      </c>
      <c r="J197" s="7" t="s">
        <v>995</v>
      </c>
    </row>
    <row r="198" spans="1:10" x14ac:dyDescent="0.3">
      <c r="A198" s="6" t="s">
        <v>977</v>
      </c>
      <c r="B198" s="7" t="s">
        <v>139</v>
      </c>
      <c r="C198" s="7" t="s">
        <v>773</v>
      </c>
      <c r="D198" s="7" t="s">
        <v>16</v>
      </c>
      <c r="E198" s="7" t="s">
        <v>978</v>
      </c>
      <c r="F198" s="7" t="s">
        <v>979</v>
      </c>
      <c r="G198" s="7" t="s">
        <v>980</v>
      </c>
      <c r="H198" s="7">
        <v>8</v>
      </c>
      <c r="I198" s="7" t="s">
        <v>207</v>
      </c>
      <c r="J198" s="7" t="s">
        <v>169</v>
      </c>
    </row>
    <row r="199" spans="1:10" x14ac:dyDescent="0.3">
      <c r="A199" s="6" t="s">
        <v>1840</v>
      </c>
      <c r="B199" s="7" t="s">
        <v>139</v>
      </c>
      <c r="C199" s="7" t="s">
        <v>773</v>
      </c>
      <c r="D199" s="7" t="s">
        <v>16</v>
      </c>
      <c r="E199" s="7" t="s">
        <v>1841</v>
      </c>
      <c r="F199" s="7" t="s">
        <v>1842</v>
      </c>
      <c r="G199" s="7" t="s">
        <v>1843</v>
      </c>
      <c r="H199" s="7">
        <v>18</v>
      </c>
      <c r="I199" s="7" t="s">
        <v>163</v>
      </c>
      <c r="J199" s="7" t="s">
        <v>1846</v>
      </c>
    </row>
    <row r="200" spans="1:10" x14ac:dyDescent="0.3">
      <c r="A200" s="6" t="s">
        <v>985</v>
      </c>
      <c r="B200" s="7" t="s">
        <v>139</v>
      </c>
      <c r="C200" s="7" t="s">
        <v>773</v>
      </c>
      <c r="D200" s="7" t="s">
        <v>16</v>
      </c>
      <c r="E200" s="7" t="s">
        <v>986</v>
      </c>
      <c r="F200" s="7" t="s">
        <v>987</v>
      </c>
      <c r="G200" s="7" t="s">
        <v>988</v>
      </c>
      <c r="H200" s="7"/>
      <c r="I200" s="7" t="s">
        <v>989</v>
      </c>
      <c r="J200" s="7" t="s">
        <v>990</v>
      </c>
    </row>
    <row r="201" spans="1:10" x14ac:dyDescent="0.3">
      <c r="A201" s="6" t="s">
        <v>981</v>
      </c>
      <c r="B201" s="7" t="s">
        <v>139</v>
      </c>
      <c r="C201" s="7" t="s">
        <v>773</v>
      </c>
      <c r="D201" s="7" t="s">
        <v>16</v>
      </c>
      <c r="E201" s="7" t="s">
        <v>982</v>
      </c>
      <c r="F201" s="7" t="s">
        <v>983</v>
      </c>
      <c r="G201" s="7" t="s">
        <v>984</v>
      </c>
      <c r="H201" s="7"/>
      <c r="I201" s="7" t="s">
        <v>805</v>
      </c>
      <c r="J201" s="7" t="s">
        <v>197</v>
      </c>
    </row>
    <row r="202" spans="1:10" x14ac:dyDescent="0.3">
      <c r="A202" s="6" t="s">
        <v>969</v>
      </c>
      <c r="B202" s="7" t="s">
        <v>139</v>
      </c>
      <c r="C202" s="7" t="s">
        <v>773</v>
      </c>
      <c r="D202" s="7" t="s">
        <v>16</v>
      </c>
      <c r="E202" s="7" t="s">
        <v>970</v>
      </c>
      <c r="F202" s="7" t="s">
        <v>971</v>
      </c>
      <c r="G202" s="7" t="s">
        <v>972</v>
      </c>
      <c r="H202" s="7"/>
      <c r="I202" s="7" t="s">
        <v>237</v>
      </c>
      <c r="J202" s="7" t="s">
        <v>174</v>
      </c>
    </row>
    <row r="203" spans="1:10" x14ac:dyDescent="0.3">
      <c r="A203" s="6" t="s">
        <v>963</v>
      </c>
      <c r="B203" s="7" t="s">
        <v>139</v>
      </c>
      <c r="C203" s="7" t="s">
        <v>773</v>
      </c>
      <c r="D203" s="7" t="s">
        <v>16</v>
      </c>
      <c r="E203" s="7" t="s">
        <v>964</v>
      </c>
      <c r="F203" s="7" t="s">
        <v>965</v>
      </c>
      <c r="G203" s="7" t="s">
        <v>966</v>
      </c>
      <c r="H203" s="7">
        <v>2</v>
      </c>
      <c r="I203" s="7" t="s">
        <v>967</v>
      </c>
      <c r="J203" s="7" t="s">
        <v>968</v>
      </c>
    </row>
    <row r="204" spans="1:10" x14ac:dyDescent="0.3">
      <c r="A204" s="6" t="s">
        <v>973</v>
      </c>
      <c r="B204" s="7" t="s">
        <v>139</v>
      </c>
      <c r="C204" s="7" t="s">
        <v>773</v>
      </c>
      <c r="D204" s="7" t="s">
        <v>16</v>
      </c>
      <c r="E204" s="7" t="s">
        <v>974</v>
      </c>
      <c r="F204" s="7" t="s">
        <v>975</v>
      </c>
      <c r="G204" s="7" t="s">
        <v>976</v>
      </c>
      <c r="H204" s="7">
        <v>16</v>
      </c>
      <c r="I204" s="7" t="s">
        <v>153</v>
      </c>
      <c r="J204" s="7" t="s">
        <v>174</v>
      </c>
    </row>
    <row r="205" spans="1:10" x14ac:dyDescent="0.3">
      <c r="A205" s="6" t="s">
        <v>892</v>
      </c>
      <c r="B205" s="7" t="s">
        <v>139</v>
      </c>
      <c r="C205" s="7" t="s">
        <v>773</v>
      </c>
      <c r="D205" s="7" t="s">
        <v>16</v>
      </c>
      <c r="E205" s="7" t="s">
        <v>357</v>
      </c>
      <c r="F205" s="7" t="s">
        <v>358</v>
      </c>
      <c r="G205" s="7" t="s">
        <v>893</v>
      </c>
      <c r="H205" s="7">
        <v>2</v>
      </c>
      <c r="I205" s="7" t="s">
        <v>390</v>
      </c>
      <c r="J205" s="7" t="s">
        <v>174</v>
      </c>
    </row>
    <row r="206" spans="1:10" x14ac:dyDescent="0.3">
      <c r="A206" s="6" t="s">
        <v>830</v>
      </c>
      <c r="B206" s="7" t="s">
        <v>139</v>
      </c>
      <c r="C206" s="7" t="s">
        <v>773</v>
      </c>
      <c r="D206" s="7" t="s">
        <v>16</v>
      </c>
      <c r="E206" s="7" t="s">
        <v>808</v>
      </c>
      <c r="F206" s="7" t="s">
        <v>809</v>
      </c>
      <c r="G206" s="7" t="s">
        <v>831</v>
      </c>
      <c r="H206" s="7">
        <v>42</v>
      </c>
      <c r="I206" s="7" t="s">
        <v>805</v>
      </c>
      <c r="J206" s="7" t="s">
        <v>197</v>
      </c>
    </row>
    <row r="207" spans="1:10" x14ac:dyDescent="0.3">
      <c r="A207" s="6" t="s">
        <v>877</v>
      </c>
      <c r="B207" s="7" t="s">
        <v>139</v>
      </c>
      <c r="C207" s="7" t="s">
        <v>773</v>
      </c>
      <c r="D207" s="7" t="s">
        <v>16</v>
      </c>
      <c r="E207" s="7" t="s">
        <v>878</v>
      </c>
      <c r="F207" s="7" t="s">
        <v>879</v>
      </c>
      <c r="G207" s="7" t="s">
        <v>880</v>
      </c>
      <c r="H207" s="7">
        <v>6</v>
      </c>
      <c r="I207" s="7" t="s">
        <v>881</v>
      </c>
      <c r="J207" s="7" t="s">
        <v>234</v>
      </c>
    </row>
    <row r="208" spans="1:10" x14ac:dyDescent="0.3">
      <c r="A208" s="6" t="s">
        <v>807</v>
      </c>
      <c r="B208" s="7" t="s">
        <v>139</v>
      </c>
      <c r="C208" s="7" t="s">
        <v>773</v>
      </c>
      <c r="D208" s="7" t="s">
        <v>16</v>
      </c>
      <c r="E208" s="7" t="s">
        <v>808</v>
      </c>
      <c r="F208" s="7" t="s">
        <v>809</v>
      </c>
      <c r="G208" s="7" t="s">
        <v>810</v>
      </c>
      <c r="H208" s="7">
        <v>4</v>
      </c>
      <c r="I208" s="7" t="s">
        <v>811</v>
      </c>
      <c r="J208" s="7" t="s">
        <v>144</v>
      </c>
    </row>
    <row r="209" spans="1:10" x14ac:dyDescent="0.3">
      <c r="A209" s="6" t="s">
        <v>803</v>
      </c>
      <c r="B209" s="7" t="s">
        <v>139</v>
      </c>
      <c r="C209" s="7" t="s">
        <v>773</v>
      </c>
      <c r="D209" s="7" t="s">
        <v>16</v>
      </c>
      <c r="E209" s="7" t="s">
        <v>795</v>
      </c>
      <c r="F209" s="7" t="s">
        <v>796</v>
      </c>
      <c r="G209" s="7" t="s">
        <v>804</v>
      </c>
      <c r="H209" s="7"/>
      <c r="I209" s="7" t="s">
        <v>805</v>
      </c>
      <c r="J209" s="7" t="s">
        <v>806</v>
      </c>
    </row>
    <row r="210" spans="1:10" x14ac:dyDescent="0.3">
      <c r="A210" s="6" t="s">
        <v>794</v>
      </c>
      <c r="B210" s="7" t="s">
        <v>139</v>
      </c>
      <c r="C210" s="7" t="s">
        <v>773</v>
      </c>
      <c r="D210" s="7" t="s">
        <v>16</v>
      </c>
      <c r="E210" s="7" t="s">
        <v>795</v>
      </c>
      <c r="F210" s="7" t="s">
        <v>796</v>
      </c>
      <c r="G210" s="7" t="s">
        <v>797</v>
      </c>
      <c r="H210" s="7">
        <v>19</v>
      </c>
      <c r="I210" s="7" t="s">
        <v>798</v>
      </c>
      <c r="J210" s="7" t="s">
        <v>391</v>
      </c>
    </row>
    <row r="211" spans="1:10" x14ac:dyDescent="0.3">
      <c r="A211" s="6" t="s">
        <v>1810</v>
      </c>
      <c r="B211" s="7" t="s">
        <v>139</v>
      </c>
      <c r="C211" s="7" t="s">
        <v>773</v>
      </c>
      <c r="D211" s="7" t="s">
        <v>16</v>
      </c>
      <c r="E211" s="7" t="s">
        <v>795</v>
      </c>
      <c r="F211" s="7" t="s">
        <v>796</v>
      </c>
      <c r="G211" s="7" t="s">
        <v>1811</v>
      </c>
      <c r="H211" s="7">
        <v>17</v>
      </c>
      <c r="I211" s="7" t="s">
        <v>1092</v>
      </c>
      <c r="J211" s="7" t="s">
        <v>144</v>
      </c>
    </row>
    <row r="212" spans="1:10" x14ac:dyDescent="0.3">
      <c r="A212" s="6" t="s">
        <v>799</v>
      </c>
      <c r="B212" s="7" t="s">
        <v>139</v>
      </c>
      <c r="C212" s="7" t="s">
        <v>773</v>
      </c>
      <c r="D212" s="7" t="s">
        <v>16</v>
      </c>
      <c r="E212" s="7" t="s">
        <v>795</v>
      </c>
      <c r="F212" s="7" t="s">
        <v>796</v>
      </c>
      <c r="G212" s="7" t="s">
        <v>800</v>
      </c>
      <c r="H212" s="7">
        <v>9</v>
      </c>
      <c r="I212" s="7" t="s">
        <v>801</v>
      </c>
      <c r="J212" s="7" t="s">
        <v>802</v>
      </c>
    </row>
    <row r="213" spans="1:10" x14ac:dyDescent="0.3">
      <c r="A213" s="6" t="s">
        <v>784</v>
      </c>
      <c r="B213" s="7" t="s">
        <v>139</v>
      </c>
      <c r="C213" s="7" t="s">
        <v>773</v>
      </c>
      <c r="D213" s="7" t="s">
        <v>16</v>
      </c>
      <c r="E213" s="7" t="s">
        <v>785</v>
      </c>
      <c r="F213" s="7" t="s">
        <v>786</v>
      </c>
      <c r="G213" s="7" t="s">
        <v>787</v>
      </c>
      <c r="H213" s="7">
        <v>3</v>
      </c>
      <c r="I213" s="7" t="s">
        <v>788</v>
      </c>
      <c r="J213" s="7" t="s">
        <v>789</v>
      </c>
    </row>
    <row r="214" spans="1:10" x14ac:dyDescent="0.3">
      <c r="A214" s="6" t="s">
        <v>823</v>
      </c>
      <c r="B214" s="7" t="s">
        <v>139</v>
      </c>
      <c r="C214" s="7" t="s">
        <v>773</v>
      </c>
      <c r="D214" s="7" t="s">
        <v>16</v>
      </c>
      <c r="E214" s="7" t="s">
        <v>808</v>
      </c>
      <c r="F214" s="7" t="s">
        <v>809</v>
      </c>
      <c r="G214" s="7" t="s">
        <v>824</v>
      </c>
      <c r="H214" s="7">
        <v>8</v>
      </c>
      <c r="I214" s="7" t="s">
        <v>276</v>
      </c>
      <c r="J214" s="7" t="s">
        <v>184</v>
      </c>
    </row>
    <row r="215" spans="1:10" x14ac:dyDescent="0.3">
      <c r="A215" s="6" t="s">
        <v>790</v>
      </c>
      <c r="B215" s="7" t="s">
        <v>139</v>
      </c>
      <c r="C215" s="7" t="s">
        <v>773</v>
      </c>
      <c r="D215" s="7" t="s">
        <v>16</v>
      </c>
      <c r="E215" s="7" t="s">
        <v>791</v>
      </c>
      <c r="F215" s="7" t="s">
        <v>218</v>
      </c>
      <c r="G215" s="7" t="s">
        <v>792</v>
      </c>
      <c r="H215" s="7">
        <v>8</v>
      </c>
      <c r="I215" s="7" t="s">
        <v>682</v>
      </c>
      <c r="J215" s="7" t="s">
        <v>793</v>
      </c>
    </row>
    <row r="216" spans="1:10" x14ac:dyDescent="0.3">
      <c r="A216" s="6" t="s">
        <v>1796</v>
      </c>
      <c r="B216" s="7" t="s">
        <v>139</v>
      </c>
      <c r="C216" s="7" t="s">
        <v>773</v>
      </c>
      <c r="D216" s="7" t="s">
        <v>16</v>
      </c>
      <c r="E216" s="7" t="s">
        <v>1797</v>
      </c>
      <c r="F216" s="7" t="s">
        <v>1798</v>
      </c>
      <c r="G216" s="7" t="s">
        <v>1799</v>
      </c>
      <c r="H216" s="7"/>
      <c r="I216" s="7" t="s">
        <v>207</v>
      </c>
      <c r="J216" s="7" t="s">
        <v>174</v>
      </c>
    </row>
    <row r="217" spans="1:10" x14ac:dyDescent="0.3">
      <c r="A217" s="6" t="s">
        <v>779</v>
      </c>
      <c r="B217" s="7" t="s">
        <v>139</v>
      </c>
      <c r="C217" s="7" t="s">
        <v>773</v>
      </c>
      <c r="D217" s="7" t="s">
        <v>16</v>
      </c>
      <c r="E217" s="7" t="s">
        <v>780</v>
      </c>
      <c r="F217" s="7" t="s">
        <v>781</v>
      </c>
      <c r="G217" s="7" t="s">
        <v>782</v>
      </c>
      <c r="H217" s="7"/>
      <c r="I217" s="7" t="s">
        <v>783</v>
      </c>
      <c r="J217" s="7" t="s">
        <v>514</v>
      </c>
    </row>
    <row r="218" spans="1:10" x14ac:dyDescent="0.3">
      <c r="A218" s="6" t="s">
        <v>772</v>
      </c>
      <c r="B218" s="7" t="s">
        <v>139</v>
      </c>
      <c r="C218" s="7" t="s">
        <v>773</v>
      </c>
      <c r="D218" s="7" t="s">
        <v>16</v>
      </c>
      <c r="E218" s="7" t="s">
        <v>774</v>
      </c>
      <c r="F218" s="7" t="s">
        <v>775</v>
      </c>
      <c r="G218" s="7" t="s">
        <v>776</v>
      </c>
      <c r="H218" s="7">
        <v>11</v>
      </c>
      <c r="I218" s="7" t="s">
        <v>777</v>
      </c>
      <c r="J218" s="7" t="s">
        <v>778</v>
      </c>
    </row>
    <row r="219" spans="1:10" x14ac:dyDescent="0.3">
      <c r="A219" s="6" t="s">
        <v>1782</v>
      </c>
      <c r="B219" s="7" t="s">
        <v>139</v>
      </c>
      <c r="C219" s="7" t="s">
        <v>773</v>
      </c>
      <c r="D219" s="7" t="s">
        <v>16</v>
      </c>
      <c r="E219" s="7" t="s">
        <v>1783</v>
      </c>
      <c r="F219" s="7" t="s">
        <v>1784</v>
      </c>
      <c r="G219" s="7" t="s">
        <v>1785</v>
      </c>
      <c r="H219" s="7">
        <v>27</v>
      </c>
      <c r="I219" s="7" t="s">
        <v>1789</v>
      </c>
      <c r="J219" s="7" t="s">
        <v>184</v>
      </c>
    </row>
    <row r="220" spans="1:10" x14ac:dyDescent="0.3">
      <c r="A220" s="6" t="s">
        <v>1790</v>
      </c>
      <c r="B220" s="7" t="s">
        <v>139</v>
      </c>
      <c r="C220" s="7" t="s">
        <v>773</v>
      </c>
      <c r="D220" s="7" t="s">
        <v>16</v>
      </c>
      <c r="E220" s="7" t="s">
        <v>1791</v>
      </c>
      <c r="F220" s="7" t="s">
        <v>1792</v>
      </c>
      <c r="G220" s="7" t="s">
        <v>1793</v>
      </c>
      <c r="H220" s="7">
        <v>1</v>
      </c>
      <c r="I220" s="7" t="s">
        <v>876</v>
      </c>
      <c r="J220" s="7" t="s">
        <v>1122</v>
      </c>
    </row>
    <row r="221" spans="1:10" x14ac:dyDescent="0.3">
      <c r="A221" s="6" t="s">
        <v>1847</v>
      </c>
      <c r="B221" s="7" t="s">
        <v>139</v>
      </c>
      <c r="C221" s="7" t="s">
        <v>773</v>
      </c>
      <c r="D221" s="7" t="s">
        <v>16</v>
      </c>
      <c r="E221" s="7" t="s">
        <v>1027</v>
      </c>
      <c r="F221" s="7" t="s">
        <v>1028</v>
      </c>
      <c r="G221" s="7" t="s">
        <v>1848</v>
      </c>
      <c r="H221" s="7">
        <v>2</v>
      </c>
      <c r="I221" s="7" t="s">
        <v>1851</v>
      </c>
      <c r="J221" s="7" t="s">
        <v>174</v>
      </c>
    </row>
    <row r="222" spans="1:10" x14ac:dyDescent="0.3">
      <c r="A222" s="6" t="s">
        <v>1803</v>
      </c>
      <c r="B222" s="7" t="s">
        <v>139</v>
      </c>
      <c r="C222" s="7" t="s">
        <v>773</v>
      </c>
      <c r="D222" s="7" t="s">
        <v>16</v>
      </c>
      <c r="E222" s="7" t="s">
        <v>791</v>
      </c>
      <c r="F222" s="7" t="s">
        <v>218</v>
      </c>
      <c r="G222" s="7" t="s">
        <v>1804</v>
      </c>
      <c r="H222" s="7">
        <v>17</v>
      </c>
      <c r="I222" s="7" t="s">
        <v>1808</v>
      </c>
      <c r="J222" s="7" t="s">
        <v>1809</v>
      </c>
    </row>
    <row r="223" spans="1:10" x14ac:dyDescent="0.3">
      <c r="A223" s="6" t="s">
        <v>816</v>
      </c>
      <c r="B223" s="7" t="s">
        <v>139</v>
      </c>
      <c r="C223" s="7" t="s">
        <v>773</v>
      </c>
      <c r="D223" s="7" t="s">
        <v>16</v>
      </c>
      <c r="E223" s="7" t="s">
        <v>808</v>
      </c>
      <c r="F223" s="7" t="s">
        <v>809</v>
      </c>
      <c r="G223" s="7" t="s">
        <v>817</v>
      </c>
      <c r="H223" s="7">
        <v>7</v>
      </c>
      <c r="I223" s="7" t="s">
        <v>583</v>
      </c>
      <c r="J223" s="7" t="s">
        <v>818</v>
      </c>
    </row>
    <row r="224" spans="1:10" x14ac:dyDescent="0.3">
      <c r="A224" s="6" t="s">
        <v>1019</v>
      </c>
      <c r="B224" s="7" t="s">
        <v>139</v>
      </c>
      <c r="C224" s="7" t="s">
        <v>773</v>
      </c>
      <c r="D224" s="7" t="s">
        <v>16</v>
      </c>
      <c r="E224" s="7" t="s">
        <v>1015</v>
      </c>
      <c r="F224" s="7" t="s">
        <v>1016</v>
      </c>
      <c r="G224" s="7" t="s">
        <v>1020</v>
      </c>
      <c r="H224" s="7">
        <v>2</v>
      </c>
      <c r="I224" s="7" t="s">
        <v>1021</v>
      </c>
      <c r="J224" s="7" t="s">
        <v>1022</v>
      </c>
    </row>
    <row r="225" spans="1:10" x14ac:dyDescent="0.3">
      <c r="A225" s="6" t="s">
        <v>812</v>
      </c>
      <c r="B225" s="7" t="s">
        <v>139</v>
      </c>
      <c r="C225" s="7" t="s">
        <v>773</v>
      </c>
      <c r="D225" s="7" t="s">
        <v>16</v>
      </c>
      <c r="E225" s="7" t="s">
        <v>808</v>
      </c>
      <c r="F225" s="7" t="s">
        <v>809</v>
      </c>
      <c r="G225" s="7" t="s">
        <v>813</v>
      </c>
      <c r="H225" s="7">
        <v>4</v>
      </c>
      <c r="I225" s="7" t="s">
        <v>814</v>
      </c>
      <c r="J225" s="7" t="s">
        <v>815</v>
      </c>
    </row>
    <row r="226" spans="1:10" x14ac:dyDescent="0.3">
      <c r="A226" s="6" t="s">
        <v>872</v>
      </c>
      <c r="B226" s="7" t="s">
        <v>139</v>
      </c>
      <c r="C226" s="7" t="s">
        <v>773</v>
      </c>
      <c r="D226" s="7" t="s">
        <v>16</v>
      </c>
      <c r="E226" s="7" t="s">
        <v>873</v>
      </c>
      <c r="F226" s="7" t="s">
        <v>874</v>
      </c>
      <c r="G226" s="7" t="s">
        <v>875</v>
      </c>
      <c r="H226" s="7">
        <v>13</v>
      </c>
      <c r="I226" s="7" t="s">
        <v>876</v>
      </c>
      <c r="J226" s="7" t="s">
        <v>480</v>
      </c>
    </row>
    <row r="227" spans="1:10" x14ac:dyDescent="0.3">
      <c r="A227" s="6" t="s">
        <v>859</v>
      </c>
      <c r="B227" s="7" t="s">
        <v>139</v>
      </c>
      <c r="C227" s="7" t="s">
        <v>773</v>
      </c>
      <c r="D227" s="7" t="s">
        <v>16</v>
      </c>
      <c r="E227" s="7" t="s">
        <v>860</v>
      </c>
      <c r="F227" s="7" t="s">
        <v>861</v>
      </c>
      <c r="G227" s="7" t="s">
        <v>862</v>
      </c>
      <c r="H227" s="7"/>
      <c r="I227" s="7" t="s">
        <v>196</v>
      </c>
      <c r="J227" s="7" t="s">
        <v>208</v>
      </c>
    </row>
    <row r="228" spans="1:10" x14ac:dyDescent="0.3">
      <c r="A228" s="6" t="s">
        <v>882</v>
      </c>
      <c r="B228" s="7" t="s">
        <v>139</v>
      </c>
      <c r="C228" s="7" t="s">
        <v>773</v>
      </c>
      <c r="D228" s="7" t="s">
        <v>16</v>
      </c>
      <c r="E228" s="7" t="s">
        <v>883</v>
      </c>
      <c r="F228" s="7" t="s">
        <v>884</v>
      </c>
      <c r="G228" s="7" t="s">
        <v>885</v>
      </c>
      <c r="H228" s="7">
        <v>1</v>
      </c>
      <c r="I228" s="7" t="s">
        <v>886</v>
      </c>
      <c r="J228" s="7" t="s">
        <v>243</v>
      </c>
    </row>
    <row r="229" spans="1:10" x14ac:dyDescent="0.3">
      <c r="A229" s="6" t="s">
        <v>867</v>
      </c>
      <c r="B229" s="7" t="s">
        <v>139</v>
      </c>
      <c r="C229" s="7" t="s">
        <v>773</v>
      </c>
      <c r="D229" s="7" t="s">
        <v>16</v>
      </c>
      <c r="E229" s="7" t="s">
        <v>868</v>
      </c>
      <c r="F229" s="7" t="s">
        <v>290</v>
      </c>
      <c r="G229" s="7" t="s">
        <v>869</v>
      </c>
      <c r="H229" s="7">
        <v>2</v>
      </c>
      <c r="I229" s="7" t="s">
        <v>870</v>
      </c>
      <c r="J229" s="7" t="s">
        <v>871</v>
      </c>
    </row>
    <row r="230" spans="1:10" x14ac:dyDescent="0.3">
      <c r="A230" s="6" t="s">
        <v>863</v>
      </c>
      <c r="B230" s="7" t="s">
        <v>139</v>
      </c>
      <c r="C230" s="7" t="s">
        <v>773</v>
      </c>
      <c r="D230" s="7" t="s">
        <v>16</v>
      </c>
      <c r="E230" s="7" t="s">
        <v>864</v>
      </c>
      <c r="F230" s="7" t="s">
        <v>865</v>
      </c>
      <c r="G230" s="7" t="s">
        <v>866</v>
      </c>
      <c r="H230" s="7">
        <v>14</v>
      </c>
      <c r="I230" s="7" t="s">
        <v>411</v>
      </c>
      <c r="J230" s="7" t="s">
        <v>191</v>
      </c>
    </row>
    <row r="231" spans="1:10" x14ac:dyDescent="0.3">
      <c r="A231" s="6" t="s">
        <v>854</v>
      </c>
      <c r="B231" s="7" t="s">
        <v>139</v>
      </c>
      <c r="C231" s="7" t="s">
        <v>773</v>
      </c>
      <c r="D231" s="7" t="s">
        <v>16</v>
      </c>
      <c r="E231" s="7" t="s">
        <v>855</v>
      </c>
      <c r="F231" s="7" t="s">
        <v>856</v>
      </c>
      <c r="G231" s="7" t="s">
        <v>857</v>
      </c>
      <c r="H231" s="7">
        <v>3</v>
      </c>
      <c r="I231" s="7" t="s">
        <v>858</v>
      </c>
      <c r="J231" s="7" t="s">
        <v>847</v>
      </c>
    </row>
    <row r="232" spans="1:10" x14ac:dyDescent="0.3">
      <c r="A232" s="6" t="s">
        <v>848</v>
      </c>
      <c r="B232" s="7" t="s">
        <v>139</v>
      </c>
      <c r="C232" s="7" t="s">
        <v>773</v>
      </c>
      <c r="D232" s="7" t="s">
        <v>16</v>
      </c>
      <c r="E232" s="7" t="s">
        <v>849</v>
      </c>
      <c r="F232" s="7" t="s">
        <v>850</v>
      </c>
      <c r="G232" s="7" t="s">
        <v>851</v>
      </c>
      <c r="H232" s="7">
        <v>8</v>
      </c>
      <c r="I232" s="7" t="s">
        <v>852</v>
      </c>
      <c r="J232" s="7" t="s">
        <v>853</v>
      </c>
    </row>
    <row r="233" spans="1:10" x14ac:dyDescent="0.3">
      <c r="A233" s="6" t="s">
        <v>843</v>
      </c>
      <c r="B233" s="7" t="s">
        <v>139</v>
      </c>
      <c r="C233" s="7" t="s">
        <v>773</v>
      </c>
      <c r="D233" s="7" t="s">
        <v>16</v>
      </c>
      <c r="E233" s="7" t="s">
        <v>844</v>
      </c>
      <c r="F233" s="7" t="s">
        <v>845</v>
      </c>
      <c r="G233" s="7" t="s">
        <v>846</v>
      </c>
      <c r="H233" s="7">
        <v>27</v>
      </c>
      <c r="I233" s="7" t="s">
        <v>345</v>
      </c>
      <c r="J233" s="7" t="s">
        <v>847</v>
      </c>
    </row>
    <row r="234" spans="1:10" x14ac:dyDescent="0.3">
      <c r="A234" s="6" t="s">
        <v>1814</v>
      </c>
      <c r="B234" s="7" t="s">
        <v>139</v>
      </c>
      <c r="C234" s="7" t="s">
        <v>773</v>
      </c>
      <c r="D234" s="7" t="s">
        <v>16</v>
      </c>
      <c r="E234" s="7" t="s">
        <v>1815</v>
      </c>
      <c r="F234" s="7" t="s">
        <v>1816</v>
      </c>
      <c r="G234" s="7" t="s">
        <v>1817</v>
      </c>
      <c r="H234" s="7">
        <v>3</v>
      </c>
      <c r="I234" s="7" t="s">
        <v>1383</v>
      </c>
      <c r="J234" s="7" t="s">
        <v>1231</v>
      </c>
    </row>
    <row r="235" spans="1:10" x14ac:dyDescent="0.3">
      <c r="A235" s="6" t="s">
        <v>837</v>
      </c>
      <c r="B235" s="7" t="s">
        <v>139</v>
      </c>
      <c r="C235" s="7" t="s">
        <v>773</v>
      </c>
      <c r="D235" s="7" t="s">
        <v>16</v>
      </c>
      <c r="E235" s="7" t="s">
        <v>838</v>
      </c>
      <c r="F235" s="7" t="s">
        <v>839</v>
      </c>
      <c r="G235" s="7" t="s">
        <v>840</v>
      </c>
      <c r="H235" s="7"/>
      <c r="I235" s="7" t="s">
        <v>805</v>
      </c>
      <c r="J235" s="7" t="s">
        <v>197</v>
      </c>
    </row>
    <row r="236" spans="1:10" x14ac:dyDescent="0.3">
      <c r="A236" s="6" t="s">
        <v>841</v>
      </c>
      <c r="B236" s="7" t="s">
        <v>139</v>
      </c>
      <c r="C236" s="7" t="s">
        <v>773</v>
      </c>
      <c r="D236" s="7" t="s">
        <v>16</v>
      </c>
      <c r="E236" s="7" t="s">
        <v>838</v>
      </c>
      <c r="F236" s="7" t="s">
        <v>839</v>
      </c>
      <c r="G236" s="7" t="s">
        <v>842</v>
      </c>
      <c r="H236" s="7"/>
      <c r="I236" s="7" t="s">
        <v>805</v>
      </c>
      <c r="J236" s="7" t="s">
        <v>197</v>
      </c>
    </row>
    <row r="237" spans="1:10" x14ac:dyDescent="0.3">
      <c r="A237" s="6" t="s">
        <v>832</v>
      </c>
      <c r="B237" s="7" t="s">
        <v>139</v>
      </c>
      <c r="C237" s="7" t="s">
        <v>773</v>
      </c>
      <c r="D237" s="7" t="s">
        <v>16</v>
      </c>
      <c r="E237" s="7" t="s">
        <v>833</v>
      </c>
      <c r="F237" s="7" t="s">
        <v>834</v>
      </c>
      <c r="G237" s="7" t="s">
        <v>835</v>
      </c>
      <c r="H237" s="7"/>
      <c r="I237" s="7" t="s">
        <v>805</v>
      </c>
      <c r="J237" s="7" t="s">
        <v>836</v>
      </c>
    </row>
    <row r="238" spans="1:10" x14ac:dyDescent="0.3">
      <c r="A238" s="6" t="s">
        <v>825</v>
      </c>
      <c r="B238" s="7" t="s">
        <v>139</v>
      </c>
      <c r="C238" s="7" t="s">
        <v>773</v>
      </c>
      <c r="D238" s="7" t="s">
        <v>16</v>
      </c>
      <c r="E238" s="7" t="s">
        <v>808</v>
      </c>
      <c r="F238" s="7" t="s">
        <v>809</v>
      </c>
      <c r="G238" s="7" t="s">
        <v>826</v>
      </c>
      <c r="H238" s="7">
        <v>16</v>
      </c>
      <c r="I238" s="7" t="s">
        <v>805</v>
      </c>
      <c r="J238" s="7" t="s">
        <v>827</v>
      </c>
    </row>
    <row r="239" spans="1:10" x14ac:dyDescent="0.3">
      <c r="A239" s="6" t="s">
        <v>828</v>
      </c>
      <c r="B239" s="7" t="s">
        <v>139</v>
      </c>
      <c r="C239" s="7" t="s">
        <v>773</v>
      </c>
      <c r="D239" s="7" t="s">
        <v>16</v>
      </c>
      <c r="E239" s="7" t="s">
        <v>808</v>
      </c>
      <c r="F239" s="7" t="s">
        <v>809</v>
      </c>
      <c r="G239" s="7" t="s">
        <v>829</v>
      </c>
      <c r="H239" s="7">
        <v>19</v>
      </c>
      <c r="I239" s="7" t="s">
        <v>821</v>
      </c>
      <c r="J239" s="7" t="s">
        <v>822</v>
      </c>
    </row>
    <row r="240" spans="1:10" x14ac:dyDescent="0.3">
      <c r="A240" s="6" t="s">
        <v>819</v>
      </c>
      <c r="B240" s="7" t="s">
        <v>139</v>
      </c>
      <c r="C240" s="7" t="s">
        <v>773</v>
      </c>
      <c r="D240" s="7" t="s">
        <v>16</v>
      </c>
      <c r="E240" s="7" t="s">
        <v>808</v>
      </c>
      <c r="F240" s="7" t="s">
        <v>809</v>
      </c>
      <c r="G240" s="7" t="s">
        <v>820</v>
      </c>
      <c r="H240" s="7">
        <v>3</v>
      </c>
      <c r="I240" s="7" t="s">
        <v>821</v>
      </c>
      <c r="J240" s="7" t="s">
        <v>822</v>
      </c>
    </row>
    <row r="241" spans="1:10" x14ac:dyDescent="0.3">
      <c r="A241" s="6" t="s">
        <v>1821</v>
      </c>
      <c r="B241" s="7" t="s">
        <v>139</v>
      </c>
      <c r="C241" s="7" t="s">
        <v>773</v>
      </c>
      <c r="D241" s="7" t="s">
        <v>16</v>
      </c>
      <c r="E241" s="7" t="s">
        <v>1822</v>
      </c>
      <c r="F241" s="7" t="s">
        <v>1823</v>
      </c>
      <c r="G241" s="7" t="s">
        <v>1824</v>
      </c>
      <c r="H241" s="7">
        <v>5</v>
      </c>
      <c r="I241" s="7" t="s">
        <v>647</v>
      </c>
      <c r="J241" s="7" t="s">
        <v>1828</v>
      </c>
    </row>
    <row r="242" spans="1:10" x14ac:dyDescent="0.3">
      <c r="A242" s="6" t="s">
        <v>1026</v>
      </c>
      <c r="B242" s="7" t="s">
        <v>139</v>
      </c>
      <c r="C242" s="7" t="s">
        <v>773</v>
      </c>
      <c r="D242" s="7" t="s">
        <v>16</v>
      </c>
      <c r="E242" s="7" t="s">
        <v>1027</v>
      </c>
      <c r="F242" s="7" t="s">
        <v>1028</v>
      </c>
      <c r="G242" s="7" t="s">
        <v>1029</v>
      </c>
      <c r="H242" s="7">
        <v>8</v>
      </c>
      <c r="I242" s="7" t="s">
        <v>1030</v>
      </c>
      <c r="J242" s="7" t="s">
        <v>916</v>
      </c>
    </row>
    <row r="243" spans="1:10" x14ac:dyDescent="0.3">
      <c r="A243" s="6" t="s">
        <v>1852</v>
      </c>
      <c r="B243" s="7" t="s">
        <v>139</v>
      </c>
      <c r="C243" s="7" t="s">
        <v>773</v>
      </c>
      <c r="D243" s="7" t="s">
        <v>16</v>
      </c>
      <c r="E243" s="7" t="s">
        <v>1853</v>
      </c>
      <c r="F243" s="7" t="s">
        <v>528</v>
      </c>
      <c r="G243" s="7" t="s">
        <v>1854</v>
      </c>
      <c r="H243" s="7"/>
      <c r="I243" s="7" t="s">
        <v>805</v>
      </c>
      <c r="J243" s="7" t="s">
        <v>197</v>
      </c>
    </row>
    <row r="244" spans="1:10" x14ac:dyDescent="0.3">
      <c r="A244" s="6" t="s">
        <v>1085</v>
      </c>
      <c r="B244" s="7" t="s">
        <v>139</v>
      </c>
      <c r="C244" s="7" t="s">
        <v>773</v>
      </c>
      <c r="D244" s="7" t="s">
        <v>16</v>
      </c>
      <c r="E244" s="7" t="s">
        <v>1086</v>
      </c>
      <c r="F244" s="7" t="s">
        <v>1087</v>
      </c>
      <c r="G244" s="7" t="s">
        <v>1088</v>
      </c>
      <c r="H244" s="7"/>
      <c r="I244" s="7" t="s">
        <v>396</v>
      </c>
      <c r="J244" s="7" t="s">
        <v>1089</v>
      </c>
    </row>
    <row r="245" spans="1:10" x14ac:dyDescent="0.3">
      <c r="A245" s="6" t="s">
        <v>1067</v>
      </c>
      <c r="B245" s="7" t="s">
        <v>139</v>
      </c>
      <c r="C245" s="7" t="s">
        <v>773</v>
      </c>
      <c r="D245" s="7" t="s">
        <v>16</v>
      </c>
      <c r="E245" s="7" t="s">
        <v>1068</v>
      </c>
      <c r="F245" s="7" t="s">
        <v>1069</v>
      </c>
      <c r="G245" s="7" t="s">
        <v>1070</v>
      </c>
      <c r="H245" s="7">
        <v>11</v>
      </c>
      <c r="I245" s="7" t="s">
        <v>396</v>
      </c>
      <c r="J245" s="7" t="s">
        <v>485</v>
      </c>
    </row>
    <row r="246" spans="1:10" x14ac:dyDescent="0.3">
      <c r="A246" s="6" t="s">
        <v>1074</v>
      </c>
      <c r="B246" s="7" t="s">
        <v>139</v>
      </c>
      <c r="C246" s="7" t="s">
        <v>773</v>
      </c>
      <c r="D246" s="7" t="s">
        <v>16</v>
      </c>
      <c r="E246" s="7" t="s">
        <v>1075</v>
      </c>
      <c r="F246" s="7" t="s">
        <v>1076</v>
      </c>
      <c r="G246" s="7" t="s">
        <v>1077</v>
      </c>
      <c r="H246" s="7">
        <v>2</v>
      </c>
      <c r="I246" s="7" t="s">
        <v>340</v>
      </c>
      <c r="J246" s="7" t="s">
        <v>1078</v>
      </c>
    </row>
    <row r="247" spans="1:10" x14ac:dyDescent="0.3">
      <c r="A247" s="6" t="s">
        <v>1064</v>
      </c>
      <c r="B247" s="7" t="s">
        <v>139</v>
      </c>
      <c r="C247" s="7" t="s">
        <v>773</v>
      </c>
      <c r="D247" s="7" t="s">
        <v>16</v>
      </c>
      <c r="E247" s="7" t="s">
        <v>1060</v>
      </c>
      <c r="F247" s="7" t="s">
        <v>1061</v>
      </c>
      <c r="G247" s="7" t="s">
        <v>1065</v>
      </c>
      <c r="H247" s="7"/>
      <c r="I247" s="7" t="s">
        <v>1066</v>
      </c>
      <c r="J247" s="7" t="s">
        <v>385</v>
      </c>
    </row>
    <row r="248" spans="1:10" x14ac:dyDescent="0.3">
      <c r="A248" s="6" t="s">
        <v>1145</v>
      </c>
      <c r="B248" s="7" t="s">
        <v>139</v>
      </c>
      <c r="C248" s="7" t="s">
        <v>773</v>
      </c>
      <c r="D248" s="7" t="s">
        <v>16</v>
      </c>
      <c r="E248" s="7" t="s">
        <v>1141</v>
      </c>
      <c r="F248" s="7" t="s">
        <v>1142</v>
      </c>
      <c r="G248" s="7" t="s">
        <v>1146</v>
      </c>
      <c r="H248" s="7">
        <v>11</v>
      </c>
      <c r="I248" s="7" t="s">
        <v>858</v>
      </c>
      <c r="J248" s="7" t="s">
        <v>1147</v>
      </c>
    </row>
    <row r="249" spans="1:10" x14ac:dyDescent="0.3">
      <c r="A249" s="6" t="s">
        <v>1866</v>
      </c>
      <c r="B249" s="7" t="s">
        <v>139</v>
      </c>
      <c r="C249" s="7" t="s">
        <v>773</v>
      </c>
      <c r="D249" s="7" t="s">
        <v>16</v>
      </c>
      <c r="E249" s="7" t="s">
        <v>1060</v>
      </c>
      <c r="F249" s="7" t="s">
        <v>1061</v>
      </c>
      <c r="G249" s="7" t="s">
        <v>1867</v>
      </c>
      <c r="H249" s="7"/>
      <c r="I249" s="7" t="s">
        <v>1871</v>
      </c>
      <c r="J249" s="7" t="s">
        <v>1872</v>
      </c>
    </row>
    <row r="250" spans="1:10" x14ac:dyDescent="0.3">
      <c r="A250" s="6" t="s">
        <v>1862</v>
      </c>
      <c r="B250" s="7" t="s">
        <v>139</v>
      </c>
      <c r="C250" s="7" t="s">
        <v>773</v>
      </c>
      <c r="D250" s="7" t="s">
        <v>16</v>
      </c>
      <c r="E250" s="7" t="s">
        <v>1053</v>
      </c>
      <c r="F250" s="7" t="s">
        <v>1054</v>
      </c>
      <c r="G250" s="7" t="s">
        <v>1863</v>
      </c>
      <c r="H250" s="7">
        <v>1</v>
      </c>
      <c r="I250" s="7" t="s">
        <v>411</v>
      </c>
      <c r="J250" s="7" t="s">
        <v>191</v>
      </c>
    </row>
    <row r="251" spans="1:10" x14ac:dyDescent="0.3">
      <c r="A251" s="6" t="s">
        <v>1152</v>
      </c>
      <c r="B251" s="7" t="s">
        <v>139</v>
      </c>
      <c r="C251" s="7" t="s">
        <v>773</v>
      </c>
      <c r="D251" s="7" t="s">
        <v>16</v>
      </c>
      <c r="E251" s="7" t="s">
        <v>638</v>
      </c>
      <c r="F251" s="7" t="s">
        <v>764</v>
      </c>
      <c r="G251" s="7" t="s">
        <v>1153</v>
      </c>
      <c r="H251" s="7">
        <v>49</v>
      </c>
      <c r="I251" s="7" t="s">
        <v>1154</v>
      </c>
      <c r="J251" s="7" t="s">
        <v>174</v>
      </c>
    </row>
    <row r="252" spans="1:10" x14ac:dyDescent="0.3">
      <c r="A252" s="6" t="s">
        <v>1057</v>
      </c>
      <c r="B252" s="7" t="s">
        <v>139</v>
      </c>
      <c r="C252" s="7" t="s">
        <v>773</v>
      </c>
      <c r="D252" s="7" t="s">
        <v>16</v>
      </c>
      <c r="E252" s="7" t="s">
        <v>1053</v>
      </c>
      <c r="F252" s="7" t="s">
        <v>1054</v>
      </c>
      <c r="G252" s="7" t="s">
        <v>1058</v>
      </c>
      <c r="H252" s="7">
        <v>3</v>
      </c>
      <c r="I252" s="7" t="s">
        <v>626</v>
      </c>
      <c r="J252" s="7" t="s">
        <v>174</v>
      </c>
    </row>
    <row r="253" spans="1:10" x14ac:dyDescent="0.3">
      <c r="A253" s="6" t="s">
        <v>1052</v>
      </c>
      <c r="B253" s="7" t="s">
        <v>139</v>
      </c>
      <c r="C253" s="7" t="s">
        <v>773</v>
      </c>
      <c r="D253" s="7" t="s">
        <v>16</v>
      </c>
      <c r="E253" s="7" t="s">
        <v>1053</v>
      </c>
      <c r="F253" s="7" t="s">
        <v>1054</v>
      </c>
      <c r="G253" s="7" t="s">
        <v>1055</v>
      </c>
      <c r="H253" s="7">
        <v>3</v>
      </c>
      <c r="I253" s="7" t="s">
        <v>1056</v>
      </c>
      <c r="J253" s="7" t="s">
        <v>174</v>
      </c>
    </row>
    <row r="254" spans="1:10" x14ac:dyDescent="0.3">
      <c r="A254" s="6" t="s">
        <v>1043</v>
      </c>
      <c r="B254" s="7" t="s">
        <v>139</v>
      </c>
      <c r="C254" s="7" t="s">
        <v>773</v>
      </c>
      <c r="D254" s="7" t="s">
        <v>16</v>
      </c>
      <c r="E254" s="7" t="s">
        <v>1044</v>
      </c>
      <c r="F254" s="7" t="s">
        <v>1045</v>
      </c>
      <c r="G254" s="7" t="s">
        <v>1046</v>
      </c>
      <c r="H254" s="7">
        <v>5</v>
      </c>
      <c r="I254" s="7" t="s">
        <v>1047</v>
      </c>
      <c r="J254" s="7" t="s">
        <v>174</v>
      </c>
    </row>
    <row r="255" spans="1:10" x14ac:dyDescent="0.3">
      <c r="A255" s="6" t="s">
        <v>1048</v>
      </c>
      <c r="B255" s="7" t="s">
        <v>139</v>
      </c>
      <c r="C255" s="7" t="s">
        <v>773</v>
      </c>
      <c r="D255" s="7" t="s">
        <v>16</v>
      </c>
      <c r="E255" s="7" t="s">
        <v>1049</v>
      </c>
      <c r="F255" s="7" t="s">
        <v>1050</v>
      </c>
      <c r="G255" s="7" t="s">
        <v>1051</v>
      </c>
      <c r="H255" s="7"/>
      <c r="I255" s="7" t="s">
        <v>805</v>
      </c>
      <c r="J255" s="7" t="s">
        <v>355</v>
      </c>
    </row>
    <row r="256" spans="1:10" x14ac:dyDescent="0.3">
      <c r="A256" s="6" t="s">
        <v>1041</v>
      </c>
      <c r="B256" s="7" t="s">
        <v>139</v>
      </c>
      <c r="C256" s="7" t="s">
        <v>773</v>
      </c>
      <c r="D256" s="7" t="s">
        <v>16</v>
      </c>
      <c r="E256" s="7" t="s">
        <v>1038</v>
      </c>
      <c r="F256" s="7" t="s">
        <v>1039</v>
      </c>
      <c r="G256" s="7" t="s">
        <v>1042</v>
      </c>
      <c r="H256" s="7"/>
      <c r="I256" s="7"/>
      <c r="J256" s="7"/>
    </row>
    <row r="257" spans="1:10" x14ac:dyDescent="0.3">
      <c r="A257" s="6" t="s">
        <v>1037</v>
      </c>
      <c r="B257" s="7" t="s">
        <v>139</v>
      </c>
      <c r="C257" s="7" t="s">
        <v>773</v>
      </c>
      <c r="D257" s="7" t="s">
        <v>16</v>
      </c>
      <c r="E257" s="7" t="s">
        <v>1038</v>
      </c>
      <c r="F257" s="7" t="s">
        <v>1039</v>
      </c>
      <c r="G257" s="7" t="s">
        <v>1040</v>
      </c>
      <c r="H257" s="7"/>
      <c r="I257" s="7" t="s">
        <v>805</v>
      </c>
      <c r="J257" s="7" t="s">
        <v>806</v>
      </c>
    </row>
    <row r="258" spans="1:10" x14ac:dyDescent="0.3">
      <c r="A258" s="6" t="s">
        <v>1031</v>
      </c>
      <c r="B258" s="7" t="s">
        <v>139</v>
      </c>
      <c r="C258" s="7" t="s">
        <v>773</v>
      </c>
      <c r="D258" s="7" t="s">
        <v>16</v>
      </c>
      <c r="E258" s="7" t="s">
        <v>1032</v>
      </c>
      <c r="F258" s="7" t="s">
        <v>1033</v>
      </c>
      <c r="G258" s="7" t="s">
        <v>1034</v>
      </c>
      <c r="H258" s="7">
        <v>7</v>
      </c>
      <c r="I258" s="7" t="s">
        <v>1035</v>
      </c>
      <c r="J258" s="7" t="s">
        <v>1036</v>
      </c>
    </row>
    <row r="259" spans="1:10" x14ac:dyDescent="0.3">
      <c r="A259" s="6" t="s">
        <v>1857</v>
      </c>
      <c r="B259" s="7" t="s">
        <v>139</v>
      </c>
      <c r="C259" s="7" t="s">
        <v>773</v>
      </c>
      <c r="D259" s="7" t="s">
        <v>16</v>
      </c>
      <c r="E259" s="7" t="s">
        <v>1032</v>
      </c>
      <c r="F259" s="7" t="s">
        <v>1033</v>
      </c>
      <c r="G259" s="7" t="s">
        <v>1858</v>
      </c>
      <c r="H259" s="7">
        <v>10</v>
      </c>
      <c r="I259" s="7" t="s">
        <v>955</v>
      </c>
      <c r="J259" s="7" t="s">
        <v>391</v>
      </c>
    </row>
    <row r="260" spans="1:10" x14ac:dyDescent="0.3">
      <c r="A260" s="6" t="s">
        <v>1071</v>
      </c>
      <c r="B260" s="7" t="s">
        <v>139</v>
      </c>
      <c r="C260" s="7" t="s">
        <v>773</v>
      </c>
      <c r="D260" s="7" t="s">
        <v>16</v>
      </c>
      <c r="E260" s="7" t="s">
        <v>1068</v>
      </c>
      <c r="F260" s="7" t="s">
        <v>1069</v>
      </c>
      <c r="G260" s="7" t="s">
        <v>1072</v>
      </c>
      <c r="H260" s="7">
        <v>8</v>
      </c>
      <c r="I260" s="7" t="s">
        <v>583</v>
      </c>
      <c r="J260" s="7" t="s">
        <v>1073</v>
      </c>
    </row>
    <row r="261" spans="1:10" x14ac:dyDescent="0.3">
      <c r="A261" s="6" t="s">
        <v>1090</v>
      </c>
      <c r="B261" s="7" t="s">
        <v>139</v>
      </c>
      <c r="C261" s="7" t="s">
        <v>773</v>
      </c>
      <c r="D261" s="7" t="s">
        <v>16</v>
      </c>
      <c r="E261" s="7" t="s">
        <v>1086</v>
      </c>
      <c r="F261" s="7" t="s">
        <v>1087</v>
      </c>
      <c r="G261" s="7" t="s">
        <v>1091</v>
      </c>
      <c r="H261" s="7">
        <v>2</v>
      </c>
      <c r="I261" s="7" t="s">
        <v>1092</v>
      </c>
      <c r="J261" s="7" t="s">
        <v>144</v>
      </c>
    </row>
    <row r="262" spans="1:10" x14ac:dyDescent="0.3">
      <c r="A262" s="6" t="s">
        <v>1059</v>
      </c>
      <c r="B262" s="7" t="s">
        <v>139</v>
      </c>
      <c r="C262" s="7" t="s">
        <v>773</v>
      </c>
      <c r="D262" s="7" t="s">
        <v>16</v>
      </c>
      <c r="E262" s="7" t="s">
        <v>1060</v>
      </c>
      <c r="F262" s="7" t="s">
        <v>1061</v>
      </c>
      <c r="G262" s="7" t="s">
        <v>1062</v>
      </c>
      <c r="H262" s="7">
        <v>2</v>
      </c>
      <c r="I262" s="7" t="s">
        <v>1063</v>
      </c>
      <c r="J262" s="7" t="s">
        <v>174</v>
      </c>
    </row>
    <row r="263" spans="1:10" x14ac:dyDescent="0.3">
      <c r="A263" s="6" t="s">
        <v>1093</v>
      </c>
      <c r="B263" s="7" t="s">
        <v>139</v>
      </c>
      <c r="C263" s="7" t="s">
        <v>773</v>
      </c>
      <c r="D263" s="7" t="s">
        <v>16</v>
      </c>
      <c r="E263" s="7" t="s">
        <v>1086</v>
      </c>
      <c r="F263" s="7" t="s">
        <v>1087</v>
      </c>
      <c r="G263" s="7" t="s">
        <v>1094</v>
      </c>
      <c r="H263" s="7">
        <v>5</v>
      </c>
      <c r="I263" s="7" t="s">
        <v>430</v>
      </c>
      <c r="J263" s="7" t="s">
        <v>617</v>
      </c>
    </row>
    <row r="264" spans="1:10" x14ac:dyDescent="0.3">
      <c r="A264" s="6" t="s">
        <v>1109</v>
      </c>
      <c r="B264" s="7" t="s">
        <v>139</v>
      </c>
      <c r="C264" s="7" t="s">
        <v>773</v>
      </c>
      <c r="D264" s="7" t="s">
        <v>16</v>
      </c>
      <c r="E264" s="7" t="s">
        <v>1110</v>
      </c>
      <c r="F264" s="7" t="s">
        <v>1111</v>
      </c>
      <c r="G264" s="7" t="s">
        <v>1046</v>
      </c>
      <c r="H264" s="7">
        <v>8</v>
      </c>
      <c r="I264" s="7" t="s">
        <v>1112</v>
      </c>
      <c r="J264" s="7"/>
    </row>
    <row r="265" spans="1:10" x14ac:dyDescent="0.3">
      <c r="A265" s="6" t="s">
        <v>1873</v>
      </c>
      <c r="B265" s="7" t="s">
        <v>139</v>
      </c>
      <c r="C265" s="7" t="s">
        <v>773</v>
      </c>
      <c r="D265" s="7" t="s">
        <v>16</v>
      </c>
      <c r="E265" s="7" t="s">
        <v>1086</v>
      </c>
      <c r="F265" s="7" t="s">
        <v>1087</v>
      </c>
      <c r="G265" s="7" t="s">
        <v>1874</v>
      </c>
      <c r="H265" s="7"/>
      <c r="I265" s="7" t="s">
        <v>777</v>
      </c>
      <c r="J265" s="7" t="s">
        <v>144</v>
      </c>
    </row>
    <row r="266" spans="1:10" x14ac:dyDescent="0.3">
      <c r="A266" s="6" t="s">
        <v>1101</v>
      </c>
      <c r="B266" s="7" t="s">
        <v>139</v>
      </c>
      <c r="C266" s="7" t="s">
        <v>773</v>
      </c>
      <c r="D266" s="7" t="s">
        <v>16</v>
      </c>
      <c r="E266" s="7" t="s">
        <v>1102</v>
      </c>
      <c r="F266" s="7" t="s">
        <v>1103</v>
      </c>
      <c r="G266" s="7" t="s">
        <v>1104</v>
      </c>
      <c r="H266" s="7">
        <v>11</v>
      </c>
      <c r="I266" s="7" t="s">
        <v>1105</v>
      </c>
      <c r="J266" s="7" t="s">
        <v>1106</v>
      </c>
    </row>
    <row r="267" spans="1:10" x14ac:dyDescent="0.3">
      <c r="A267" s="6" t="s">
        <v>1079</v>
      </c>
      <c r="B267" s="7" t="s">
        <v>139</v>
      </c>
      <c r="C267" s="7" t="s">
        <v>773</v>
      </c>
      <c r="D267" s="7" t="s">
        <v>16</v>
      </c>
      <c r="E267" s="7" t="s">
        <v>1080</v>
      </c>
      <c r="F267" s="7" t="s">
        <v>1081</v>
      </c>
      <c r="G267" s="7" t="s">
        <v>1082</v>
      </c>
      <c r="H267" s="7">
        <v>6</v>
      </c>
      <c r="I267" s="7" t="s">
        <v>1083</v>
      </c>
      <c r="J267" s="7" t="s">
        <v>1084</v>
      </c>
    </row>
    <row r="268" spans="1:10" x14ac:dyDescent="0.3">
      <c r="A268" s="6" t="s">
        <v>1118</v>
      </c>
      <c r="B268" s="7" t="s">
        <v>139</v>
      </c>
      <c r="C268" s="7" t="s">
        <v>773</v>
      </c>
      <c r="D268" s="7" t="s">
        <v>16</v>
      </c>
      <c r="E268" s="7" t="s">
        <v>1119</v>
      </c>
      <c r="F268" s="7" t="s">
        <v>1120</v>
      </c>
      <c r="G268" s="7" t="s">
        <v>1121</v>
      </c>
      <c r="H268" s="7">
        <v>1</v>
      </c>
      <c r="I268" s="7" t="s">
        <v>876</v>
      </c>
      <c r="J268" s="7" t="s">
        <v>1122</v>
      </c>
    </row>
    <row r="269" spans="1:10" x14ac:dyDescent="0.3">
      <c r="A269" s="6" t="s">
        <v>1123</v>
      </c>
      <c r="B269" s="7" t="s">
        <v>139</v>
      </c>
      <c r="C269" s="7" t="s">
        <v>773</v>
      </c>
      <c r="D269" s="7" t="s">
        <v>16</v>
      </c>
      <c r="E269" s="7" t="s">
        <v>1124</v>
      </c>
      <c r="F269" s="7" t="s">
        <v>1125</v>
      </c>
      <c r="G269" s="7" t="s">
        <v>1126</v>
      </c>
      <c r="H269" s="7">
        <v>1</v>
      </c>
      <c r="I269" s="7" t="s">
        <v>876</v>
      </c>
      <c r="J269" s="7" t="s">
        <v>1122</v>
      </c>
    </row>
    <row r="270" spans="1:10" x14ac:dyDescent="0.3">
      <c r="A270" s="6" t="s">
        <v>1113</v>
      </c>
      <c r="B270" s="7" t="s">
        <v>139</v>
      </c>
      <c r="C270" s="7" t="s">
        <v>773</v>
      </c>
      <c r="D270" s="7" t="s">
        <v>16</v>
      </c>
      <c r="E270" s="7" t="s">
        <v>1114</v>
      </c>
      <c r="F270" s="7" t="s">
        <v>1115</v>
      </c>
      <c r="G270" s="7" t="s">
        <v>1116</v>
      </c>
      <c r="H270" s="7">
        <v>5</v>
      </c>
      <c r="I270" s="7" t="s">
        <v>498</v>
      </c>
      <c r="J270" s="7" t="s">
        <v>1117</v>
      </c>
    </row>
    <row r="271" spans="1:10" x14ac:dyDescent="0.3">
      <c r="A271" s="6" t="s">
        <v>1127</v>
      </c>
      <c r="B271" s="7" t="s">
        <v>139</v>
      </c>
      <c r="C271" s="7" t="s">
        <v>773</v>
      </c>
      <c r="D271" s="7" t="s">
        <v>16</v>
      </c>
      <c r="E271" s="7" t="s">
        <v>1128</v>
      </c>
      <c r="F271" s="7" t="s">
        <v>1129</v>
      </c>
      <c r="G271" s="7" t="s">
        <v>1130</v>
      </c>
      <c r="H271" s="7">
        <v>14</v>
      </c>
      <c r="I271" s="7"/>
      <c r="J271" s="7" t="s">
        <v>452</v>
      </c>
    </row>
    <row r="272" spans="1:10" x14ac:dyDescent="0.3">
      <c r="A272" s="6" t="s">
        <v>1107</v>
      </c>
      <c r="B272" s="7" t="s">
        <v>139</v>
      </c>
      <c r="C272" s="7" t="s">
        <v>773</v>
      </c>
      <c r="D272" s="7" t="s">
        <v>16</v>
      </c>
      <c r="E272" s="7" t="s">
        <v>1102</v>
      </c>
      <c r="F272" s="7" t="s">
        <v>1103</v>
      </c>
      <c r="G272" s="7" t="s">
        <v>1108</v>
      </c>
      <c r="H272" s="7">
        <v>7</v>
      </c>
      <c r="I272" s="7" t="s">
        <v>349</v>
      </c>
      <c r="J272" s="7" t="s">
        <v>234</v>
      </c>
    </row>
    <row r="273" spans="1:10" x14ac:dyDescent="0.3">
      <c r="A273" s="6" t="s">
        <v>1131</v>
      </c>
      <c r="B273" s="7" t="s">
        <v>139</v>
      </c>
      <c r="C273" s="7" t="s">
        <v>773</v>
      </c>
      <c r="D273" s="7" t="s">
        <v>16</v>
      </c>
      <c r="E273" s="7" t="s">
        <v>1128</v>
      </c>
      <c r="F273" s="7" t="s">
        <v>1129</v>
      </c>
      <c r="G273" s="7" t="s">
        <v>1132</v>
      </c>
      <c r="H273" s="7">
        <v>6</v>
      </c>
      <c r="I273" s="7" t="s">
        <v>1133</v>
      </c>
      <c r="J273" s="7" t="s">
        <v>174</v>
      </c>
    </row>
    <row r="274" spans="1:10" x14ac:dyDescent="0.3">
      <c r="A274" s="6" t="s">
        <v>1877</v>
      </c>
      <c r="B274" s="7" t="s">
        <v>139</v>
      </c>
      <c r="C274" s="7" t="s">
        <v>773</v>
      </c>
      <c r="D274" s="7" t="s">
        <v>16</v>
      </c>
      <c r="E274" s="7" t="s">
        <v>1128</v>
      </c>
      <c r="F274" s="7" t="s">
        <v>1129</v>
      </c>
      <c r="G274" s="7" t="s">
        <v>1878</v>
      </c>
      <c r="H274" s="7">
        <v>1</v>
      </c>
      <c r="I274" s="7" t="s">
        <v>1309</v>
      </c>
      <c r="J274" s="7" t="s">
        <v>1881</v>
      </c>
    </row>
    <row r="275" spans="1:10" x14ac:dyDescent="0.3">
      <c r="A275" s="6" t="s">
        <v>1095</v>
      </c>
      <c r="B275" s="7" t="s">
        <v>139</v>
      </c>
      <c r="C275" s="7" t="s">
        <v>773</v>
      </c>
      <c r="D275" s="7" t="s">
        <v>16</v>
      </c>
      <c r="E275" s="7" t="s">
        <v>1086</v>
      </c>
      <c r="F275" s="7" t="s">
        <v>1087</v>
      </c>
      <c r="G275" s="7" t="s">
        <v>1096</v>
      </c>
      <c r="H275" s="7">
        <v>2</v>
      </c>
      <c r="I275" s="7" t="s">
        <v>1097</v>
      </c>
      <c r="J275" s="7" t="s">
        <v>422</v>
      </c>
    </row>
    <row r="276" spans="1:10" x14ac:dyDescent="0.3">
      <c r="A276" s="6" t="s">
        <v>1140</v>
      </c>
      <c r="B276" s="7" t="s">
        <v>139</v>
      </c>
      <c r="C276" s="7" t="s">
        <v>773</v>
      </c>
      <c r="D276" s="7" t="s">
        <v>16</v>
      </c>
      <c r="E276" s="7" t="s">
        <v>1141</v>
      </c>
      <c r="F276" s="7" t="s">
        <v>1142</v>
      </c>
      <c r="G276" s="7" t="s">
        <v>1143</v>
      </c>
      <c r="H276" s="7">
        <v>35</v>
      </c>
      <c r="I276" s="7" t="s">
        <v>1092</v>
      </c>
      <c r="J276" s="7" t="s">
        <v>1144</v>
      </c>
    </row>
    <row r="277" spans="1:10" x14ac:dyDescent="0.3">
      <c r="A277" s="6" t="s">
        <v>1882</v>
      </c>
      <c r="B277" s="7" t="s">
        <v>139</v>
      </c>
      <c r="C277" s="7" t="s">
        <v>773</v>
      </c>
      <c r="D277" s="7" t="s">
        <v>16</v>
      </c>
      <c r="E277" s="7" t="s">
        <v>1141</v>
      </c>
      <c r="F277" s="7" t="s">
        <v>1142</v>
      </c>
      <c r="G277" s="7" t="s">
        <v>1883</v>
      </c>
      <c r="H277" s="7">
        <v>42</v>
      </c>
      <c r="I277" s="7" t="s">
        <v>1030</v>
      </c>
      <c r="J277" s="7" t="s">
        <v>1887</v>
      </c>
    </row>
    <row r="278" spans="1:10" x14ac:dyDescent="0.3">
      <c r="A278" s="6" t="s">
        <v>1098</v>
      </c>
      <c r="B278" s="7" t="s">
        <v>139</v>
      </c>
      <c r="C278" s="7" t="s">
        <v>773</v>
      </c>
      <c r="D278" s="7" t="s">
        <v>16</v>
      </c>
      <c r="E278" s="7" t="s">
        <v>1086</v>
      </c>
      <c r="F278" s="7" t="s">
        <v>1087</v>
      </c>
      <c r="G278" s="7" t="s">
        <v>1099</v>
      </c>
      <c r="H278" s="7"/>
      <c r="I278" s="7" t="s">
        <v>1100</v>
      </c>
      <c r="J278" s="7" t="s">
        <v>737</v>
      </c>
    </row>
    <row r="279" spans="1:10" x14ac:dyDescent="0.3">
      <c r="A279" s="6" t="s">
        <v>1134</v>
      </c>
      <c r="B279" s="7" t="s">
        <v>139</v>
      </c>
      <c r="C279" s="7" t="s">
        <v>773</v>
      </c>
      <c r="D279" s="7" t="s">
        <v>16</v>
      </c>
      <c r="E279" s="7" t="s">
        <v>1128</v>
      </c>
      <c r="F279" s="7" t="s">
        <v>1129</v>
      </c>
      <c r="G279" s="7" t="s">
        <v>1135</v>
      </c>
      <c r="H279" s="7">
        <v>9</v>
      </c>
      <c r="I279" s="7" t="s">
        <v>415</v>
      </c>
      <c r="J279" s="7" t="s">
        <v>1136</v>
      </c>
    </row>
    <row r="280" spans="1:10" x14ac:dyDescent="0.3">
      <c r="A280" s="6" t="s">
        <v>1137</v>
      </c>
      <c r="B280" s="7" t="s">
        <v>139</v>
      </c>
      <c r="C280" s="7" t="s">
        <v>773</v>
      </c>
      <c r="D280" s="7" t="s">
        <v>16</v>
      </c>
      <c r="E280" s="7" t="s">
        <v>1128</v>
      </c>
      <c r="F280" s="7" t="s">
        <v>1129</v>
      </c>
      <c r="G280" s="7" t="s">
        <v>1138</v>
      </c>
      <c r="H280" s="7"/>
      <c r="I280" s="7" t="s">
        <v>1139</v>
      </c>
      <c r="J280" s="7" t="s">
        <v>262</v>
      </c>
    </row>
    <row r="281" spans="1:10" x14ac:dyDescent="0.3">
      <c r="A281" s="6" t="s">
        <v>1148</v>
      </c>
      <c r="B281" s="7" t="s">
        <v>139</v>
      </c>
      <c r="C281" s="7" t="s">
        <v>773</v>
      </c>
      <c r="D281" s="7" t="s">
        <v>16</v>
      </c>
      <c r="E281" s="7" t="s">
        <v>1149</v>
      </c>
      <c r="F281" s="7" t="s">
        <v>756</v>
      </c>
      <c r="G281" s="7" t="s">
        <v>1150</v>
      </c>
      <c r="H281" s="7">
        <v>3</v>
      </c>
      <c r="I281" s="7" t="s">
        <v>1151</v>
      </c>
      <c r="J281" s="7" t="s">
        <v>174</v>
      </c>
    </row>
    <row r="282" spans="1:10" ht="15" x14ac:dyDescent="0.3">
      <c r="A282" s="10"/>
      <c r="B282" s="11"/>
      <c r="C282" s="11"/>
      <c r="D282" s="11" t="s">
        <v>2723</v>
      </c>
      <c r="E282" s="11" t="s">
        <v>2714</v>
      </c>
      <c r="F282" s="11"/>
      <c r="G282" s="11" t="s">
        <v>2724</v>
      </c>
      <c r="H282" s="11">
        <v>945</v>
      </c>
      <c r="I282" s="11"/>
      <c r="J282" s="11"/>
    </row>
    <row r="283" spans="1:10" x14ac:dyDescent="0.3">
      <c r="A283" s="6" t="s">
        <v>1195</v>
      </c>
      <c r="B283" s="7" t="s">
        <v>139</v>
      </c>
      <c r="C283" s="7" t="s">
        <v>1156</v>
      </c>
      <c r="D283" s="7" t="s">
        <v>18</v>
      </c>
      <c r="E283" s="7" t="s">
        <v>1192</v>
      </c>
      <c r="F283" s="7" t="s">
        <v>1196</v>
      </c>
      <c r="G283" s="7" t="s">
        <v>1197</v>
      </c>
      <c r="H283" s="7">
        <v>6</v>
      </c>
      <c r="I283" s="7" t="s">
        <v>1198</v>
      </c>
      <c r="J283" s="7" t="s">
        <v>818</v>
      </c>
    </row>
    <row r="284" spans="1:10" x14ac:dyDescent="0.3">
      <c r="A284" s="6" t="s">
        <v>1191</v>
      </c>
      <c r="B284" s="7" t="s">
        <v>139</v>
      </c>
      <c r="C284" s="7" t="s">
        <v>1156</v>
      </c>
      <c r="D284" s="7" t="s">
        <v>18</v>
      </c>
      <c r="E284" s="7" t="s">
        <v>1192</v>
      </c>
      <c r="F284" s="7" t="s">
        <v>845</v>
      </c>
      <c r="G284" s="7" t="s">
        <v>1193</v>
      </c>
      <c r="H284" s="7">
        <v>12</v>
      </c>
      <c r="I284" s="7" t="s">
        <v>1194</v>
      </c>
      <c r="J284" s="7" t="s">
        <v>630</v>
      </c>
    </row>
    <row r="285" spans="1:10" x14ac:dyDescent="0.3">
      <c r="A285" s="6" t="s">
        <v>1185</v>
      </c>
      <c r="B285" s="7" t="s">
        <v>139</v>
      </c>
      <c r="C285" s="7" t="s">
        <v>1156</v>
      </c>
      <c r="D285" s="7" t="s">
        <v>18</v>
      </c>
      <c r="E285" s="7" t="s">
        <v>1186</v>
      </c>
      <c r="F285" s="7" t="s">
        <v>1187</v>
      </c>
      <c r="G285" s="7" t="s">
        <v>1188</v>
      </c>
      <c r="H285" s="7">
        <v>2</v>
      </c>
      <c r="I285" s="7" t="s">
        <v>1189</v>
      </c>
      <c r="J285" s="7" t="s">
        <v>1190</v>
      </c>
    </row>
    <row r="286" spans="1:10" x14ac:dyDescent="0.3">
      <c r="A286" s="6" t="s">
        <v>1171</v>
      </c>
      <c r="B286" s="7" t="s">
        <v>139</v>
      </c>
      <c r="C286" s="7" t="s">
        <v>1156</v>
      </c>
      <c r="D286" s="7" t="s">
        <v>18</v>
      </c>
      <c r="E286" s="7" t="s">
        <v>1172</v>
      </c>
      <c r="F286" s="7" t="s">
        <v>242</v>
      </c>
      <c r="G286" s="7" t="s">
        <v>1173</v>
      </c>
      <c r="H286" s="7">
        <v>38</v>
      </c>
      <c r="I286" s="7" t="s">
        <v>1174</v>
      </c>
      <c r="J286" s="7" t="s">
        <v>243</v>
      </c>
    </row>
    <row r="287" spans="1:10" x14ac:dyDescent="0.3">
      <c r="A287" s="6" t="s">
        <v>1902</v>
      </c>
      <c r="B287" s="7" t="s">
        <v>139</v>
      </c>
      <c r="C287" s="7" t="s">
        <v>1156</v>
      </c>
      <c r="D287" s="7" t="s">
        <v>18</v>
      </c>
      <c r="E287" s="7" t="s">
        <v>808</v>
      </c>
      <c r="F287" s="7" t="s">
        <v>809</v>
      </c>
      <c r="G287" s="7" t="s">
        <v>1903</v>
      </c>
      <c r="H287" s="7">
        <v>24</v>
      </c>
      <c r="I287" s="7" t="s">
        <v>1905</v>
      </c>
      <c r="J287" s="7" t="s">
        <v>149</v>
      </c>
    </row>
    <row r="288" spans="1:10" x14ac:dyDescent="0.3">
      <c r="A288" s="6" t="s">
        <v>1182</v>
      </c>
      <c r="B288" s="7" t="s">
        <v>139</v>
      </c>
      <c r="C288" s="7" t="s">
        <v>1156</v>
      </c>
      <c r="D288" s="7" t="s">
        <v>18</v>
      </c>
      <c r="E288" s="7" t="s">
        <v>795</v>
      </c>
      <c r="F288" s="7" t="s">
        <v>796</v>
      </c>
      <c r="G288" s="7" t="s">
        <v>1183</v>
      </c>
      <c r="H288" s="7">
        <v>13</v>
      </c>
      <c r="I288" s="7" t="s">
        <v>1184</v>
      </c>
      <c r="J288" s="7" t="s">
        <v>221</v>
      </c>
    </row>
    <row r="289" spans="1:10" x14ac:dyDescent="0.3">
      <c r="A289" s="6" t="s">
        <v>1175</v>
      </c>
      <c r="B289" s="7" t="s">
        <v>139</v>
      </c>
      <c r="C289" s="7" t="s">
        <v>1156</v>
      </c>
      <c r="D289" s="7" t="s">
        <v>18</v>
      </c>
      <c r="E289" s="7" t="s">
        <v>795</v>
      </c>
      <c r="F289" s="7" t="s">
        <v>796</v>
      </c>
      <c r="G289" s="7" t="s">
        <v>1176</v>
      </c>
      <c r="H289" s="7">
        <v>26</v>
      </c>
      <c r="I289" s="7" t="s">
        <v>1177</v>
      </c>
      <c r="J289" s="7" t="s">
        <v>1073</v>
      </c>
    </row>
    <row r="290" spans="1:10" x14ac:dyDescent="0.3">
      <c r="A290" s="6" t="s">
        <v>1896</v>
      </c>
      <c r="B290" s="7" t="s">
        <v>139</v>
      </c>
      <c r="C290" s="7" t="s">
        <v>1156</v>
      </c>
      <c r="D290" s="7" t="s">
        <v>18</v>
      </c>
      <c r="E290" s="7" t="s">
        <v>1897</v>
      </c>
      <c r="F290" s="7" t="s">
        <v>228</v>
      </c>
      <c r="G290" s="7" t="s">
        <v>1898</v>
      </c>
      <c r="H290" s="7">
        <v>17</v>
      </c>
      <c r="I290" s="7" t="s">
        <v>607</v>
      </c>
      <c r="J290" s="7" t="s">
        <v>847</v>
      </c>
    </row>
    <row r="291" spans="1:10" x14ac:dyDescent="0.3">
      <c r="A291" s="6" t="s">
        <v>1167</v>
      </c>
      <c r="B291" s="7" t="s">
        <v>139</v>
      </c>
      <c r="C291" s="7" t="s">
        <v>1156</v>
      </c>
      <c r="D291" s="7" t="s">
        <v>18</v>
      </c>
      <c r="E291" s="7" t="s">
        <v>1168</v>
      </c>
      <c r="F291" s="7" t="s">
        <v>218</v>
      </c>
      <c r="G291" s="7" t="s">
        <v>1169</v>
      </c>
      <c r="H291" s="7">
        <v>30</v>
      </c>
      <c r="I291" s="7" t="s">
        <v>1170</v>
      </c>
      <c r="J291" s="7" t="s">
        <v>422</v>
      </c>
    </row>
    <row r="292" spans="1:10" x14ac:dyDescent="0.3">
      <c r="A292" s="6" t="s">
        <v>1913</v>
      </c>
      <c r="B292" s="7" t="s">
        <v>139</v>
      </c>
      <c r="C292" s="7" t="s">
        <v>1156</v>
      </c>
      <c r="D292" s="7" t="s">
        <v>18</v>
      </c>
      <c r="E292" s="7" t="s">
        <v>1914</v>
      </c>
      <c r="F292" s="7" t="s">
        <v>1915</v>
      </c>
      <c r="G292" s="7" t="s">
        <v>1916</v>
      </c>
      <c r="H292" s="7">
        <v>15</v>
      </c>
      <c r="I292" s="7" t="s">
        <v>1919</v>
      </c>
      <c r="J292" s="7" t="s">
        <v>337</v>
      </c>
    </row>
    <row r="293" spans="1:10" x14ac:dyDescent="0.3">
      <c r="A293" s="6" t="s">
        <v>1162</v>
      </c>
      <c r="B293" s="7" t="s">
        <v>139</v>
      </c>
      <c r="C293" s="7" t="s">
        <v>1156</v>
      </c>
      <c r="D293" s="7" t="s">
        <v>18</v>
      </c>
      <c r="E293" s="7" t="s">
        <v>1163</v>
      </c>
      <c r="F293" s="7" t="s">
        <v>1164</v>
      </c>
      <c r="G293" s="7" t="s">
        <v>1165</v>
      </c>
      <c r="H293" s="7">
        <v>1</v>
      </c>
      <c r="I293" s="7" t="s">
        <v>1166</v>
      </c>
      <c r="J293" s="7" t="s">
        <v>174</v>
      </c>
    </row>
    <row r="294" spans="1:10" x14ac:dyDescent="0.3">
      <c r="A294" s="6" t="s">
        <v>1155</v>
      </c>
      <c r="B294" s="7" t="s">
        <v>139</v>
      </c>
      <c r="C294" s="7" t="s">
        <v>1156</v>
      </c>
      <c r="D294" s="7" t="s">
        <v>18</v>
      </c>
      <c r="E294" s="7" t="s">
        <v>1157</v>
      </c>
      <c r="F294" s="7" t="s">
        <v>1158</v>
      </c>
      <c r="G294" s="7" t="s">
        <v>1159</v>
      </c>
      <c r="H294" s="7">
        <v>2</v>
      </c>
      <c r="I294" s="7" t="s">
        <v>1160</v>
      </c>
      <c r="J294" s="7" t="s">
        <v>1161</v>
      </c>
    </row>
    <row r="295" spans="1:10" x14ac:dyDescent="0.3">
      <c r="A295" s="6" t="s">
        <v>1888</v>
      </c>
      <c r="B295" s="7" t="s">
        <v>139</v>
      </c>
      <c r="C295" s="7" t="s">
        <v>1156</v>
      </c>
      <c r="D295" s="7" t="s">
        <v>18</v>
      </c>
      <c r="E295" s="7" t="s">
        <v>1889</v>
      </c>
      <c r="F295" s="7" t="s">
        <v>1890</v>
      </c>
      <c r="G295" s="7" t="s">
        <v>1891</v>
      </c>
      <c r="H295" s="7">
        <v>1</v>
      </c>
      <c r="I295" s="7" t="s">
        <v>1895</v>
      </c>
      <c r="J295" s="7" t="s">
        <v>174</v>
      </c>
    </row>
    <row r="296" spans="1:10" x14ac:dyDescent="0.3">
      <c r="A296" s="6" t="s">
        <v>1178</v>
      </c>
      <c r="B296" s="7" t="s">
        <v>139</v>
      </c>
      <c r="C296" s="7" t="s">
        <v>1156</v>
      </c>
      <c r="D296" s="7" t="s">
        <v>18</v>
      </c>
      <c r="E296" s="7" t="s">
        <v>795</v>
      </c>
      <c r="F296" s="7" t="s">
        <v>796</v>
      </c>
      <c r="G296" s="7" t="s">
        <v>1179</v>
      </c>
      <c r="H296" s="7">
        <v>10</v>
      </c>
      <c r="I296" s="7" t="s">
        <v>1180</v>
      </c>
      <c r="J296" s="7" t="s">
        <v>1181</v>
      </c>
    </row>
    <row r="297" spans="1:10" x14ac:dyDescent="0.3">
      <c r="A297" s="6" t="s">
        <v>1906</v>
      </c>
      <c r="B297" s="7" t="s">
        <v>139</v>
      </c>
      <c r="C297" s="7" t="s">
        <v>1156</v>
      </c>
      <c r="D297" s="7" t="s">
        <v>18</v>
      </c>
      <c r="E297" s="7" t="s">
        <v>1907</v>
      </c>
      <c r="F297" s="7" t="s">
        <v>1908</v>
      </c>
      <c r="G297" s="7" t="s">
        <v>1909</v>
      </c>
      <c r="H297" s="7">
        <v>4</v>
      </c>
      <c r="I297" s="7" t="s">
        <v>1912</v>
      </c>
      <c r="J297" s="7" t="s">
        <v>360</v>
      </c>
    </row>
    <row r="298" spans="1:10" x14ac:dyDescent="0.3">
      <c r="A298" s="6" t="s">
        <v>1251</v>
      </c>
      <c r="B298" s="7" t="s">
        <v>139</v>
      </c>
      <c r="C298" s="7" t="s">
        <v>1156</v>
      </c>
      <c r="D298" s="7" t="s">
        <v>18</v>
      </c>
      <c r="E298" s="7" t="s">
        <v>1252</v>
      </c>
      <c r="F298" s="7" t="s">
        <v>1253</v>
      </c>
      <c r="G298" s="7" t="s">
        <v>1254</v>
      </c>
      <c r="H298" s="7">
        <v>20</v>
      </c>
      <c r="I298" s="7" t="s">
        <v>673</v>
      </c>
      <c r="J298" s="7" t="s">
        <v>1255</v>
      </c>
    </row>
    <row r="299" spans="1:10" x14ac:dyDescent="0.3">
      <c r="A299" s="6" t="s">
        <v>1926</v>
      </c>
      <c r="B299" s="7" t="s">
        <v>139</v>
      </c>
      <c r="C299" s="7" t="s">
        <v>1156</v>
      </c>
      <c r="D299" s="7" t="s">
        <v>18</v>
      </c>
      <c r="E299" s="7" t="s">
        <v>1204</v>
      </c>
      <c r="F299" s="7" t="s">
        <v>1002</v>
      </c>
      <c r="G299" s="7" t="s">
        <v>1927</v>
      </c>
      <c r="H299" s="7">
        <v>20</v>
      </c>
      <c r="I299" s="7" t="s">
        <v>1929</v>
      </c>
      <c r="J299" s="7" t="s">
        <v>1930</v>
      </c>
    </row>
    <row r="300" spans="1:10" x14ac:dyDescent="0.3">
      <c r="A300" s="6" t="s">
        <v>1988</v>
      </c>
      <c r="B300" s="7" t="s">
        <v>139</v>
      </c>
      <c r="C300" s="7" t="s">
        <v>1156</v>
      </c>
      <c r="D300" s="7" t="s">
        <v>18</v>
      </c>
      <c r="E300" s="7" t="s">
        <v>97</v>
      </c>
      <c r="F300" s="7" t="s">
        <v>1989</v>
      </c>
      <c r="G300" s="7" t="s">
        <v>96</v>
      </c>
      <c r="H300" s="7">
        <v>12</v>
      </c>
      <c r="I300" s="7" t="s">
        <v>98</v>
      </c>
      <c r="J300" s="7" t="s">
        <v>184</v>
      </c>
    </row>
    <row r="301" spans="1:10" x14ac:dyDescent="0.3">
      <c r="A301" s="6" t="s">
        <v>1991</v>
      </c>
      <c r="B301" s="7" t="s">
        <v>139</v>
      </c>
      <c r="C301" s="7" t="s">
        <v>1156</v>
      </c>
      <c r="D301" s="7" t="s">
        <v>18</v>
      </c>
      <c r="E301" s="7" t="s">
        <v>97</v>
      </c>
      <c r="F301" s="7" t="s">
        <v>1989</v>
      </c>
      <c r="G301" s="7" t="s">
        <v>96</v>
      </c>
      <c r="H301" s="7">
        <v>2</v>
      </c>
      <c r="I301" s="7" t="s">
        <v>98</v>
      </c>
      <c r="J301" s="7" t="s">
        <v>184</v>
      </c>
    </row>
    <row r="302" spans="1:10" x14ac:dyDescent="0.3">
      <c r="A302" s="6" t="s">
        <v>1992</v>
      </c>
      <c r="B302" s="7" t="s">
        <v>139</v>
      </c>
      <c r="C302" s="7" t="s">
        <v>1156</v>
      </c>
      <c r="D302" s="7" t="s">
        <v>18</v>
      </c>
      <c r="E302" s="7" t="s">
        <v>1993</v>
      </c>
      <c r="F302" s="7" t="s">
        <v>540</v>
      </c>
      <c r="G302" s="7" t="s">
        <v>1994</v>
      </c>
      <c r="H302" s="7">
        <v>1</v>
      </c>
      <c r="I302" s="7" t="s">
        <v>1996</v>
      </c>
      <c r="J302" s="7" t="s">
        <v>174</v>
      </c>
    </row>
    <row r="303" spans="1:10" x14ac:dyDescent="0.3">
      <c r="A303" s="6" t="s">
        <v>1997</v>
      </c>
      <c r="B303" s="7" t="s">
        <v>139</v>
      </c>
      <c r="C303" s="7" t="s">
        <v>1156</v>
      </c>
      <c r="D303" s="7" t="s">
        <v>18</v>
      </c>
      <c r="E303" s="7" t="s">
        <v>1998</v>
      </c>
      <c r="F303" s="7" t="s">
        <v>1999</v>
      </c>
      <c r="G303" s="7" t="s">
        <v>2000</v>
      </c>
      <c r="H303" s="7">
        <v>1</v>
      </c>
      <c r="I303" s="7" t="s">
        <v>1996</v>
      </c>
      <c r="J303" s="7" t="s">
        <v>174</v>
      </c>
    </row>
    <row r="304" spans="1:10" x14ac:dyDescent="0.3">
      <c r="A304" s="6" t="s">
        <v>1275</v>
      </c>
      <c r="B304" s="7" t="s">
        <v>139</v>
      </c>
      <c r="C304" s="7" t="s">
        <v>1156</v>
      </c>
      <c r="D304" s="7" t="s">
        <v>18</v>
      </c>
      <c r="E304" s="7" t="s">
        <v>548</v>
      </c>
      <c r="F304" s="7" t="s">
        <v>549</v>
      </c>
      <c r="G304" s="7" t="s">
        <v>1276</v>
      </c>
      <c r="H304" s="7">
        <v>10</v>
      </c>
      <c r="I304" s="7" t="s">
        <v>626</v>
      </c>
      <c r="J304" s="7" t="s">
        <v>815</v>
      </c>
    </row>
    <row r="305" spans="1:10" x14ac:dyDescent="0.3">
      <c r="A305" s="6" t="s">
        <v>1277</v>
      </c>
      <c r="B305" s="7" t="s">
        <v>139</v>
      </c>
      <c r="C305" s="7" t="s">
        <v>1156</v>
      </c>
      <c r="D305" s="7" t="s">
        <v>18</v>
      </c>
      <c r="E305" s="7" t="s">
        <v>1278</v>
      </c>
      <c r="F305" s="7" t="s">
        <v>1279</v>
      </c>
      <c r="G305" s="7" t="s">
        <v>1280</v>
      </c>
      <c r="H305" s="7">
        <v>4</v>
      </c>
      <c r="I305" s="7" t="s">
        <v>1198</v>
      </c>
      <c r="J305" s="7" t="s">
        <v>662</v>
      </c>
    </row>
    <row r="306" spans="1:10" x14ac:dyDescent="0.3">
      <c r="A306" s="6" t="s">
        <v>1281</v>
      </c>
      <c r="B306" s="7" t="s">
        <v>139</v>
      </c>
      <c r="C306" s="7" t="s">
        <v>1156</v>
      </c>
      <c r="D306" s="7" t="s">
        <v>18</v>
      </c>
      <c r="E306" s="7" t="s">
        <v>1053</v>
      </c>
      <c r="F306" s="7" t="s">
        <v>1054</v>
      </c>
      <c r="G306" s="7" t="s">
        <v>1282</v>
      </c>
      <c r="H306" s="7">
        <v>5</v>
      </c>
      <c r="I306" s="7" t="s">
        <v>1283</v>
      </c>
      <c r="J306" s="7" t="s">
        <v>662</v>
      </c>
    </row>
    <row r="307" spans="1:10" x14ac:dyDescent="0.3">
      <c r="A307" s="6" t="s">
        <v>1289</v>
      </c>
      <c r="B307" s="7" t="s">
        <v>139</v>
      </c>
      <c r="C307" s="7" t="s">
        <v>1156</v>
      </c>
      <c r="D307" s="7" t="s">
        <v>18</v>
      </c>
      <c r="E307" s="7" t="s">
        <v>1285</v>
      </c>
      <c r="F307" s="7" t="s">
        <v>1286</v>
      </c>
      <c r="G307" s="7" t="s">
        <v>1290</v>
      </c>
      <c r="H307" s="7">
        <v>4</v>
      </c>
      <c r="I307" s="7" t="s">
        <v>202</v>
      </c>
      <c r="J307" s="7" t="s">
        <v>1291</v>
      </c>
    </row>
    <row r="308" spans="1:10" x14ac:dyDescent="0.3">
      <c r="A308" s="6" t="s">
        <v>1284</v>
      </c>
      <c r="B308" s="7" t="s">
        <v>139</v>
      </c>
      <c r="C308" s="7" t="s">
        <v>1156</v>
      </c>
      <c r="D308" s="7" t="s">
        <v>18</v>
      </c>
      <c r="E308" s="7" t="s">
        <v>1285</v>
      </c>
      <c r="F308" s="7" t="s">
        <v>1286</v>
      </c>
      <c r="G308" s="7" t="s">
        <v>1287</v>
      </c>
      <c r="H308" s="7">
        <v>22</v>
      </c>
      <c r="I308" s="7" t="s">
        <v>697</v>
      </c>
      <c r="J308" s="7" t="s">
        <v>1288</v>
      </c>
    </row>
    <row r="309" spans="1:10" x14ac:dyDescent="0.3">
      <c r="A309" s="6" t="s">
        <v>1292</v>
      </c>
      <c r="B309" s="7" t="s">
        <v>139</v>
      </c>
      <c r="C309" s="7" t="s">
        <v>1156</v>
      </c>
      <c r="D309" s="7" t="s">
        <v>18</v>
      </c>
      <c r="E309" s="7" t="s">
        <v>1293</v>
      </c>
      <c r="F309" s="7" t="s">
        <v>1061</v>
      </c>
      <c r="G309" s="7" t="s">
        <v>1294</v>
      </c>
      <c r="H309" s="7">
        <v>7</v>
      </c>
      <c r="I309" s="7" t="s">
        <v>1295</v>
      </c>
      <c r="J309" s="7" t="s">
        <v>1296</v>
      </c>
    </row>
    <row r="310" spans="1:10" x14ac:dyDescent="0.3">
      <c r="A310" s="6" t="s">
        <v>1297</v>
      </c>
      <c r="B310" s="7" t="s">
        <v>139</v>
      </c>
      <c r="C310" s="7" t="s">
        <v>1156</v>
      </c>
      <c r="D310" s="7" t="s">
        <v>18</v>
      </c>
      <c r="E310" s="7" t="s">
        <v>1298</v>
      </c>
      <c r="F310" s="7" t="s">
        <v>1081</v>
      </c>
      <c r="G310" s="7" t="s">
        <v>1299</v>
      </c>
      <c r="H310" s="7">
        <v>4</v>
      </c>
      <c r="I310" s="7" t="s">
        <v>1300</v>
      </c>
      <c r="J310" s="7" t="s">
        <v>184</v>
      </c>
    </row>
    <row r="311" spans="1:10" x14ac:dyDescent="0.3">
      <c r="A311" s="6" t="s">
        <v>1301</v>
      </c>
      <c r="B311" s="7" t="s">
        <v>139</v>
      </c>
      <c r="C311" s="7" t="s">
        <v>1156</v>
      </c>
      <c r="D311" s="7" t="s">
        <v>18</v>
      </c>
      <c r="E311" s="7" t="s">
        <v>1298</v>
      </c>
      <c r="F311" s="7" t="s">
        <v>1302</v>
      </c>
      <c r="G311" s="7" t="s">
        <v>1303</v>
      </c>
      <c r="H311" s="7">
        <v>2</v>
      </c>
      <c r="I311" s="7" t="s">
        <v>1304</v>
      </c>
      <c r="J311" s="7" t="s">
        <v>234</v>
      </c>
    </row>
    <row r="312" spans="1:10" x14ac:dyDescent="0.3">
      <c r="A312" s="6" t="s">
        <v>2002</v>
      </c>
      <c r="B312" s="7" t="s">
        <v>139</v>
      </c>
      <c r="C312" s="7" t="s">
        <v>1156</v>
      </c>
      <c r="D312" s="7" t="s">
        <v>18</v>
      </c>
      <c r="E312" s="7" t="s">
        <v>2003</v>
      </c>
      <c r="F312" s="7" t="s">
        <v>2004</v>
      </c>
      <c r="G312" s="7" t="s">
        <v>2005</v>
      </c>
      <c r="H312" s="7">
        <v>7</v>
      </c>
      <c r="I312" s="7" t="s">
        <v>2009</v>
      </c>
      <c r="J312" s="7" t="s">
        <v>2010</v>
      </c>
    </row>
    <row r="313" spans="1:10" x14ac:dyDescent="0.3">
      <c r="A313" s="6" t="s">
        <v>1320</v>
      </c>
      <c r="B313" s="7" t="s">
        <v>139</v>
      </c>
      <c r="C313" s="7" t="s">
        <v>1156</v>
      </c>
      <c r="D313" s="7" t="s">
        <v>18</v>
      </c>
      <c r="E313" s="7" t="s">
        <v>1321</v>
      </c>
      <c r="F313" s="7" t="s">
        <v>1322</v>
      </c>
      <c r="G313" s="7" t="s">
        <v>1323</v>
      </c>
      <c r="H313" s="7">
        <v>28</v>
      </c>
      <c r="I313" s="7" t="s">
        <v>207</v>
      </c>
      <c r="J313" s="7" t="s">
        <v>1324</v>
      </c>
    </row>
    <row r="314" spans="1:10" x14ac:dyDescent="0.3">
      <c r="A314" s="6" t="s">
        <v>2015</v>
      </c>
      <c r="B314" s="7" t="s">
        <v>139</v>
      </c>
      <c r="C314" s="7" t="s">
        <v>1156</v>
      </c>
      <c r="D314" s="7" t="s">
        <v>18</v>
      </c>
      <c r="E314" s="7" t="s">
        <v>1306</v>
      </c>
      <c r="F314" s="7" t="s">
        <v>1307</v>
      </c>
      <c r="G314" s="7" t="s">
        <v>2016</v>
      </c>
      <c r="H314" s="7">
        <v>54</v>
      </c>
      <c r="I314" s="7" t="s">
        <v>2018</v>
      </c>
      <c r="J314" s="7" t="s">
        <v>2019</v>
      </c>
    </row>
    <row r="315" spans="1:10" x14ac:dyDescent="0.3">
      <c r="A315" s="6" t="s">
        <v>1305</v>
      </c>
      <c r="B315" s="7" t="s">
        <v>139</v>
      </c>
      <c r="C315" s="7" t="s">
        <v>1156</v>
      </c>
      <c r="D315" s="7" t="s">
        <v>18</v>
      </c>
      <c r="E315" s="7" t="s">
        <v>1306</v>
      </c>
      <c r="F315" s="7" t="s">
        <v>1307</v>
      </c>
      <c r="G315" s="7" t="s">
        <v>1308</v>
      </c>
      <c r="H315" s="7">
        <v>16</v>
      </c>
      <c r="I315" s="7" t="s">
        <v>1309</v>
      </c>
      <c r="J315" s="7" t="s">
        <v>262</v>
      </c>
    </row>
    <row r="316" spans="1:10" x14ac:dyDescent="0.3">
      <c r="A316" s="6" t="s">
        <v>1310</v>
      </c>
      <c r="B316" s="7" t="s">
        <v>139</v>
      </c>
      <c r="C316" s="7" t="s">
        <v>1156</v>
      </c>
      <c r="D316" s="7" t="s">
        <v>18</v>
      </c>
      <c r="E316" s="7" t="s">
        <v>1306</v>
      </c>
      <c r="F316" s="7" t="s">
        <v>1307</v>
      </c>
      <c r="G316" s="7" t="s">
        <v>1311</v>
      </c>
      <c r="H316" s="7">
        <v>11</v>
      </c>
      <c r="I316" s="7" t="s">
        <v>1312</v>
      </c>
      <c r="J316" s="7" t="s">
        <v>1313</v>
      </c>
    </row>
    <row r="317" spans="1:10" x14ac:dyDescent="0.3">
      <c r="A317" s="6" t="s">
        <v>2011</v>
      </c>
      <c r="B317" s="7" t="s">
        <v>139</v>
      </c>
      <c r="C317" s="7" t="s">
        <v>1156</v>
      </c>
      <c r="D317" s="7" t="s">
        <v>18</v>
      </c>
      <c r="E317" s="7" t="s">
        <v>1306</v>
      </c>
      <c r="F317" s="7" t="s">
        <v>1307</v>
      </c>
      <c r="G317" s="7" t="s">
        <v>2012</v>
      </c>
      <c r="H317" s="7">
        <v>52</v>
      </c>
      <c r="I317" s="7" t="s">
        <v>411</v>
      </c>
      <c r="J317" s="7" t="s">
        <v>617</v>
      </c>
    </row>
    <row r="318" spans="1:10" x14ac:dyDescent="0.3">
      <c r="A318" s="6" t="s">
        <v>1314</v>
      </c>
      <c r="B318" s="7" t="s">
        <v>139</v>
      </c>
      <c r="C318" s="7" t="s">
        <v>1156</v>
      </c>
      <c r="D318" s="7" t="s">
        <v>18</v>
      </c>
      <c r="E318" s="7" t="s">
        <v>1315</v>
      </c>
      <c r="F318" s="7" t="s">
        <v>1316</v>
      </c>
      <c r="G318" s="7" t="s">
        <v>1317</v>
      </c>
      <c r="H318" s="7">
        <v>26</v>
      </c>
      <c r="I318" s="7" t="s">
        <v>1318</v>
      </c>
      <c r="J318" s="7" t="s">
        <v>1319</v>
      </c>
    </row>
    <row r="319" spans="1:10" x14ac:dyDescent="0.3">
      <c r="A319" s="6" t="s">
        <v>1325</v>
      </c>
      <c r="B319" s="7" t="s">
        <v>139</v>
      </c>
      <c r="C319" s="7" t="s">
        <v>1156</v>
      </c>
      <c r="D319" s="7" t="s">
        <v>18</v>
      </c>
      <c r="E319" s="7" t="s">
        <v>1326</v>
      </c>
      <c r="F319" s="7" t="s">
        <v>1142</v>
      </c>
      <c r="G319" s="7" t="s">
        <v>1327</v>
      </c>
      <c r="H319" s="7">
        <v>23</v>
      </c>
      <c r="I319" s="7" t="s">
        <v>1328</v>
      </c>
      <c r="J319" s="7" t="s">
        <v>332</v>
      </c>
    </row>
    <row r="320" spans="1:10" x14ac:dyDescent="0.3">
      <c r="A320" s="6" t="s">
        <v>1329</v>
      </c>
      <c r="B320" s="7" t="s">
        <v>139</v>
      </c>
      <c r="C320" s="7" t="s">
        <v>1156</v>
      </c>
      <c r="D320" s="7" t="s">
        <v>18</v>
      </c>
      <c r="E320" s="7" t="s">
        <v>1330</v>
      </c>
      <c r="F320" s="7" t="s">
        <v>760</v>
      </c>
      <c r="G320" s="7" t="s">
        <v>1331</v>
      </c>
      <c r="H320" s="7">
        <v>7</v>
      </c>
      <c r="I320" s="7" t="s">
        <v>1332</v>
      </c>
      <c r="J320" s="7" t="s">
        <v>871</v>
      </c>
    </row>
    <row r="321" spans="1:10" x14ac:dyDescent="0.3">
      <c r="A321" s="6" t="s">
        <v>2020</v>
      </c>
      <c r="B321" s="7" t="s">
        <v>139</v>
      </c>
      <c r="C321" s="7" t="s">
        <v>1156</v>
      </c>
      <c r="D321" s="7" t="s">
        <v>18</v>
      </c>
      <c r="E321" s="7" t="s">
        <v>2021</v>
      </c>
      <c r="F321" s="7" t="s">
        <v>2022</v>
      </c>
      <c r="G321" s="7" t="s">
        <v>2023</v>
      </c>
      <c r="H321" s="7">
        <v>11</v>
      </c>
      <c r="I321" s="7" t="s">
        <v>2025</v>
      </c>
      <c r="J321" s="7" t="s">
        <v>1601</v>
      </c>
    </row>
    <row r="322" spans="1:10" x14ac:dyDescent="0.3">
      <c r="A322" s="6" t="s">
        <v>2026</v>
      </c>
      <c r="B322" s="7" t="s">
        <v>139</v>
      </c>
      <c r="C322" s="7" t="s">
        <v>1156</v>
      </c>
      <c r="D322" s="7" t="s">
        <v>18</v>
      </c>
      <c r="E322" s="7" t="s">
        <v>2027</v>
      </c>
      <c r="F322" s="7" t="s">
        <v>2028</v>
      </c>
      <c r="G322" s="7" t="s">
        <v>2029</v>
      </c>
      <c r="H322" s="7">
        <v>10</v>
      </c>
      <c r="I322" s="7" t="s">
        <v>105</v>
      </c>
      <c r="J322" s="7" t="s">
        <v>174</v>
      </c>
    </row>
    <row r="323" spans="1:10" x14ac:dyDescent="0.3">
      <c r="A323" s="6" t="s">
        <v>1272</v>
      </c>
      <c r="B323" s="7" t="s">
        <v>139</v>
      </c>
      <c r="C323" s="7" t="s">
        <v>1156</v>
      </c>
      <c r="D323" s="7" t="s">
        <v>18</v>
      </c>
      <c r="E323" s="7" t="s">
        <v>1273</v>
      </c>
      <c r="F323" s="7" t="s">
        <v>1033</v>
      </c>
      <c r="G323" s="7" t="s">
        <v>1274</v>
      </c>
      <c r="H323" s="7">
        <v>6</v>
      </c>
      <c r="I323" s="7" t="s">
        <v>1198</v>
      </c>
      <c r="J323" s="7" t="s">
        <v>169</v>
      </c>
    </row>
    <row r="324" spans="1:10" x14ac:dyDescent="0.3">
      <c r="A324" s="6" t="s">
        <v>1920</v>
      </c>
      <c r="B324" s="7" t="s">
        <v>139</v>
      </c>
      <c r="C324" s="7" t="s">
        <v>1156</v>
      </c>
      <c r="D324" s="7" t="s">
        <v>18</v>
      </c>
      <c r="E324" s="7" t="s">
        <v>1921</v>
      </c>
      <c r="F324" s="7"/>
      <c r="G324" s="7" t="s">
        <v>1922</v>
      </c>
      <c r="H324" s="7">
        <v>2</v>
      </c>
      <c r="I324" s="7" t="s">
        <v>1925</v>
      </c>
      <c r="J324" s="7"/>
    </row>
    <row r="325" spans="1:10" x14ac:dyDescent="0.3">
      <c r="A325" s="6" t="s">
        <v>1268</v>
      </c>
      <c r="B325" s="7" t="s">
        <v>139</v>
      </c>
      <c r="C325" s="7" t="s">
        <v>1156</v>
      </c>
      <c r="D325" s="7" t="s">
        <v>18</v>
      </c>
      <c r="E325" s="7" t="s">
        <v>521</v>
      </c>
      <c r="F325" s="7" t="s">
        <v>1269</v>
      </c>
      <c r="G325" s="7" t="s">
        <v>1270</v>
      </c>
      <c r="H325" s="7">
        <v>3</v>
      </c>
      <c r="I325" s="7" t="s">
        <v>434</v>
      </c>
      <c r="J325" s="7" t="s">
        <v>1271</v>
      </c>
    </row>
    <row r="326" spans="1:10" x14ac:dyDescent="0.3">
      <c r="A326" s="6" t="s">
        <v>1976</v>
      </c>
      <c r="B326" s="7" t="s">
        <v>139</v>
      </c>
      <c r="C326" s="7" t="s">
        <v>1156</v>
      </c>
      <c r="D326" s="7" t="s">
        <v>18</v>
      </c>
      <c r="E326" s="7" t="s">
        <v>1977</v>
      </c>
      <c r="F326" s="7" t="s">
        <v>507</v>
      </c>
      <c r="G326" s="7" t="s">
        <v>103</v>
      </c>
      <c r="H326" s="7">
        <v>61</v>
      </c>
      <c r="I326" s="7" t="s">
        <v>105</v>
      </c>
      <c r="J326" s="7"/>
    </row>
    <row r="327" spans="1:10" x14ac:dyDescent="0.3">
      <c r="A327" s="6" t="s">
        <v>1203</v>
      </c>
      <c r="B327" s="7" t="s">
        <v>139</v>
      </c>
      <c r="C327" s="7" t="s">
        <v>1156</v>
      </c>
      <c r="D327" s="7" t="s">
        <v>18</v>
      </c>
      <c r="E327" s="7" t="s">
        <v>1204</v>
      </c>
      <c r="F327" s="7" t="s">
        <v>1002</v>
      </c>
      <c r="G327" s="7" t="s">
        <v>1205</v>
      </c>
      <c r="H327" s="7">
        <v>11</v>
      </c>
      <c r="I327" s="7" t="s">
        <v>1206</v>
      </c>
      <c r="J327" s="7" t="s">
        <v>174</v>
      </c>
    </row>
    <row r="328" spans="1:10" x14ac:dyDescent="0.3">
      <c r="A328" s="6" t="s">
        <v>1931</v>
      </c>
      <c r="B328" s="7" t="s">
        <v>139</v>
      </c>
      <c r="C328" s="7" t="s">
        <v>1156</v>
      </c>
      <c r="D328" s="7" t="s">
        <v>18</v>
      </c>
      <c r="E328" s="7" t="s">
        <v>1932</v>
      </c>
      <c r="F328" s="7" t="s">
        <v>329</v>
      </c>
      <c r="G328" s="7" t="s">
        <v>1933</v>
      </c>
      <c r="H328" s="7">
        <v>5</v>
      </c>
      <c r="I328" s="7" t="s">
        <v>411</v>
      </c>
      <c r="J328" s="7" t="s">
        <v>174</v>
      </c>
    </row>
    <row r="329" spans="1:10" x14ac:dyDescent="0.3">
      <c r="A329" s="6" t="s">
        <v>1207</v>
      </c>
      <c r="B329" s="7" t="s">
        <v>139</v>
      </c>
      <c r="C329" s="7" t="s">
        <v>1156</v>
      </c>
      <c r="D329" s="7" t="s">
        <v>18</v>
      </c>
      <c r="E329" s="7" t="s">
        <v>1208</v>
      </c>
      <c r="F329" s="7" t="s">
        <v>1209</v>
      </c>
      <c r="G329" s="7" t="s">
        <v>1210</v>
      </c>
      <c r="H329" s="7">
        <v>5</v>
      </c>
      <c r="I329" s="7" t="s">
        <v>1211</v>
      </c>
      <c r="J329" s="7" t="s">
        <v>1212</v>
      </c>
    </row>
    <row r="330" spans="1:10" x14ac:dyDescent="0.3">
      <c r="A330" s="6" t="s">
        <v>1935</v>
      </c>
      <c r="B330" s="7" t="s">
        <v>139</v>
      </c>
      <c r="C330" s="7" t="s">
        <v>1156</v>
      </c>
      <c r="D330" s="7" t="s">
        <v>18</v>
      </c>
      <c r="E330" s="7" t="s">
        <v>1936</v>
      </c>
      <c r="F330" s="7" t="s">
        <v>1937</v>
      </c>
      <c r="G330" s="7" t="s">
        <v>1938</v>
      </c>
      <c r="H330" s="7">
        <v>14</v>
      </c>
      <c r="I330" s="7" t="s">
        <v>1940</v>
      </c>
      <c r="J330" s="7" t="s">
        <v>962</v>
      </c>
    </row>
    <row r="331" spans="1:10" x14ac:dyDescent="0.3">
      <c r="A331" s="6" t="s">
        <v>1950</v>
      </c>
      <c r="B331" s="7" t="s">
        <v>139</v>
      </c>
      <c r="C331" s="7" t="s">
        <v>1156</v>
      </c>
      <c r="D331" s="7" t="s">
        <v>18</v>
      </c>
      <c r="E331" s="7" t="s">
        <v>1951</v>
      </c>
      <c r="F331" s="7" t="s">
        <v>1952</v>
      </c>
      <c r="G331" s="7" t="s">
        <v>1953</v>
      </c>
      <c r="H331" s="7">
        <v>27</v>
      </c>
      <c r="I331" s="7" t="s">
        <v>233</v>
      </c>
      <c r="J331" s="7" t="s">
        <v>1956</v>
      </c>
    </row>
    <row r="332" spans="1:10" x14ac:dyDescent="0.3">
      <c r="A332" s="6" t="s">
        <v>1213</v>
      </c>
      <c r="B332" s="7" t="s">
        <v>139</v>
      </c>
      <c r="C332" s="7" t="s">
        <v>1156</v>
      </c>
      <c r="D332" s="7" t="s">
        <v>18</v>
      </c>
      <c r="E332" s="7" t="s">
        <v>1214</v>
      </c>
      <c r="F332" s="7" t="s">
        <v>1215</v>
      </c>
      <c r="G332" s="7" t="s">
        <v>1216</v>
      </c>
      <c r="H332" s="7">
        <v>20</v>
      </c>
      <c r="I332" s="7" t="s">
        <v>1056</v>
      </c>
      <c r="J332" s="7" t="s">
        <v>1217</v>
      </c>
    </row>
    <row r="333" spans="1:10" x14ac:dyDescent="0.3">
      <c r="A333" s="6" t="s">
        <v>1229</v>
      </c>
      <c r="B333" s="7" t="s">
        <v>139</v>
      </c>
      <c r="C333" s="7" t="s">
        <v>1156</v>
      </c>
      <c r="D333" s="7" t="s">
        <v>18</v>
      </c>
      <c r="E333" s="7" t="s">
        <v>1224</v>
      </c>
      <c r="F333" s="7" t="s">
        <v>1225</v>
      </c>
      <c r="G333" s="7" t="s">
        <v>1230</v>
      </c>
      <c r="H333" s="7">
        <v>2</v>
      </c>
      <c r="I333" s="7" t="s">
        <v>703</v>
      </c>
      <c r="J333" s="7" t="s">
        <v>1231</v>
      </c>
    </row>
    <row r="334" spans="1:10" x14ac:dyDescent="0.3">
      <c r="A334" s="6" t="s">
        <v>1944</v>
      </c>
      <c r="B334" s="7" t="s">
        <v>139</v>
      </c>
      <c r="C334" s="7" t="s">
        <v>1156</v>
      </c>
      <c r="D334" s="7" t="s">
        <v>18</v>
      </c>
      <c r="E334" s="7" t="s">
        <v>1224</v>
      </c>
      <c r="F334" s="7" t="s">
        <v>1225</v>
      </c>
      <c r="G334" s="7" t="s">
        <v>1945</v>
      </c>
      <c r="H334" s="7">
        <v>10</v>
      </c>
      <c r="I334" s="7" t="s">
        <v>1947</v>
      </c>
      <c r="J334" s="7" t="s">
        <v>1948</v>
      </c>
    </row>
    <row r="335" spans="1:10" x14ac:dyDescent="0.3">
      <c r="A335" s="6" t="s">
        <v>1223</v>
      </c>
      <c r="B335" s="7" t="s">
        <v>139</v>
      </c>
      <c r="C335" s="7" t="s">
        <v>1156</v>
      </c>
      <c r="D335" s="7" t="s">
        <v>18</v>
      </c>
      <c r="E335" s="7" t="s">
        <v>1224</v>
      </c>
      <c r="F335" s="7" t="s">
        <v>1225</v>
      </c>
      <c r="G335" s="7" t="s">
        <v>1226</v>
      </c>
      <c r="H335" s="7">
        <v>17</v>
      </c>
      <c r="I335" s="7" t="s">
        <v>390</v>
      </c>
      <c r="J335" s="7" t="s">
        <v>815</v>
      </c>
    </row>
    <row r="336" spans="1:10" x14ac:dyDescent="0.3">
      <c r="A336" s="6" t="s">
        <v>1941</v>
      </c>
      <c r="B336" s="7" t="s">
        <v>139</v>
      </c>
      <c r="C336" s="7" t="s">
        <v>1156</v>
      </c>
      <c r="D336" s="7" t="s">
        <v>18</v>
      </c>
      <c r="E336" s="7" t="s">
        <v>1224</v>
      </c>
      <c r="F336" s="7" t="s">
        <v>1225</v>
      </c>
      <c r="G336" s="7" t="s">
        <v>1942</v>
      </c>
      <c r="H336" s="7">
        <v>2</v>
      </c>
      <c r="I336" s="7" t="s">
        <v>411</v>
      </c>
      <c r="J336" s="7" t="s">
        <v>326</v>
      </c>
    </row>
    <row r="337" spans="1:10" x14ac:dyDescent="0.3">
      <c r="A337" s="6" t="s">
        <v>1227</v>
      </c>
      <c r="B337" s="7" t="s">
        <v>139</v>
      </c>
      <c r="C337" s="7" t="s">
        <v>1156</v>
      </c>
      <c r="D337" s="7" t="s">
        <v>18</v>
      </c>
      <c r="E337" s="7" t="s">
        <v>1224</v>
      </c>
      <c r="F337" s="7" t="s">
        <v>1225</v>
      </c>
      <c r="G337" s="7" t="s">
        <v>111</v>
      </c>
      <c r="H337" s="7">
        <v>24</v>
      </c>
      <c r="I337" s="7" t="s">
        <v>163</v>
      </c>
      <c r="J337" s="7" t="s">
        <v>1228</v>
      </c>
    </row>
    <row r="338" spans="1:10" x14ac:dyDescent="0.3">
      <c r="A338" s="6" t="s">
        <v>1218</v>
      </c>
      <c r="B338" s="7" t="s">
        <v>139</v>
      </c>
      <c r="C338" s="7" t="s">
        <v>1156</v>
      </c>
      <c r="D338" s="7" t="s">
        <v>18</v>
      </c>
      <c r="E338" s="7" t="s">
        <v>1219</v>
      </c>
      <c r="F338" s="7" t="s">
        <v>1220</v>
      </c>
      <c r="G338" s="7" t="s">
        <v>1221</v>
      </c>
      <c r="H338" s="7">
        <v>2</v>
      </c>
      <c r="I338" s="7" t="s">
        <v>1222</v>
      </c>
      <c r="J338" s="7" t="s">
        <v>617</v>
      </c>
    </row>
    <row r="339" spans="1:10" x14ac:dyDescent="0.3">
      <c r="A339" s="6" t="s">
        <v>1957</v>
      </c>
      <c r="B339" s="7" t="s">
        <v>139</v>
      </c>
      <c r="C339" s="7" t="s">
        <v>1156</v>
      </c>
      <c r="D339" s="7" t="s">
        <v>18</v>
      </c>
      <c r="E339" s="7" t="s">
        <v>1233</v>
      </c>
      <c r="F339" s="7" t="s">
        <v>1234</v>
      </c>
      <c r="G339" s="7" t="s">
        <v>1958</v>
      </c>
      <c r="H339" s="7">
        <v>4</v>
      </c>
      <c r="I339" s="7" t="s">
        <v>1139</v>
      </c>
      <c r="J339" s="7" t="s">
        <v>174</v>
      </c>
    </row>
    <row r="340" spans="1:10" x14ac:dyDescent="0.3">
      <c r="A340" s="6" t="s">
        <v>1960</v>
      </c>
      <c r="B340" s="7" t="s">
        <v>139</v>
      </c>
      <c r="C340" s="7" t="s">
        <v>1156</v>
      </c>
      <c r="D340" s="7" t="s">
        <v>18</v>
      </c>
      <c r="E340" s="7" t="s">
        <v>1961</v>
      </c>
      <c r="F340" s="7" t="s">
        <v>394</v>
      </c>
      <c r="G340" s="7" t="s">
        <v>1962</v>
      </c>
      <c r="H340" s="7">
        <v>2</v>
      </c>
      <c r="I340" s="7" t="s">
        <v>1600</v>
      </c>
      <c r="J340" s="7" t="s">
        <v>422</v>
      </c>
    </row>
    <row r="341" spans="1:10" x14ac:dyDescent="0.3">
      <c r="A341" s="6" t="s">
        <v>1237</v>
      </c>
      <c r="B341" s="7" t="s">
        <v>139</v>
      </c>
      <c r="C341" s="7" t="s">
        <v>1156</v>
      </c>
      <c r="D341" s="7" t="s">
        <v>18</v>
      </c>
      <c r="E341" s="7" t="s">
        <v>1238</v>
      </c>
      <c r="F341" s="7" t="s">
        <v>1239</v>
      </c>
      <c r="G341" s="7" t="s">
        <v>1240</v>
      </c>
      <c r="H341" s="7">
        <v>14</v>
      </c>
      <c r="I341" s="7" t="s">
        <v>1189</v>
      </c>
      <c r="J341" s="7" t="s">
        <v>221</v>
      </c>
    </row>
    <row r="342" spans="1:10" x14ac:dyDescent="0.3">
      <c r="A342" s="6" t="s">
        <v>1247</v>
      </c>
      <c r="B342" s="7" t="s">
        <v>139</v>
      </c>
      <c r="C342" s="7" t="s">
        <v>1156</v>
      </c>
      <c r="D342" s="7" t="s">
        <v>18</v>
      </c>
      <c r="E342" s="7" t="s">
        <v>1242</v>
      </c>
      <c r="F342" s="7" t="s">
        <v>1243</v>
      </c>
      <c r="G342" s="7" t="s">
        <v>1248</v>
      </c>
      <c r="H342" s="7">
        <v>5</v>
      </c>
      <c r="I342" s="7" t="s">
        <v>1249</v>
      </c>
      <c r="J342" s="7" t="s">
        <v>1250</v>
      </c>
    </row>
    <row r="343" spans="1:10" x14ac:dyDescent="0.3">
      <c r="A343" s="6" t="s">
        <v>1241</v>
      </c>
      <c r="B343" s="7" t="s">
        <v>139</v>
      </c>
      <c r="C343" s="7" t="s">
        <v>1156</v>
      </c>
      <c r="D343" s="7" t="s">
        <v>18</v>
      </c>
      <c r="E343" s="7" t="s">
        <v>1242</v>
      </c>
      <c r="F343" s="7" t="s">
        <v>1243</v>
      </c>
      <c r="G343" s="7" t="s">
        <v>1244</v>
      </c>
      <c r="H343" s="7">
        <v>23</v>
      </c>
      <c r="I343" s="7" t="s">
        <v>1245</v>
      </c>
      <c r="J343" s="7" t="s">
        <v>1246</v>
      </c>
    </row>
    <row r="344" spans="1:10" x14ac:dyDescent="0.3">
      <c r="A344" s="6" t="s">
        <v>1966</v>
      </c>
      <c r="B344" s="7" t="s">
        <v>139</v>
      </c>
      <c r="C344" s="7" t="s">
        <v>1156</v>
      </c>
      <c r="D344" s="7" t="s">
        <v>18</v>
      </c>
      <c r="E344" s="7" t="s">
        <v>74</v>
      </c>
      <c r="F344" s="7" t="s">
        <v>447</v>
      </c>
      <c r="G344" s="7" t="s">
        <v>1967</v>
      </c>
      <c r="H344" s="7">
        <v>25</v>
      </c>
      <c r="I344" s="7" t="s">
        <v>163</v>
      </c>
      <c r="J344" s="7" t="s">
        <v>1970</v>
      </c>
    </row>
    <row r="345" spans="1:10" x14ac:dyDescent="0.3">
      <c r="A345" s="6" t="s">
        <v>1256</v>
      </c>
      <c r="B345" s="7" t="s">
        <v>139</v>
      </c>
      <c r="C345" s="7" t="s">
        <v>1156</v>
      </c>
      <c r="D345" s="7" t="s">
        <v>18</v>
      </c>
      <c r="E345" s="7" t="s">
        <v>1257</v>
      </c>
      <c r="F345" s="7" t="s">
        <v>1258</v>
      </c>
      <c r="G345" s="7" t="s">
        <v>1259</v>
      </c>
      <c r="H345" s="7">
        <v>30</v>
      </c>
      <c r="I345" s="7" t="s">
        <v>1260</v>
      </c>
      <c r="J345" s="7" t="s">
        <v>1261</v>
      </c>
    </row>
    <row r="346" spans="1:10" x14ac:dyDescent="0.3">
      <c r="A346" s="6" t="s">
        <v>1262</v>
      </c>
      <c r="B346" s="7" t="s">
        <v>139</v>
      </c>
      <c r="C346" s="7" t="s">
        <v>1156</v>
      </c>
      <c r="D346" s="7" t="s">
        <v>18</v>
      </c>
      <c r="E346" s="7" t="s">
        <v>474</v>
      </c>
      <c r="F346" s="7" t="s">
        <v>475</v>
      </c>
      <c r="G346" s="7" t="s">
        <v>1263</v>
      </c>
      <c r="H346" s="7">
        <v>12</v>
      </c>
      <c r="I346" s="7" t="s">
        <v>1264</v>
      </c>
      <c r="J346" s="7" t="s">
        <v>924</v>
      </c>
    </row>
    <row r="347" spans="1:10" x14ac:dyDescent="0.3">
      <c r="A347" s="6" t="s">
        <v>1971</v>
      </c>
      <c r="B347" s="7" t="s">
        <v>139</v>
      </c>
      <c r="C347" s="7" t="s">
        <v>1156</v>
      </c>
      <c r="D347" s="7" t="s">
        <v>18</v>
      </c>
      <c r="E347" s="7" t="s">
        <v>1972</v>
      </c>
      <c r="F347" s="7" t="s">
        <v>998</v>
      </c>
      <c r="G347" s="7" t="s">
        <v>1973</v>
      </c>
      <c r="H347" s="7">
        <v>20</v>
      </c>
      <c r="I347" s="7" t="s">
        <v>1975</v>
      </c>
      <c r="J347" s="7" t="s">
        <v>1601</v>
      </c>
    </row>
    <row r="348" spans="1:10" x14ac:dyDescent="0.3">
      <c r="A348" s="6" t="s">
        <v>1981</v>
      </c>
      <c r="B348" s="7" t="s">
        <v>139</v>
      </c>
      <c r="C348" s="7" t="s">
        <v>1156</v>
      </c>
      <c r="D348" s="7" t="s">
        <v>18</v>
      </c>
      <c r="E348" s="7" t="s">
        <v>1982</v>
      </c>
      <c r="F348" s="7" t="s">
        <v>1983</v>
      </c>
      <c r="G348" s="7" t="s">
        <v>1984</v>
      </c>
      <c r="H348" s="7">
        <v>27</v>
      </c>
      <c r="I348" s="7" t="s">
        <v>1083</v>
      </c>
      <c r="J348" s="7" t="s">
        <v>1751</v>
      </c>
    </row>
    <row r="349" spans="1:10" x14ac:dyDescent="0.3">
      <c r="A349" s="6" t="s">
        <v>1265</v>
      </c>
      <c r="B349" s="7" t="s">
        <v>139</v>
      </c>
      <c r="C349" s="7" t="s">
        <v>1156</v>
      </c>
      <c r="D349" s="7" t="s">
        <v>18</v>
      </c>
      <c r="E349" s="7" t="s">
        <v>1266</v>
      </c>
      <c r="F349" s="7" t="s">
        <v>1007</v>
      </c>
      <c r="G349" s="7" t="s">
        <v>1267</v>
      </c>
      <c r="H349" s="7">
        <v>4</v>
      </c>
      <c r="I349" s="7" t="s">
        <v>211</v>
      </c>
      <c r="J349" s="7" t="s">
        <v>584</v>
      </c>
    </row>
    <row r="350" spans="1:10" x14ac:dyDescent="0.3">
      <c r="A350" s="6" t="s">
        <v>1979</v>
      </c>
      <c r="B350" s="7" t="s">
        <v>139</v>
      </c>
      <c r="C350" s="7" t="s">
        <v>1156</v>
      </c>
      <c r="D350" s="7" t="s">
        <v>18</v>
      </c>
      <c r="E350" s="7" t="s">
        <v>1980</v>
      </c>
      <c r="F350" s="7" t="s">
        <v>510</v>
      </c>
      <c r="G350" s="7" t="s">
        <v>103</v>
      </c>
      <c r="H350" s="7">
        <v>22</v>
      </c>
      <c r="I350" s="7" t="s">
        <v>105</v>
      </c>
      <c r="J350" s="7"/>
    </row>
    <row r="351" spans="1:10" x14ac:dyDescent="0.3">
      <c r="A351" s="6" t="s">
        <v>1199</v>
      </c>
      <c r="B351" s="7" t="s">
        <v>139</v>
      </c>
      <c r="C351" s="7" t="s">
        <v>1156</v>
      </c>
      <c r="D351" s="7" t="s">
        <v>18</v>
      </c>
      <c r="E351" s="7" t="s">
        <v>78</v>
      </c>
      <c r="F351" s="7" t="s">
        <v>290</v>
      </c>
      <c r="G351" s="7" t="s">
        <v>1200</v>
      </c>
      <c r="H351" s="7">
        <v>36</v>
      </c>
      <c r="I351" s="7" t="s">
        <v>1201</v>
      </c>
      <c r="J351" s="7" t="s">
        <v>1202</v>
      </c>
    </row>
    <row r="352" spans="1:10" x14ac:dyDescent="0.3">
      <c r="A352" s="6" t="s">
        <v>1232</v>
      </c>
      <c r="B352" s="7" t="s">
        <v>139</v>
      </c>
      <c r="C352" s="7" t="s">
        <v>1156</v>
      </c>
      <c r="D352" s="7" t="s">
        <v>18</v>
      </c>
      <c r="E352" s="7" t="s">
        <v>1233</v>
      </c>
      <c r="F352" s="7" t="s">
        <v>1234</v>
      </c>
      <c r="G352" s="7" t="s">
        <v>1235</v>
      </c>
      <c r="H352" s="7">
        <v>1</v>
      </c>
      <c r="I352" s="7" t="s">
        <v>1222</v>
      </c>
      <c r="J352" s="7" t="s">
        <v>1236</v>
      </c>
    </row>
    <row r="353" spans="1:10" ht="15" x14ac:dyDescent="0.3">
      <c r="A353" s="10"/>
      <c r="B353" s="11"/>
      <c r="C353" s="11"/>
      <c r="D353" s="11" t="s">
        <v>2725</v>
      </c>
      <c r="E353" s="11" t="s">
        <v>2714</v>
      </c>
      <c r="F353" s="11"/>
      <c r="G353" s="11" t="s">
        <v>2726</v>
      </c>
      <c r="H353" s="11">
        <v>996</v>
      </c>
      <c r="I353" s="11"/>
      <c r="J353" s="11"/>
    </row>
    <row r="354" spans="1:10" x14ac:dyDescent="0.3">
      <c r="A354" s="6" t="s">
        <v>2041</v>
      </c>
      <c r="B354" s="7" t="s">
        <v>139</v>
      </c>
      <c r="C354" s="7" t="s">
        <v>643</v>
      </c>
      <c r="D354" s="7" t="s">
        <v>20</v>
      </c>
      <c r="E354" s="7" t="s">
        <v>2042</v>
      </c>
      <c r="F354" s="7" t="s">
        <v>2043</v>
      </c>
      <c r="G354" s="7" t="s">
        <v>2044</v>
      </c>
      <c r="H354" s="7">
        <v>9</v>
      </c>
      <c r="I354" s="7" t="s">
        <v>814</v>
      </c>
      <c r="J354" s="7" t="s">
        <v>2047</v>
      </c>
    </row>
    <row r="355" spans="1:10" x14ac:dyDescent="0.3">
      <c r="A355" s="6" t="s">
        <v>2032</v>
      </c>
      <c r="B355" s="7" t="s">
        <v>139</v>
      </c>
      <c r="C355" s="7" t="s">
        <v>643</v>
      </c>
      <c r="D355" s="7" t="s">
        <v>20</v>
      </c>
      <c r="E355" s="7" t="s">
        <v>2033</v>
      </c>
      <c r="F355" s="7" t="s">
        <v>2034</v>
      </c>
      <c r="G355" s="7" t="s">
        <v>2035</v>
      </c>
      <c r="H355" s="7">
        <v>36</v>
      </c>
      <c r="I355" s="7" t="s">
        <v>961</v>
      </c>
      <c r="J355" s="7" t="s">
        <v>2040</v>
      </c>
    </row>
    <row r="356" spans="1:10" ht="15" x14ac:dyDescent="0.3">
      <c r="A356" s="10"/>
      <c r="B356" s="11"/>
      <c r="C356" s="11"/>
      <c r="D356" s="11" t="s">
        <v>2727</v>
      </c>
      <c r="E356" s="11" t="s">
        <v>2714</v>
      </c>
      <c r="F356" s="11"/>
      <c r="G356" s="11" t="s">
        <v>2721</v>
      </c>
      <c r="H356" s="11">
        <v>45</v>
      </c>
      <c r="I356" s="11"/>
      <c r="J356" s="11"/>
    </row>
    <row r="357" spans="1:10" x14ac:dyDescent="0.3">
      <c r="A357" s="6" t="s">
        <v>2167</v>
      </c>
      <c r="B357" s="7" t="s">
        <v>139</v>
      </c>
      <c r="C357" s="7" t="s">
        <v>2049</v>
      </c>
      <c r="D357" s="7" t="s">
        <v>21</v>
      </c>
      <c r="E357" s="7" t="s">
        <v>70</v>
      </c>
      <c r="F357" s="7" t="s">
        <v>2163</v>
      </c>
      <c r="G357" s="7" t="s">
        <v>2168</v>
      </c>
      <c r="H357" s="7">
        <v>125</v>
      </c>
      <c r="I357" s="7" t="s">
        <v>94</v>
      </c>
      <c r="J357" s="7" t="s">
        <v>262</v>
      </c>
    </row>
    <row r="358" spans="1:10" x14ac:dyDescent="0.3">
      <c r="A358" s="6" t="s">
        <v>2179</v>
      </c>
      <c r="B358" s="7" t="s">
        <v>139</v>
      </c>
      <c r="C358" s="7" t="s">
        <v>2049</v>
      </c>
      <c r="D358" s="7" t="s">
        <v>21</v>
      </c>
      <c r="E358" s="7" t="s">
        <v>2180</v>
      </c>
      <c r="F358" s="7"/>
      <c r="G358" s="7" t="s">
        <v>2181</v>
      </c>
      <c r="H358" s="7">
        <v>10</v>
      </c>
      <c r="I358" s="7" t="s">
        <v>2092</v>
      </c>
      <c r="J358" s="7" t="s">
        <v>1161</v>
      </c>
    </row>
    <row r="359" spans="1:10" x14ac:dyDescent="0.3">
      <c r="A359" s="6" t="s">
        <v>2178</v>
      </c>
      <c r="B359" s="7" t="s">
        <v>139</v>
      </c>
      <c r="C359" s="7" t="s">
        <v>2049</v>
      </c>
      <c r="D359" s="7" t="s">
        <v>21</v>
      </c>
      <c r="E359" s="7" t="s">
        <v>70</v>
      </c>
      <c r="F359" s="7"/>
      <c r="G359" s="7" t="s">
        <v>69</v>
      </c>
      <c r="H359" s="7">
        <v>2</v>
      </c>
      <c r="I359" s="7" t="s">
        <v>94</v>
      </c>
      <c r="J359" s="7" t="s">
        <v>262</v>
      </c>
    </row>
    <row r="360" spans="1:10" x14ac:dyDescent="0.3">
      <c r="A360" s="6" t="s">
        <v>2176</v>
      </c>
      <c r="B360" s="7" t="s">
        <v>139</v>
      </c>
      <c r="C360" s="7" t="s">
        <v>2049</v>
      </c>
      <c r="D360" s="7" t="s">
        <v>21</v>
      </c>
      <c r="E360" s="7" t="s">
        <v>70</v>
      </c>
      <c r="F360" s="7" t="s">
        <v>2177</v>
      </c>
      <c r="G360" s="7" t="s">
        <v>69</v>
      </c>
      <c r="H360" s="7">
        <v>3</v>
      </c>
      <c r="I360" s="7" t="s">
        <v>94</v>
      </c>
      <c r="J360" s="7" t="s">
        <v>262</v>
      </c>
    </row>
    <row r="361" spans="1:10" x14ac:dyDescent="0.3">
      <c r="A361" s="6" t="s">
        <v>2162</v>
      </c>
      <c r="B361" s="7" t="s">
        <v>139</v>
      </c>
      <c r="C361" s="7" t="s">
        <v>2049</v>
      </c>
      <c r="D361" s="7" t="s">
        <v>21</v>
      </c>
      <c r="E361" s="7" t="s">
        <v>70</v>
      </c>
      <c r="F361" s="7" t="s">
        <v>2163</v>
      </c>
      <c r="G361" s="7" t="s">
        <v>2164</v>
      </c>
      <c r="H361" s="7">
        <v>18</v>
      </c>
      <c r="I361" s="7" t="s">
        <v>94</v>
      </c>
      <c r="J361" s="7" t="s">
        <v>262</v>
      </c>
    </row>
    <row r="362" spans="1:10" x14ac:dyDescent="0.3">
      <c r="A362" s="6" t="s">
        <v>2247</v>
      </c>
      <c r="B362" s="7" t="s">
        <v>139</v>
      </c>
      <c r="C362" s="7" t="s">
        <v>2049</v>
      </c>
      <c r="D362" s="7" t="s">
        <v>21</v>
      </c>
      <c r="E362" s="7" t="s">
        <v>2248</v>
      </c>
      <c r="F362" s="7" t="s">
        <v>2249</v>
      </c>
      <c r="G362" s="7" t="s">
        <v>2250</v>
      </c>
      <c r="H362" s="7">
        <v>11</v>
      </c>
      <c r="I362" s="7" t="s">
        <v>2252</v>
      </c>
      <c r="J362" s="7" t="s">
        <v>2253</v>
      </c>
    </row>
    <row r="363" spans="1:10" x14ac:dyDescent="0.3">
      <c r="A363" s="6" t="s">
        <v>2198</v>
      </c>
      <c r="B363" s="7" t="s">
        <v>139</v>
      </c>
      <c r="C363" s="7" t="s">
        <v>2049</v>
      </c>
      <c r="D363" s="7" t="s">
        <v>21</v>
      </c>
      <c r="E363" s="7" t="s">
        <v>1637</v>
      </c>
      <c r="F363" s="7" t="s">
        <v>1638</v>
      </c>
      <c r="G363" s="7" t="s">
        <v>2199</v>
      </c>
      <c r="H363" s="7">
        <v>3</v>
      </c>
      <c r="I363" s="7" t="s">
        <v>2201</v>
      </c>
      <c r="J363" s="7" t="s">
        <v>174</v>
      </c>
    </row>
    <row r="364" spans="1:10" x14ac:dyDescent="0.3">
      <c r="A364" s="6" t="s">
        <v>2254</v>
      </c>
      <c r="B364" s="7" t="s">
        <v>139</v>
      </c>
      <c r="C364" s="7" t="s">
        <v>2049</v>
      </c>
      <c r="D364" s="7" t="s">
        <v>21</v>
      </c>
      <c r="E364" s="7" t="s">
        <v>2255</v>
      </c>
      <c r="F364" s="7" t="s">
        <v>2256</v>
      </c>
      <c r="G364" s="7" t="s">
        <v>125</v>
      </c>
      <c r="H364" s="7">
        <v>36</v>
      </c>
      <c r="I364" s="7" t="s">
        <v>390</v>
      </c>
      <c r="J364" s="7" t="s">
        <v>262</v>
      </c>
    </row>
    <row r="365" spans="1:10" x14ac:dyDescent="0.3">
      <c r="A365" s="6" t="s">
        <v>2173</v>
      </c>
      <c r="B365" s="7" t="s">
        <v>139</v>
      </c>
      <c r="C365" s="7" t="s">
        <v>2049</v>
      </c>
      <c r="D365" s="7" t="s">
        <v>21</v>
      </c>
      <c r="E365" s="7" t="s">
        <v>70</v>
      </c>
      <c r="F365" s="7" t="s">
        <v>2163</v>
      </c>
      <c r="G365" s="7" t="s">
        <v>69</v>
      </c>
      <c r="H365" s="7">
        <v>91</v>
      </c>
      <c r="I365" s="7" t="s">
        <v>1682</v>
      </c>
      <c r="J365" s="7" t="s">
        <v>2175</v>
      </c>
    </row>
    <row r="366" spans="1:10" x14ac:dyDescent="0.3">
      <c r="A366" s="6" t="s">
        <v>2156</v>
      </c>
      <c r="B366" s="7" t="s">
        <v>139</v>
      </c>
      <c r="C366" s="7" t="s">
        <v>2049</v>
      </c>
      <c r="D366" s="7" t="s">
        <v>21</v>
      </c>
      <c r="E366" s="7" t="s">
        <v>2157</v>
      </c>
      <c r="F366" s="7" t="s">
        <v>2158</v>
      </c>
      <c r="G366" s="7" t="s">
        <v>2159</v>
      </c>
      <c r="H366" s="7">
        <v>11</v>
      </c>
      <c r="I366" s="7" t="s">
        <v>2161</v>
      </c>
      <c r="J366" s="7" t="s">
        <v>961</v>
      </c>
    </row>
    <row r="367" spans="1:10" x14ac:dyDescent="0.3">
      <c r="A367" s="6" t="s">
        <v>2151</v>
      </c>
      <c r="B367" s="7" t="s">
        <v>139</v>
      </c>
      <c r="C367" s="7" t="s">
        <v>2049</v>
      </c>
      <c r="D367" s="7" t="s">
        <v>21</v>
      </c>
      <c r="E367" s="7" t="s">
        <v>2152</v>
      </c>
      <c r="F367" s="7" t="s">
        <v>2153</v>
      </c>
      <c r="G367" s="7" t="s">
        <v>2154</v>
      </c>
      <c r="H367" s="7">
        <v>7</v>
      </c>
      <c r="I367" s="7" t="s">
        <v>607</v>
      </c>
      <c r="J367" s="7" t="s">
        <v>1097</v>
      </c>
    </row>
    <row r="368" spans="1:10" x14ac:dyDescent="0.3">
      <c r="A368" s="6" t="s">
        <v>2147</v>
      </c>
      <c r="B368" s="7" t="s">
        <v>139</v>
      </c>
      <c r="C368" s="7" t="s">
        <v>2049</v>
      </c>
      <c r="D368" s="7" t="s">
        <v>21</v>
      </c>
      <c r="E368" s="7" t="s">
        <v>2148</v>
      </c>
      <c r="F368" s="7" t="s">
        <v>366</v>
      </c>
      <c r="G368" s="7" t="s">
        <v>2149</v>
      </c>
      <c r="H368" s="7">
        <v>35</v>
      </c>
      <c r="I368" s="7" t="s">
        <v>1154</v>
      </c>
      <c r="J368" s="7"/>
    </row>
    <row r="369" spans="1:10" x14ac:dyDescent="0.3">
      <c r="A369" s="6" t="s">
        <v>2146</v>
      </c>
      <c r="B369" s="7" t="s">
        <v>139</v>
      </c>
      <c r="C369" s="7" t="s">
        <v>2049</v>
      </c>
      <c r="D369" s="7" t="s">
        <v>21</v>
      </c>
      <c r="E369" s="7" t="s">
        <v>66</v>
      </c>
      <c r="F369" s="7" t="s">
        <v>358</v>
      </c>
      <c r="G369" s="7" t="s">
        <v>65</v>
      </c>
      <c r="H369" s="7">
        <v>1</v>
      </c>
      <c r="I369" s="7" t="s">
        <v>67</v>
      </c>
      <c r="J369" s="7" t="s">
        <v>617</v>
      </c>
    </row>
    <row r="370" spans="1:10" x14ac:dyDescent="0.3">
      <c r="A370" s="6" t="s">
        <v>2258</v>
      </c>
      <c r="B370" s="7" t="s">
        <v>139</v>
      </c>
      <c r="C370" s="7" t="s">
        <v>2049</v>
      </c>
      <c r="D370" s="7" t="s">
        <v>21</v>
      </c>
      <c r="E370" s="7" t="s">
        <v>2259</v>
      </c>
      <c r="F370" s="7" t="s">
        <v>2260</v>
      </c>
      <c r="G370" s="7" t="s">
        <v>2261</v>
      </c>
      <c r="H370" s="7">
        <v>12</v>
      </c>
      <c r="I370" s="7" t="s">
        <v>2264</v>
      </c>
      <c r="J370" s="7" t="s">
        <v>2265</v>
      </c>
    </row>
    <row r="371" spans="1:10" x14ac:dyDescent="0.3">
      <c r="A371" s="6" t="s">
        <v>2145</v>
      </c>
      <c r="B371" s="7" t="s">
        <v>139</v>
      </c>
      <c r="C371" s="7" t="s">
        <v>2049</v>
      </c>
      <c r="D371" s="7" t="s">
        <v>21</v>
      </c>
      <c r="E371" s="7" t="s">
        <v>66</v>
      </c>
      <c r="F371" s="7" t="s">
        <v>358</v>
      </c>
      <c r="G371" s="7" t="s">
        <v>65</v>
      </c>
      <c r="H371" s="7">
        <v>2</v>
      </c>
      <c r="I371" s="7" t="s">
        <v>67</v>
      </c>
      <c r="J371" s="7" t="s">
        <v>617</v>
      </c>
    </row>
    <row r="372" spans="1:10" x14ac:dyDescent="0.3">
      <c r="A372" s="6" t="s">
        <v>2170</v>
      </c>
      <c r="B372" s="7" t="s">
        <v>139</v>
      </c>
      <c r="C372" s="7" t="s">
        <v>2049</v>
      </c>
      <c r="D372" s="7" t="s">
        <v>21</v>
      </c>
      <c r="E372" s="7" t="s">
        <v>70</v>
      </c>
      <c r="F372" s="7" t="s">
        <v>2163</v>
      </c>
      <c r="G372" s="7" t="s">
        <v>2171</v>
      </c>
      <c r="H372" s="7">
        <v>10</v>
      </c>
      <c r="I372" s="7" t="s">
        <v>94</v>
      </c>
      <c r="J372" s="7" t="s">
        <v>262</v>
      </c>
    </row>
    <row r="373" spans="1:10" x14ac:dyDescent="0.3">
      <c r="A373" s="6" t="s">
        <v>2243</v>
      </c>
      <c r="B373" s="7" t="s">
        <v>139</v>
      </c>
      <c r="C373" s="7" t="s">
        <v>2049</v>
      </c>
      <c r="D373" s="7" t="s">
        <v>21</v>
      </c>
      <c r="E373" s="7" t="s">
        <v>2244</v>
      </c>
      <c r="F373" s="7"/>
      <c r="G373" s="7" t="s">
        <v>2245</v>
      </c>
      <c r="H373" s="7">
        <v>5</v>
      </c>
      <c r="I373" s="7" t="s">
        <v>518</v>
      </c>
      <c r="J373" s="7" t="s">
        <v>617</v>
      </c>
    </row>
    <row r="374" spans="1:10" x14ac:dyDescent="0.3">
      <c r="A374" s="6" t="s">
        <v>2194</v>
      </c>
      <c r="B374" s="7" t="s">
        <v>139</v>
      </c>
      <c r="C374" s="7" t="s">
        <v>2049</v>
      </c>
      <c r="D374" s="7" t="s">
        <v>21</v>
      </c>
      <c r="E374" s="7" t="s">
        <v>2190</v>
      </c>
      <c r="F374" s="7" t="s">
        <v>2191</v>
      </c>
      <c r="G374" s="7" t="s">
        <v>2195</v>
      </c>
      <c r="H374" s="7">
        <v>1</v>
      </c>
      <c r="I374" s="7" t="s">
        <v>349</v>
      </c>
      <c r="J374" s="7" t="s">
        <v>406</v>
      </c>
    </row>
    <row r="375" spans="1:10" x14ac:dyDescent="0.3">
      <c r="A375" s="6" t="s">
        <v>2144</v>
      </c>
      <c r="B375" s="7" t="s">
        <v>139</v>
      </c>
      <c r="C375" s="7" t="s">
        <v>2049</v>
      </c>
      <c r="D375" s="7" t="s">
        <v>21</v>
      </c>
      <c r="E375" s="7" t="s">
        <v>66</v>
      </c>
      <c r="F375" s="7" t="s">
        <v>358</v>
      </c>
      <c r="G375" s="7" t="s">
        <v>65</v>
      </c>
      <c r="H375" s="7">
        <v>4</v>
      </c>
      <c r="I375" s="7" t="s">
        <v>67</v>
      </c>
      <c r="J375" s="7" t="s">
        <v>617</v>
      </c>
    </row>
    <row r="376" spans="1:10" x14ac:dyDescent="0.3">
      <c r="A376" s="6" t="s">
        <v>2240</v>
      </c>
      <c r="B376" s="7" t="s">
        <v>139</v>
      </c>
      <c r="C376" s="7" t="s">
        <v>2049</v>
      </c>
      <c r="D376" s="7" t="s">
        <v>21</v>
      </c>
      <c r="E376" s="7" t="s">
        <v>90</v>
      </c>
      <c r="F376" s="7" t="s">
        <v>1989</v>
      </c>
      <c r="G376" s="7" t="s">
        <v>93</v>
      </c>
      <c r="H376" s="7">
        <v>139</v>
      </c>
      <c r="I376" s="7" t="s">
        <v>94</v>
      </c>
      <c r="J376" s="7" t="s">
        <v>961</v>
      </c>
    </row>
    <row r="377" spans="1:10" x14ac:dyDescent="0.3">
      <c r="A377" s="6" t="s">
        <v>2238</v>
      </c>
      <c r="B377" s="7" t="s">
        <v>139</v>
      </c>
      <c r="C377" s="7" t="s">
        <v>2049</v>
      </c>
      <c r="D377" s="7" t="s">
        <v>21</v>
      </c>
      <c r="E377" s="7" t="s">
        <v>90</v>
      </c>
      <c r="F377" s="7" t="s">
        <v>2239</v>
      </c>
      <c r="G377" s="7" t="s">
        <v>89</v>
      </c>
      <c r="H377" s="7">
        <v>3</v>
      </c>
      <c r="I377" s="7" t="s">
        <v>91</v>
      </c>
      <c r="J377" s="7" t="s">
        <v>144</v>
      </c>
    </row>
    <row r="378" spans="1:10" x14ac:dyDescent="0.3">
      <c r="A378" s="6" t="s">
        <v>2235</v>
      </c>
      <c r="B378" s="7" t="s">
        <v>139</v>
      </c>
      <c r="C378" s="7" t="s">
        <v>2049</v>
      </c>
      <c r="D378" s="7" t="s">
        <v>21</v>
      </c>
      <c r="E378" s="7" t="s">
        <v>90</v>
      </c>
      <c r="F378" s="7" t="s">
        <v>1989</v>
      </c>
      <c r="G378" s="7" t="s">
        <v>89</v>
      </c>
      <c r="H378" s="7">
        <v>59</v>
      </c>
      <c r="I378" s="7" t="s">
        <v>91</v>
      </c>
      <c r="J378" s="7" t="s">
        <v>144</v>
      </c>
    </row>
    <row r="379" spans="1:10" x14ac:dyDescent="0.3">
      <c r="A379" s="6" t="s">
        <v>2222</v>
      </c>
      <c r="B379" s="7" t="s">
        <v>139</v>
      </c>
      <c r="C379" s="7" t="s">
        <v>2049</v>
      </c>
      <c r="D379" s="7" t="s">
        <v>21</v>
      </c>
      <c r="E379" s="7" t="s">
        <v>2223</v>
      </c>
      <c r="F379" s="7" t="s">
        <v>2224</v>
      </c>
      <c r="G379" s="7" t="s">
        <v>2225</v>
      </c>
      <c r="H379" s="7">
        <v>11</v>
      </c>
      <c r="I379" s="7" t="s">
        <v>2227</v>
      </c>
      <c r="J379" s="7" t="s">
        <v>1436</v>
      </c>
    </row>
    <row r="380" spans="1:10" x14ac:dyDescent="0.3">
      <c r="A380" s="6" t="s">
        <v>2228</v>
      </c>
      <c r="B380" s="7" t="s">
        <v>139</v>
      </c>
      <c r="C380" s="7" t="s">
        <v>2049</v>
      </c>
      <c r="D380" s="7" t="s">
        <v>21</v>
      </c>
      <c r="E380" s="7" t="s">
        <v>2229</v>
      </c>
      <c r="F380" s="7" t="s">
        <v>2224</v>
      </c>
      <c r="G380" s="7" t="s">
        <v>2230</v>
      </c>
      <c r="H380" s="7">
        <v>18</v>
      </c>
      <c r="I380" s="7" t="s">
        <v>1018</v>
      </c>
      <c r="J380" s="7" t="s">
        <v>422</v>
      </c>
    </row>
    <row r="381" spans="1:10" x14ac:dyDescent="0.3">
      <c r="A381" s="6" t="s">
        <v>2214</v>
      </c>
      <c r="B381" s="7" t="s">
        <v>139</v>
      </c>
      <c r="C381" s="7" t="s">
        <v>2049</v>
      </c>
      <c r="D381" s="7" t="s">
        <v>21</v>
      </c>
      <c r="E381" s="7" t="s">
        <v>2215</v>
      </c>
      <c r="F381" s="7" t="s">
        <v>2216</v>
      </c>
      <c r="G381" s="7" t="s">
        <v>2217</v>
      </c>
      <c r="H381" s="7">
        <v>18</v>
      </c>
      <c r="I381" s="7" t="s">
        <v>498</v>
      </c>
      <c r="J381" s="7" t="s">
        <v>144</v>
      </c>
    </row>
    <row r="382" spans="1:10" x14ac:dyDescent="0.3">
      <c r="A382" s="6" t="s">
        <v>2219</v>
      </c>
      <c r="B382" s="7" t="s">
        <v>139</v>
      </c>
      <c r="C382" s="7" t="s">
        <v>2049</v>
      </c>
      <c r="D382" s="7" t="s">
        <v>21</v>
      </c>
      <c r="E382" s="7" t="s">
        <v>2215</v>
      </c>
      <c r="F382" s="7" t="s">
        <v>2216</v>
      </c>
      <c r="G382" s="7" t="s">
        <v>125</v>
      </c>
      <c r="H382" s="7">
        <v>3</v>
      </c>
      <c r="I382" s="7" t="s">
        <v>647</v>
      </c>
      <c r="J382" s="7" t="s">
        <v>174</v>
      </c>
    </row>
    <row r="383" spans="1:10" x14ac:dyDescent="0.3">
      <c r="A383" s="6" t="s">
        <v>2212</v>
      </c>
      <c r="B383" s="7" t="s">
        <v>139</v>
      </c>
      <c r="C383" s="7" t="s">
        <v>2049</v>
      </c>
      <c r="D383" s="7" t="s">
        <v>21</v>
      </c>
      <c r="E383" s="7" t="s">
        <v>62</v>
      </c>
      <c r="F383" s="7" t="s">
        <v>2213</v>
      </c>
      <c r="G383" s="7" t="s">
        <v>61</v>
      </c>
      <c r="H383" s="7">
        <v>13</v>
      </c>
      <c r="I383" s="7" t="s">
        <v>63</v>
      </c>
      <c r="J383" s="7" t="s">
        <v>2205</v>
      </c>
    </row>
    <row r="384" spans="1:10" x14ac:dyDescent="0.3">
      <c r="A384" s="6" t="s">
        <v>2210</v>
      </c>
      <c r="B384" s="7" t="s">
        <v>139</v>
      </c>
      <c r="C384" s="7" t="s">
        <v>2049</v>
      </c>
      <c r="D384" s="7" t="s">
        <v>21</v>
      </c>
      <c r="E384" s="7" t="s">
        <v>62</v>
      </c>
      <c r="F384" s="7" t="s">
        <v>2211</v>
      </c>
      <c r="G384" s="7" t="s">
        <v>61</v>
      </c>
      <c r="H384" s="7">
        <v>4</v>
      </c>
      <c r="I384" s="7" t="s">
        <v>63</v>
      </c>
      <c r="J384" s="7" t="s">
        <v>2205</v>
      </c>
    </row>
    <row r="385" spans="1:10" x14ac:dyDescent="0.3">
      <c r="A385" s="6" t="s">
        <v>2209</v>
      </c>
      <c r="B385" s="7" t="s">
        <v>139</v>
      </c>
      <c r="C385" s="7" t="s">
        <v>2049</v>
      </c>
      <c r="D385" s="7" t="s">
        <v>21</v>
      </c>
      <c r="E385" s="7" t="s">
        <v>62</v>
      </c>
      <c r="F385" s="7"/>
      <c r="G385" s="7" t="s">
        <v>61</v>
      </c>
      <c r="H385" s="7">
        <v>2</v>
      </c>
      <c r="I385" s="7" t="s">
        <v>63</v>
      </c>
      <c r="J385" s="7" t="s">
        <v>2205</v>
      </c>
    </row>
    <row r="386" spans="1:10" x14ac:dyDescent="0.3">
      <c r="A386" s="6" t="s">
        <v>2208</v>
      </c>
      <c r="B386" s="7" t="s">
        <v>139</v>
      </c>
      <c r="C386" s="7" t="s">
        <v>2049</v>
      </c>
      <c r="D386" s="7" t="s">
        <v>21</v>
      </c>
      <c r="E386" s="7" t="s">
        <v>62</v>
      </c>
      <c r="F386" s="7" t="s">
        <v>965</v>
      </c>
      <c r="G386" s="7" t="s">
        <v>61</v>
      </c>
      <c r="H386" s="7">
        <v>2</v>
      </c>
      <c r="I386" s="7" t="s">
        <v>63</v>
      </c>
      <c r="J386" s="7" t="s">
        <v>2205</v>
      </c>
    </row>
    <row r="387" spans="1:10" x14ac:dyDescent="0.3">
      <c r="A387" s="6" t="s">
        <v>2207</v>
      </c>
      <c r="B387" s="7" t="s">
        <v>139</v>
      </c>
      <c r="C387" s="7" t="s">
        <v>2049</v>
      </c>
      <c r="D387" s="7" t="s">
        <v>21</v>
      </c>
      <c r="E387" s="7" t="s">
        <v>62</v>
      </c>
      <c r="F387" s="7"/>
      <c r="G387" s="7" t="s">
        <v>61</v>
      </c>
      <c r="H387" s="7">
        <v>10</v>
      </c>
      <c r="I387" s="7" t="s">
        <v>63</v>
      </c>
      <c r="J387" s="7" t="s">
        <v>2205</v>
      </c>
    </row>
    <row r="388" spans="1:10" x14ac:dyDescent="0.3">
      <c r="A388" s="6" t="s">
        <v>2206</v>
      </c>
      <c r="B388" s="7" t="s">
        <v>139</v>
      </c>
      <c r="C388" s="7" t="s">
        <v>2049</v>
      </c>
      <c r="D388" s="7" t="s">
        <v>21</v>
      </c>
      <c r="E388" s="7" t="s">
        <v>62</v>
      </c>
      <c r="F388" s="7" t="s">
        <v>2177</v>
      </c>
      <c r="G388" s="7" t="s">
        <v>61</v>
      </c>
      <c r="H388" s="7">
        <v>8</v>
      </c>
      <c r="I388" s="7" t="s">
        <v>63</v>
      </c>
      <c r="J388" s="7" t="s">
        <v>2205</v>
      </c>
    </row>
    <row r="389" spans="1:10" x14ac:dyDescent="0.3">
      <c r="A389" s="6" t="s">
        <v>2202</v>
      </c>
      <c r="B389" s="7" t="s">
        <v>139</v>
      </c>
      <c r="C389" s="7" t="s">
        <v>2049</v>
      </c>
      <c r="D389" s="7" t="s">
        <v>21</v>
      </c>
      <c r="E389" s="7" t="s">
        <v>62</v>
      </c>
      <c r="F389" s="7" t="s">
        <v>1983</v>
      </c>
      <c r="G389" s="7" t="s">
        <v>61</v>
      </c>
      <c r="H389" s="7">
        <v>291</v>
      </c>
      <c r="I389" s="7" t="s">
        <v>63</v>
      </c>
      <c r="J389" s="7" t="s">
        <v>2205</v>
      </c>
    </row>
    <row r="390" spans="1:10" x14ac:dyDescent="0.3">
      <c r="A390" s="6" t="s">
        <v>2183</v>
      </c>
      <c r="B390" s="7" t="s">
        <v>139</v>
      </c>
      <c r="C390" s="7" t="s">
        <v>2049</v>
      </c>
      <c r="D390" s="7" t="s">
        <v>21</v>
      </c>
      <c r="E390" s="7" t="s">
        <v>2184</v>
      </c>
      <c r="F390" s="7" t="s">
        <v>2185</v>
      </c>
      <c r="G390" s="7" t="s">
        <v>2186</v>
      </c>
      <c r="H390" s="7">
        <v>1</v>
      </c>
      <c r="I390" s="7"/>
      <c r="J390" s="7"/>
    </row>
    <row r="391" spans="1:10" x14ac:dyDescent="0.3">
      <c r="A391" s="6" t="s">
        <v>2189</v>
      </c>
      <c r="B391" s="7" t="s">
        <v>139</v>
      </c>
      <c r="C391" s="7" t="s">
        <v>2049</v>
      </c>
      <c r="D391" s="7" t="s">
        <v>21</v>
      </c>
      <c r="E391" s="7" t="s">
        <v>2190</v>
      </c>
      <c r="F391" s="7" t="s">
        <v>2191</v>
      </c>
      <c r="G391" s="7" t="s">
        <v>2192</v>
      </c>
      <c r="H391" s="7">
        <v>1</v>
      </c>
      <c r="I391" s="7" t="s">
        <v>363</v>
      </c>
      <c r="J391" s="7" t="s">
        <v>174</v>
      </c>
    </row>
    <row r="392" spans="1:10" x14ac:dyDescent="0.3">
      <c r="A392" s="6" t="s">
        <v>2131</v>
      </c>
      <c r="B392" s="7" t="s">
        <v>139</v>
      </c>
      <c r="C392" s="7" t="s">
        <v>2049</v>
      </c>
      <c r="D392" s="7" t="s">
        <v>21</v>
      </c>
      <c r="E392" s="7" t="s">
        <v>66</v>
      </c>
      <c r="F392" s="7" t="s">
        <v>358</v>
      </c>
      <c r="G392" s="7" t="s">
        <v>2132</v>
      </c>
      <c r="H392" s="7">
        <v>70</v>
      </c>
      <c r="I392" s="7" t="s">
        <v>67</v>
      </c>
      <c r="J392" s="7" t="s">
        <v>617</v>
      </c>
    </row>
    <row r="393" spans="1:10" x14ac:dyDescent="0.3">
      <c r="A393" s="6" t="s">
        <v>2135</v>
      </c>
      <c r="B393" s="7" t="s">
        <v>139</v>
      </c>
      <c r="C393" s="7" t="s">
        <v>2049</v>
      </c>
      <c r="D393" s="7" t="s">
        <v>21</v>
      </c>
      <c r="E393" s="7" t="s">
        <v>66</v>
      </c>
      <c r="F393" s="7" t="s">
        <v>358</v>
      </c>
      <c r="G393" s="7" t="s">
        <v>2136</v>
      </c>
      <c r="H393" s="7">
        <v>27</v>
      </c>
      <c r="I393" s="7" t="s">
        <v>2138</v>
      </c>
      <c r="J393" s="7" t="s">
        <v>2139</v>
      </c>
    </row>
    <row r="394" spans="1:10" x14ac:dyDescent="0.3">
      <c r="A394" s="6" t="s">
        <v>2140</v>
      </c>
      <c r="B394" s="7" t="s">
        <v>139</v>
      </c>
      <c r="C394" s="7" t="s">
        <v>2049</v>
      </c>
      <c r="D394" s="7" t="s">
        <v>21</v>
      </c>
      <c r="E394" s="7" t="s">
        <v>66</v>
      </c>
      <c r="F394" s="7" t="s">
        <v>358</v>
      </c>
      <c r="G394" s="7" t="s">
        <v>2141</v>
      </c>
      <c r="H394" s="7">
        <v>11</v>
      </c>
      <c r="I394" s="7" t="s">
        <v>315</v>
      </c>
      <c r="J394" s="7" t="s">
        <v>1097</v>
      </c>
    </row>
    <row r="395" spans="1:10" x14ac:dyDescent="0.3">
      <c r="A395" s="6" t="s">
        <v>2266</v>
      </c>
      <c r="B395" s="7" t="s">
        <v>139</v>
      </c>
      <c r="C395" s="7" t="s">
        <v>2049</v>
      </c>
      <c r="D395" s="7" t="s">
        <v>21</v>
      </c>
      <c r="E395" s="7" t="s">
        <v>2267</v>
      </c>
      <c r="F395" s="7" t="s">
        <v>2268</v>
      </c>
      <c r="G395" s="7" t="s">
        <v>2269</v>
      </c>
      <c r="H395" s="7">
        <v>56</v>
      </c>
      <c r="I395" s="7" t="s">
        <v>2271</v>
      </c>
      <c r="J395" s="7" t="s">
        <v>1100</v>
      </c>
    </row>
    <row r="396" spans="1:10" x14ac:dyDescent="0.3">
      <c r="A396" s="6" t="s">
        <v>2048</v>
      </c>
      <c r="B396" s="7" t="s">
        <v>139</v>
      </c>
      <c r="C396" s="7" t="s">
        <v>2049</v>
      </c>
      <c r="D396" s="7" t="s">
        <v>21</v>
      </c>
      <c r="E396" s="7" t="s">
        <v>2050</v>
      </c>
      <c r="F396" s="7" t="s">
        <v>2051</v>
      </c>
      <c r="G396" s="7" t="s">
        <v>2052</v>
      </c>
      <c r="H396" s="7">
        <v>7</v>
      </c>
      <c r="I396" s="7" t="s">
        <v>384</v>
      </c>
      <c r="J396" s="7" t="s">
        <v>422</v>
      </c>
    </row>
    <row r="397" spans="1:10" x14ac:dyDescent="0.3">
      <c r="A397" s="6" t="s">
        <v>2056</v>
      </c>
      <c r="B397" s="7" t="s">
        <v>139</v>
      </c>
      <c r="C397" s="7" t="s">
        <v>2049</v>
      </c>
      <c r="D397" s="7" t="s">
        <v>21</v>
      </c>
      <c r="E397" s="7" t="s">
        <v>2057</v>
      </c>
      <c r="F397" s="7" t="s">
        <v>2058</v>
      </c>
      <c r="G397" s="7" t="s">
        <v>2059</v>
      </c>
      <c r="H397" s="7">
        <v>28</v>
      </c>
      <c r="I397" s="7" t="s">
        <v>994</v>
      </c>
      <c r="J397" s="7" t="s">
        <v>355</v>
      </c>
    </row>
    <row r="398" spans="1:10" x14ac:dyDescent="0.3">
      <c r="A398" s="6" t="s">
        <v>2062</v>
      </c>
      <c r="B398" s="7" t="s">
        <v>139</v>
      </c>
      <c r="C398" s="7" t="s">
        <v>2049</v>
      </c>
      <c r="D398" s="7" t="s">
        <v>21</v>
      </c>
      <c r="E398" s="7" t="s">
        <v>2063</v>
      </c>
      <c r="F398" s="7" t="s">
        <v>2064</v>
      </c>
      <c r="G398" s="7" t="s">
        <v>2065</v>
      </c>
      <c r="H398" s="7">
        <v>4</v>
      </c>
      <c r="I398" s="7"/>
      <c r="J398" s="7" t="s">
        <v>174</v>
      </c>
    </row>
    <row r="399" spans="1:10" x14ac:dyDescent="0.3">
      <c r="A399" s="6" t="s">
        <v>2067</v>
      </c>
      <c r="B399" s="7" t="s">
        <v>139</v>
      </c>
      <c r="C399" s="7" t="s">
        <v>2049</v>
      </c>
      <c r="D399" s="7" t="s">
        <v>21</v>
      </c>
      <c r="E399" s="7" t="s">
        <v>2068</v>
      </c>
      <c r="F399" s="7" t="s">
        <v>242</v>
      </c>
      <c r="G399" s="7" t="s">
        <v>2069</v>
      </c>
      <c r="H399" s="7">
        <v>10</v>
      </c>
      <c r="I399" s="7" t="s">
        <v>2071</v>
      </c>
      <c r="J399" s="7" t="s">
        <v>2072</v>
      </c>
    </row>
    <row r="400" spans="1:10" x14ac:dyDescent="0.3">
      <c r="A400" s="6" t="s">
        <v>2073</v>
      </c>
      <c r="B400" s="7" t="s">
        <v>139</v>
      </c>
      <c r="C400" s="7" t="s">
        <v>2049</v>
      </c>
      <c r="D400" s="7" t="s">
        <v>21</v>
      </c>
      <c r="E400" s="7" t="s">
        <v>2074</v>
      </c>
      <c r="F400" s="7" t="s">
        <v>809</v>
      </c>
      <c r="G400" s="7" t="s">
        <v>2075</v>
      </c>
      <c r="H400" s="7">
        <v>30</v>
      </c>
      <c r="I400" s="7" t="s">
        <v>626</v>
      </c>
      <c r="J400" s="7" t="s">
        <v>1097</v>
      </c>
    </row>
    <row r="401" spans="1:10" x14ac:dyDescent="0.3">
      <c r="A401" s="6" t="s">
        <v>2232</v>
      </c>
      <c r="B401" s="7" t="s">
        <v>139</v>
      </c>
      <c r="C401" s="7" t="s">
        <v>2049</v>
      </c>
      <c r="D401" s="7" t="s">
        <v>21</v>
      </c>
      <c r="E401" s="7" t="s">
        <v>90</v>
      </c>
      <c r="F401" s="7" t="s">
        <v>1989</v>
      </c>
      <c r="G401" s="7" t="s">
        <v>2233</v>
      </c>
      <c r="H401" s="7">
        <v>66</v>
      </c>
      <c r="I401" s="7" t="s">
        <v>415</v>
      </c>
      <c r="J401" s="7"/>
    </row>
    <row r="402" spans="1:10" x14ac:dyDescent="0.3">
      <c r="A402" s="6" t="s">
        <v>2078</v>
      </c>
      <c r="B402" s="7" t="s">
        <v>139</v>
      </c>
      <c r="C402" s="7" t="s">
        <v>2049</v>
      </c>
      <c r="D402" s="7" t="s">
        <v>21</v>
      </c>
      <c r="E402" s="7" t="s">
        <v>2079</v>
      </c>
      <c r="F402" s="7" t="s">
        <v>1915</v>
      </c>
      <c r="G402" s="7" t="s">
        <v>2080</v>
      </c>
      <c r="H402" s="7">
        <v>14</v>
      </c>
      <c r="I402" s="7" t="s">
        <v>345</v>
      </c>
      <c r="J402" s="7" t="s">
        <v>962</v>
      </c>
    </row>
    <row r="403" spans="1:10" x14ac:dyDescent="0.3">
      <c r="A403" s="6" t="s">
        <v>2087</v>
      </c>
      <c r="B403" s="7" t="s">
        <v>139</v>
      </c>
      <c r="C403" s="7" t="s">
        <v>2049</v>
      </c>
      <c r="D403" s="7" t="s">
        <v>21</v>
      </c>
      <c r="E403" s="7" t="s">
        <v>2088</v>
      </c>
      <c r="F403" s="7"/>
      <c r="G403" s="7" t="s">
        <v>2089</v>
      </c>
      <c r="H403" s="7">
        <v>11</v>
      </c>
      <c r="I403" s="7" t="s">
        <v>2092</v>
      </c>
      <c r="J403" s="7" t="s">
        <v>1708</v>
      </c>
    </row>
    <row r="404" spans="1:10" x14ac:dyDescent="0.3">
      <c r="A404" s="6" t="s">
        <v>2093</v>
      </c>
      <c r="B404" s="7" t="s">
        <v>139</v>
      </c>
      <c r="C404" s="7" t="s">
        <v>2049</v>
      </c>
      <c r="D404" s="7" t="s">
        <v>21</v>
      </c>
      <c r="E404" s="7" t="s">
        <v>2094</v>
      </c>
      <c r="F404" s="7" t="s">
        <v>2095</v>
      </c>
      <c r="G404" s="7" t="s">
        <v>2096</v>
      </c>
      <c r="H404" s="7">
        <v>4</v>
      </c>
      <c r="I404" s="7" t="s">
        <v>2098</v>
      </c>
      <c r="J404" s="7" t="s">
        <v>771</v>
      </c>
    </row>
    <row r="405" spans="1:10" x14ac:dyDescent="0.3">
      <c r="A405" s="6" t="s">
        <v>2099</v>
      </c>
      <c r="B405" s="7" t="s">
        <v>139</v>
      </c>
      <c r="C405" s="7" t="s">
        <v>2049</v>
      </c>
      <c r="D405" s="7" t="s">
        <v>21</v>
      </c>
      <c r="E405" s="7" t="s">
        <v>2100</v>
      </c>
      <c r="F405" s="7" t="s">
        <v>2101</v>
      </c>
      <c r="G405" s="7" t="s">
        <v>2102</v>
      </c>
      <c r="H405" s="7">
        <v>20</v>
      </c>
      <c r="I405" s="7" t="s">
        <v>678</v>
      </c>
      <c r="J405" s="7" t="s">
        <v>519</v>
      </c>
    </row>
    <row r="406" spans="1:10" x14ac:dyDescent="0.3">
      <c r="A406" s="6" t="s">
        <v>2083</v>
      </c>
      <c r="B406" s="7" t="s">
        <v>139</v>
      </c>
      <c r="C406" s="7" t="s">
        <v>2049</v>
      </c>
      <c r="D406" s="7" t="s">
        <v>21</v>
      </c>
      <c r="E406" s="7" t="s">
        <v>2079</v>
      </c>
      <c r="F406" s="7" t="s">
        <v>1915</v>
      </c>
      <c r="G406" s="7" t="s">
        <v>2084</v>
      </c>
      <c r="H406" s="7">
        <v>26</v>
      </c>
      <c r="I406" s="7" t="s">
        <v>607</v>
      </c>
      <c r="J406" s="7" t="s">
        <v>1757</v>
      </c>
    </row>
    <row r="407" spans="1:10" x14ac:dyDescent="0.3">
      <c r="A407" s="6" t="s">
        <v>2109</v>
      </c>
      <c r="B407" s="7" t="s">
        <v>139</v>
      </c>
      <c r="C407" s="7" t="s">
        <v>2049</v>
      </c>
      <c r="D407" s="7" t="s">
        <v>21</v>
      </c>
      <c r="E407" s="7" t="s">
        <v>2105</v>
      </c>
      <c r="F407" s="7" t="s">
        <v>1215</v>
      </c>
      <c r="G407" s="7" t="s">
        <v>2110</v>
      </c>
      <c r="H407" s="7">
        <v>1</v>
      </c>
      <c r="I407" s="7" t="s">
        <v>2112</v>
      </c>
      <c r="J407" s="7" t="s">
        <v>1708</v>
      </c>
    </row>
    <row r="408" spans="1:10" x14ac:dyDescent="0.3">
      <c r="A408" s="6" t="s">
        <v>2104</v>
      </c>
      <c r="B408" s="7" t="s">
        <v>139</v>
      </c>
      <c r="C408" s="7" t="s">
        <v>2049</v>
      </c>
      <c r="D408" s="7" t="s">
        <v>21</v>
      </c>
      <c r="E408" s="7" t="s">
        <v>2105</v>
      </c>
      <c r="F408" s="7" t="s">
        <v>1215</v>
      </c>
      <c r="G408" s="7" t="s">
        <v>2106</v>
      </c>
      <c r="H408" s="7">
        <v>13</v>
      </c>
      <c r="I408" s="7" t="s">
        <v>462</v>
      </c>
      <c r="J408" s="7" t="s">
        <v>1100</v>
      </c>
    </row>
    <row r="409" spans="1:10" x14ac:dyDescent="0.3">
      <c r="A409" s="6" t="s">
        <v>2129</v>
      </c>
      <c r="B409" s="7" t="s">
        <v>139</v>
      </c>
      <c r="C409" s="7" t="s">
        <v>2049</v>
      </c>
      <c r="D409" s="7" t="s">
        <v>21</v>
      </c>
      <c r="E409" s="7" t="s">
        <v>57</v>
      </c>
      <c r="F409" s="7" t="s">
        <v>2130</v>
      </c>
      <c r="G409" s="7" t="s">
        <v>56</v>
      </c>
      <c r="H409" s="7">
        <v>3</v>
      </c>
      <c r="I409" s="7" t="s">
        <v>58</v>
      </c>
      <c r="J409" s="7" t="s">
        <v>2116</v>
      </c>
    </row>
    <row r="410" spans="1:10" x14ac:dyDescent="0.3">
      <c r="A410" s="6" t="s">
        <v>2128</v>
      </c>
      <c r="B410" s="7" t="s">
        <v>139</v>
      </c>
      <c r="C410" s="7" t="s">
        <v>2049</v>
      </c>
      <c r="D410" s="7" t="s">
        <v>21</v>
      </c>
      <c r="E410" s="7" t="s">
        <v>57</v>
      </c>
      <c r="F410" s="7"/>
      <c r="G410" s="7" t="s">
        <v>56</v>
      </c>
      <c r="H410" s="7">
        <v>2</v>
      </c>
      <c r="I410" s="7" t="s">
        <v>58</v>
      </c>
      <c r="J410" s="7" t="s">
        <v>2116</v>
      </c>
    </row>
    <row r="411" spans="1:10" x14ac:dyDescent="0.3">
      <c r="A411" s="6" t="s">
        <v>2127</v>
      </c>
      <c r="B411" s="7" t="s">
        <v>139</v>
      </c>
      <c r="C411" s="7" t="s">
        <v>2049</v>
      </c>
      <c r="D411" s="7" t="s">
        <v>21</v>
      </c>
      <c r="E411" s="7" t="s">
        <v>57</v>
      </c>
      <c r="F411" s="7"/>
      <c r="G411" s="7" t="s">
        <v>56</v>
      </c>
      <c r="H411" s="7">
        <v>7</v>
      </c>
      <c r="I411" s="7" t="s">
        <v>58</v>
      </c>
      <c r="J411" s="7" t="s">
        <v>2116</v>
      </c>
    </row>
    <row r="412" spans="1:10" x14ac:dyDescent="0.3">
      <c r="A412" s="6" t="s">
        <v>2126</v>
      </c>
      <c r="B412" s="7" t="s">
        <v>139</v>
      </c>
      <c r="C412" s="7" t="s">
        <v>2049</v>
      </c>
      <c r="D412" s="7" t="s">
        <v>21</v>
      </c>
      <c r="E412" s="7" t="s">
        <v>57</v>
      </c>
      <c r="F412" s="7"/>
      <c r="G412" s="7" t="s">
        <v>56</v>
      </c>
      <c r="H412" s="7">
        <v>7</v>
      </c>
      <c r="I412" s="7" t="s">
        <v>58</v>
      </c>
      <c r="J412" s="7" t="s">
        <v>2116</v>
      </c>
    </row>
    <row r="413" spans="1:10" x14ac:dyDescent="0.3">
      <c r="A413" s="6" t="s">
        <v>2242</v>
      </c>
      <c r="B413" s="7" t="s">
        <v>139</v>
      </c>
      <c r="C413" s="7" t="s">
        <v>2049</v>
      </c>
      <c r="D413" s="7" t="s">
        <v>21</v>
      </c>
      <c r="E413" s="7" t="s">
        <v>90</v>
      </c>
      <c r="F413" s="7"/>
      <c r="G413" s="7" t="s">
        <v>93</v>
      </c>
      <c r="H413" s="7">
        <v>11</v>
      </c>
      <c r="I413" s="7" t="s">
        <v>94</v>
      </c>
      <c r="J413" s="7" t="s">
        <v>961</v>
      </c>
    </row>
    <row r="414" spans="1:10" x14ac:dyDescent="0.3">
      <c r="A414" s="6" t="s">
        <v>2125</v>
      </c>
      <c r="B414" s="7" t="s">
        <v>139</v>
      </c>
      <c r="C414" s="7" t="s">
        <v>2049</v>
      </c>
      <c r="D414" s="7" t="s">
        <v>21</v>
      </c>
      <c r="E414" s="7" t="s">
        <v>57</v>
      </c>
      <c r="F414" s="7"/>
      <c r="G414" s="7" t="s">
        <v>56</v>
      </c>
      <c r="H414" s="7">
        <v>4</v>
      </c>
      <c r="I414" s="7" t="s">
        <v>58</v>
      </c>
      <c r="J414" s="7" t="s">
        <v>2116</v>
      </c>
    </row>
    <row r="415" spans="1:10" x14ac:dyDescent="0.3">
      <c r="A415" s="6" t="s">
        <v>2124</v>
      </c>
      <c r="B415" s="7" t="s">
        <v>139</v>
      </c>
      <c r="C415" s="7" t="s">
        <v>2049</v>
      </c>
      <c r="D415" s="7" t="s">
        <v>21</v>
      </c>
      <c r="E415" s="7" t="s">
        <v>57</v>
      </c>
      <c r="F415" s="7"/>
      <c r="G415" s="7" t="s">
        <v>56</v>
      </c>
      <c r="H415" s="7">
        <v>2</v>
      </c>
      <c r="I415" s="7" t="s">
        <v>58</v>
      </c>
      <c r="J415" s="7" t="s">
        <v>2116</v>
      </c>
    </row>
    <row r="416" spans="1:10" x14ac:dyDescent="0.3">
      <c r="A416" s="6" t="s">
        <v>2123</v>
      </c>
      <c r="B416" s="7" t="s">
        <v>139</v>
      </c>
      <c r="C416" s="7" t="s">
        <v>2049</v>
      </c>
      <c r="D416" s="7" t="s">
        <v>21</v>
      </c>
      <c r="E416" s="7" t="s">
        <v>57</v>
      </c>
      <c r="F416" s="7"/>
      <c r="G416" s="7" t="s">
        <v>56</v>
      </c>
      <c r="H416" s="7">
        <v>5</v>
      </c>
      <c r="I416" s="7" t="s">
        <v>58</v>
      </c>
      <c r="J416" s="7" t="s">
        <v>2116</v>
      </c>
    </row>
    <row r="417" spans="1:10" x14ac:dyDescent="0.3">
      <c r="A417" s="6" t="s">
        <v>2121</v>
      </c>
      <c r="B417" s="7" t="s">
        <v>139</v>
      </c>
      <c r="C417" s="7" t="s">
        <v>2049</v>
      </c>
      <c r="D417" s="7" t="s">
        <v>21</v>
      </c>
      <c r="E417" s="7" t="s">
        <v>57</v>
      </c>
      <c r="F417" s="7" t="s">
        <v>2118</v>
      </c>
      <c r="G417" s="7" t="s">
        <v>56</v>
      </c>
      <c r="H417" s="7">
        <v>156</v>
      </c>
      <c r="I417" s="7" t="s">
        <v>58</v>
      </c>
      <c r="J417" s="7" t="s">
        <v>2116</v>
      </c>
    </row>
    <row r="418" spans="1:10" x14ac:dyDescent="0.3">
      <c r="A418" s="6" t="s">
        <v>2117</v>
      </c>
      <c r="B418" s="7" t="s">
        <v>139</v>
      </c>
      <c r="C418" s="7" t="s">
        <v>2049</v>
      </c>
      <c r="D418" s="7" t="s">
        <v>21</v>
      </c>
      <c r="E418" s="7" t="s">
        <v>57</v>
      </c>
      <c r="F418" s="7" t="s">
        <v>2118</v>
      </c>
      <c r="G418" s="7" t="s">
        <v>2119</v>
      </c>
      <c r="H418" s="7">
        <v>124</v>
      </c>
      <c r="I418" s="7" t="s">
        <v>1682</v>
      </c>
      <c r="J418" s="7" t="s">
        <v>658</v>
      </c>
    </row>
    <row r="419" spans="1:10" x14ac:dyDescent="0.3">
      <c r="A419" s="6" t="s">
        <v>2113</v>
      </c>
      <c r="B419" s="7" t="s">
        <v>139</v>
      </c>
      <c r="C419" s="7" t="s">
        <v>2049</v>
      </c>
      <c r="D419" s="7" t="s">
        <v>21</v>
      </c>
      <c r="E419" s="7" t="s">
        <v>57</v>
      </c>
      <c r="F419" s="7"/>
      <c r="G419" s="7" t="s">
        <v>2114</v>
      </c>
      <c r="H419" s="7">
        <v>4</v>
      </c>
      <c r="I419" s="7" t="s">
        <v>58</v>
      </c>
      <c r="J419" s="7" t="s">
        <v>2116</v>
      </c>
    </row>
    <row r="420" spans="1:10" ht="15" x14ac:dyDescent="0.3">
      <c r="A420" s="10"/>
      <c r="B420" s="11"/>
      <c r="C420" s="11"/>
      <c r="D420" s="11" t="s">
        <v>2728</v>
      </c>
      <c r="E420" s="11" t="s">
        <v>2714</v>
      </c>
      <c r="F420" s="11"/>
      <c r="G420" s="11" t="s">
        <v>2729</v>
      </c>
      <c r="H420" s="11">
        <v>1693</v>
      </c>
      <c r="I420" s="11"/>
      <c r="J420" s="11"/>
    </row>
    <row r="421" spans="1:10" x14ac:dyDescent="0.3">
      <c r="A421" s="6" t="s">
        <v>2272</v>
      </c>
      <c r="B421" s="7" t="s">
        <v>139</v>
      </c>
      <c r="C421" s="7" t="s">
        <v>2273</v>
      </c>
      <c r="D421" s="7" t="s">
        <v>22</v>
      </c>
      <c r="E421" s="7" t="s">
        <v>2274</v>
      </c>
      <c r="F421" s="7" t="s">
        <v>394</v>
      </c>
      <c r="G421" s="7" t="s">
        <v>2275</v>
      </c>
      <c r="H421" s="7">
        <v>2</v>
      </c>
      <c r="I421" s="7" t="s">
        <v>2279</v>
      </c>
      <c r="J421" s="7" t="s">
        <v>2280</v>
      </c>
    </row>
    <row r="422" spans="1:10" ht="15" x14ac:dyDescent="0.3">
      <c r="A422" s="10"/>
      <c r="B422" s="11"/>
      <c r="C422" s="11"/>
      <c r="D422" s="11" t="s">
        <v>2730</v>
      </c>
      <c r="E422" s="11" t="s">
        <v>2714</v>
      </c>
      <c r="F422" s="11"/>
      <c r="G422" s="11" t="s">
        <v>2715</v>
      </c>
      <c r="H422" s="11">
        <v>2</v>
      </c>
      <c r="I422" s="11"/>
      <c r="J422" s="11"/>
    </row>
    <row r="423" spans="1:10" x14ac:dyDescent="0.3">
      <c r="A423" s="6" t="s">
        <v>2281</v>
      </c>
      <c r="B423" s="7" t="s">
        <v>139</v>
      </c>
      <c r="C423" s="7" t="s">
        <v>643</v>
      </c>
      <c r="D423" s="7" t="s">
        <v>23</v>
      </c>
      <c r="E423" s="7" t="s">
        <v>576</v>
      </c>
      <c r="F423" s="7" t="s">
        <v>577</v>
      </c>
      <c r="G423" s="7" t="s">
        <v>2282</v>
      </c>
      <c r="H423" s="7"/>
      <c r="I423" s="7" t="s">
        <v>148</v>
      </c>
      <c r="J423" s="7" t="s">
        <v>2286</v>
      </c>
    </row>
    <row r="424" spans="1:10" ht="15" x14ac:dyDescent="0.3">
      <c r="A424" s="10"/>
      <c r="B424" s="11"/>
      <c r="C424" s="11"/>
      <c r="D424" s="11" t="s">
        <v>2731</v>
      </c>
      <c r="E424" s="11" t="s">
        <v>2714</v>
      </c>
      <c r="F424" s="11"/>
      <c r="G424" s="11" t="s">
        <v>2715</v>
      </c>
      <c r="H424" s="11">
        <v>0</v>
      </c>
      <c r="I424" s="11"/>
      <c r="J424" s="11"/>
    </row>
    <row r="425" spans="1:10" x14ac:dyDescent="0.3">
      <c r="A425" s="6" t="s">
        <v>2287</v>
      </c>
      <c r="B425" s="7" t="s">
        <v>139</v>
      </c>
      <c r="C425" s="7" t="s">
        <v>643</v>
      </c>
      <c r="D425" s="7" t="s">
        <v>24</v>
      </c>
      <c r="E425" s="7" t="s">
        <v>576</v>
      </c>
      <c r="F425" s="7" t="s">
        <v>577</v>
      </c>
      <c r="G425" s="7" t="s">
        <v>2288</v>
      </c>
      <c r="H425" s="7"/>
      <c r="I425" s="7" t="s">
        <v>2291</v>
      </c>
      <c r="J425" s="7" t="s">
        <v>617</v>
      </c>
    </row>
    <row r="426" spans="1:10" ht="15" x14ac:dyDescent="0.3">
      <c r="A426" s="10"/>
      <c r="B426" s="11"/>
      <c r="C426" s="11"/>
      <c r="D426" s="11" t="s">
        <v>2732</v>
      </c>
      <c r="E426" s="11" t="s">
        <v>2714</v>
      </c>
      <c r="F426" s="11"/>
      <c r="G426" s="11" t="s">
        <v>2715</v>
      </c>
      <c r="H426" s="11">
        <v>0</v>
      </c>
      <c r="I426" s="11"/>
      <c r="J426" s="11"/>
    </row>
    <row r="427" spans="1:10" x14ac:dyDescent="0.3">
      <c r="A427" s="6" t="s">
        <v>2308</v>
      </c>
      <c r="B427" s="7" t="s">
        <v>1334</v>
      </c>
      <c r="C427" s="7" t="s">
        <v>1156</v>
      </c>
      <c r="D427" s="7" t="s">
        <v>25</v>
      </c>
      <c r="E427" s="7" t="s">
        <v>2309</v>
      </c>
      <c r="F427" s="7" t="s">
        <v>1129</v>
      </c>
      <c r="G427" s="7" t="s">
        <v>2310</v>
      </c>
      <c r="H427" s="7">
        <v>14</v>
      </c>
      <c r="I427" s="7" t="s">
        <v>2312</v>
      </c>
      <c r="J427" s="7" t="s">
        <v>1097</v>
      </c>
    </row>
    <row r="428" spans="1:10" x14ac:dyDescent="0.3">
      <c r="A428" s="6" t="s">
        <v>2673</v>
      </c>
      <c r="B428" s="7" t="s">
        <v>1334</v>
      </c>
      <c r="C428" s="7" t="s">
        <v>1156</v>
      </c>
      <c r="D428" s="7" t="s">
        <v>25</v>
      </c>
      <c r="E428" s="7" t="s">
        <v>2674</v>
      </c>
      <c r="F428" s="7" t="s">
        <v>2675</v>
      </c>
      <c r="G428" s="7" t="s">
        <v>2676</v>
      </c>
      <c r="H428" s="7">
        <v>12</v>
      </c>
      <c r="I428" s="7"/>
      <c r="J428" s="7"/>
    </row>
    <row r="429" spans="1:10" x14ac:dyDescent="0.3">
      <c r="A429" s="6" t="s">
        <v>2303</v>
      </c>
      <c r="B429" s="7" t="s">
        <v>1334</v>
      </c>
      <c r="C429" s="7" t="s">
        <v>1156</v>
      </c>
      <c r="D429" s="7" t="s">
        <v>25</v>
      </c>
      <c r="E429" s="7" t="s">
        <v>2304</v>
      </c>
      <c r="F429" s="7" t="s">
        <v>2305</v>
      </c>
      <c r="G429" s="7" t="s">
        <v>2306</v>
      </c>
      <c r="H429" s="7">
        <v>2</v>
      </c>
      <c r="I429" s="7" t="s">
        <v>390</v>
      </c>
      <c r="J429" s="7" t="s">
        <v>542</v>
      </c>
    </row>
    <row r="430" spans="1:10" x14ac:dyDescent="0.3">
      <c r="A430" s="6" t="s">
        <v>2298</v>
      </c>
      <c r="B430" s="7" t="s">
        <v>1334</v>
      </c>
      <c r="C430" s="7" t="s">
        <v>1156</v>
      </c>
      <c r="D430" s="7" t="s">
        <v>25</v>
      </c>
      <c r="E430" s="7" t="s">
        <v>2299</v>
      </c>
      <c r="F430" s="7" t="s">
        <v>2300</v>
      </c>
      <c r="G430" s="7" t="s">
        <v>2301</v>
      </c>
      <c r="H430" s="7">
        <v>6</v>
      </c>
      <c r="I430" s="7" t="s">
        <v>396</v>
      </c>
      <c r="J430" s="7" t="s">
        <v>1757</v>
      </c>
    </row>
    <row r="431" spans="1:10" x14ac:dyDescent="0.3">
      <c r="A431" s="6" t="s">
        <v>2292</v>
      </c>
      <c r="B431" s="7" t="s">
        <v>1334</v>
      </c>
      <c r="C431" s="7" t="s">
        <v>1156</v>
      </c>
      <c r="D431" s="7" t="s">
        <v>25</v>
      </c>
      <c r="E431" s="7" t="s">
        <v>2293</v>
      </c>
      <c r="F431" s="7" t="s">
        <v>300</v>
      </c>
      <c r="G431" s="7" t="s">
        <v>2294</v>
      </c>
      <c r="H431" s="7">
        <v>6</v>
      </c>
      <c r="I431" s="7" t="s">
        <v>207</v>
      </c>
      <c r="J431" s="7" t="s">
        <v>174</v>
      </c>
    </row>
    <row r="432" spans="1:10" x14ac:dyDescent="0.3">
      <c r="A432" s="6" t="s">
        <v>1333</v>
      </c>
      <c r="B432" s="7" t="s">
        <v>1334</v>
      </c>
      <c r="C432" s="7" t="s">
        <v>1156</v>
      </c>
      <c r="D432" s="7" t="s">
        <v>25</v>
      </c>
      <c r="E432" s="7" t="s">
        <v>1335</v>
      </c>
      <c r="F432" s="7" t="s">
        <v>1225</v>
      </c>
      <c r="G432" s="7" t="s">
        <v>111</v>
      </c>
      <c r="H432" s="7">
        <v>7</v>
      </c>
      <c r="I432" s="7" t="s">
        <v>123</v>
      </c>
      <c r="J432" s="7" t="s">
        <v>174</v>
      </c>
    </row>
    <row r="433" spans="1:10" ht="15" x14ac:dyDescent="0.3">
      <c r="A433" s="10"/>
      <c r="B433" s="11"/>
      <c r="C433" s="11"/>
      <c r="D433" s="11" t="s">
        <v>2733</v>
      </c>
      <c r="E433" s="11" t="s">
        <v>2714</v>
      </c>
      <c r="F433" s="11"/>
      <c r="G433" s="11" t="s">
        <v>2734</v>
      </c>
      <c r="H433" s="11">
        <v>47</v>
      </c>
      <c r="I433" s="11"/>
      <c r="J433" s="11"/>
    </row>
    <row r="434" spans="1:10" x14ac:dyDescent="0.3">
      <c r="A434" s="6" t="s">
        <v>1336</v>
      </c>
      <c r="B434" s="7" t="s">
        <v>139</v>
      </c>
      <c r="C434" s="7" t="s">
        <v>643</v>
      </c>
      <c r="D434" s="7" t="s">
        <v>26</v>
      </c>
      <c r="E434" s="7" t="s">
        <v>768</v>
      </c>
      <c r="F434" s="7" t="s">
        <v>769</v>
      </c>
      <c r="G434" s="7" t="s">
        <v>770</v>
      </c>
      <c r="H434" s="7"/>
      <c r="I434" s="7" t="s">
        <v>220</v>
      </c>
      <c r="J434" s="7" t="s">
        <v>771</v>
      </c>
    </row>
    <row r="435" spans="1:10" x14ac:dyDescent="0.3">
      <c r="A435" s="6" t="s">
        <v>2315</v>
      </c>
      <c r="B435" s="7" t="s">
        <v>139</v>
      </c>
      <c r="C435" s="7" t="s">
        <v>643</v>
      </c>
      <c r="D435" s="7" t="s">
        <v>26</v>
      </c>
      <c r="E435" s="7" t="s">
        <v>2316</v>
      </c>
      <c r="F435" s="7" t="s">
        <v>366</v>
      </c>
      <c r="G435" s="7" t="s">
        <v>2317</v>
      </c>
      <c r="H435" s="7"/>
      <c r="I435" s="7" t="s">
        <v>2319</v>
      </c>
      <c r="J435" s="7"/>
    </row>
    <row r="436" spans="1:10" x14ac:dyDescent="0.3">
      <c r="A436" s="6" t="s">
        <v>2320</v>
      </c>
      <c r="B436" s="7" t="s">
        <v>139</v>
      </c>
      <c r="C436" s="7" t="s">
        <v>643</v>
      </c>
      <c r="D436" s="7" t="s">
        <v>26</v>
      </c>
      <c r="E436" s="7" t="s">
        <v>2316</v>
      </c>
      <c r="F436" s="7" t="s">
        <v>366</v>
      </c>
      <c r="G436" s="7" t="s">
        <v>2321</v>
      </c>
      <c r="H436" s="7"/>
      <c r="I436" s="7" t="s">
        <v>2323</v>
      </c>
      <c r="J436" s="7" t="s">
        <v>208</v>
      </c>
    </row>
    <row r="437" spans="1:10" x14ac:dyDescent="0.3">
      <c r="A437" s="6" t="s">
        <v>2350</v>
      </c>
      <c r="B437" s="7" t="s">
        <v>139</v>
      </c>
      <c r="C437" s="7" t="s">
        <v>643</v>
      </c>
      <c r="D437" s="7" t="s">
        <v>26</v>
      </c>
      <c r="E437" s="7" t="s">
        <v>1141</v>
      </c>
      <c r="F437" s="7" t="s">
        <v>1142</v>
      </c>
      <c r="G437" s="7" t="s">
        <v>2351</v>
      </c>
      <c r="H437" s="7"/>
      <c r="I437" s="7" t="s">
        <v>1389</v>
      </c>
      <c r="J437" s="7" t="s">
        <v>2353</v>
      </c>
    </row>
    <row r="438" spans="1:10" x14ac:dyDescent="0.3">
      <c r="A438" s="6" t="s">
        <v>2324</v>
      </c>
      <c r="B438" s="7" t="s">
        <v>139</v>
      </c>
      <c r="C438" s="7" t="s">
        <v>643</v>
      </c>
      <c r="D438" s="7" t="s">
        <v>26</v>
      </c>
      <c r="E438" s="7" t="s">
        <v>721</v>
      </c>
      <c r="F438" s="7" t="s">
        <v>394</v>
      </c>
      <c r="G438" s="7" t="s">
        <v>2325</v>
      </c>
      <c r="H438" s="7"/>
      <c r="I438" s="7" t="s">
        <v>2328</v>
      </c>
      <c r="J438" s="7"/>
    </row>
    <row r="439" spans="1:10" x14ac:dyDescent="0.3">
      <c r="A439" s="6" t="s">
        <v>2335</v>
      </c>
      <c r="B439" s="7" t="s">
        <v>139</v>
      </c>
      <c r="C439" s="7" t="s">
        <v>643</v>
      </c>
      <c r="D439" s="7" t="s">
        <v>26</v>
      </c>
      <c r="E439" s="7" t="s">
        <v>576</v>
      </c>
      <c r="F439" s="7" t="s">
        <v>577</v>
      </c>
      <c r="G439" s="7" t="s">
        <v>2336</v>
      </c>
      <c r="H439" s="7"/>
      <c r="I439" s="7" t="s">
        <v>207</v>
      </c>
      <c r="J439" s="7" t="s">
        <v>169</v>
      </c>
    </row>
    <row r="440" spans="1:10" x14ac:dyDescent="0.3">
      <c r="A440" s="6" t="s">
        <v>2329</v>
      </c>
      <c r="B440" s="7" t="s">
        <v>139</v>
      </c>
      <c r="C440" s="7" t="s">
        <v>643</v>
      </c>
      <c r="D440" s="7" t="s">
        <v>26</v>
      </c>
      <c r="E440" s="7" t="s">
        <v>576</v>
      </c>
      <c r="F440" s="7" t="s">
        <v>577</v>
      </c>
      <c r="G440" s="7" t="s">
        <v>2330</v>
      </c>
      <c r="H440" s="7"/>
      <c r="I440" s="7" t="s">
        <v>2333</v>
      </c>
      <c r="J440" s="7" t="s">
        <v>2334</v>
      </c>
    </row>
    <row r="441" spans="1:10" x14ac:dyDescent="0.3">
      <c r="A441" s="6" t="s">
        <v>2338</v>
      </c>
      <c r="B441" s="7" t="s">
        <v>139</v>
      </c>
      <c r="C441" s="7" t="s">
        <v>643</v>
      </c>
      <c r="D441" s="7" t="s">
        <v>26</v>
      </c>
      <c r="E441" s="7" t="s">
        <v>2339</v>
      </c>
      <c r="F441" s="7" t="s">
        <v>2340</v>
      </c>
      <c r="G441" s="7" t="s">
        <v>2341</v>
      </c>
      <c r="H441" s="7"/>
      <c r="I441" s="7" t="s">
        <v>2343</v>
      </c>
      <c r="J441" s="7" t="s">
        <v>262</v>
      </c>
    </row>
    <row r="442" spans="1:10" x14ac:dyDescent="0.3">
      <c r="A442" s="6" t="s">
        <v>2344</v>
      </c>
      <c r="B442" s="7" t="s">
        <v>139</v>
      </c>
      <c r="C442" s="7" t="s">
        <v>643</v>
      </c>
      <c r="D442" s="7" t="s">
        <v>26</v>
      </c>
      <c r="E442" s="7" t="s">
        <v>1141</v>
      </c>
      <c r="F442" s="7" t="s">
        <v>1142</v>
      </c>
      <c r="G442" s="7" t="s">
        <v>2345</v>
      </c>
      <c r="H442" s="7"/>
      <c r="I442" s="7" t="s">
        <v>2348</v>
      </c>
      <c r="J442" s="7" t="s">
        <v>2349</v>
      </c>
    </row>
    <row r="443" spans="1:10" ht="15" x14ac:dyDescent="0.3">
      <c r="A443" s="10"/>
      <c r="B443" s="11"/>
      <c r="C443" s="11"/>
      <c r="D443" s="11" t="s">
        <v>2735</v>
      </c>
      <c r="E443" s="11" t="s">
        <v>2714</v>
      </c>
      <c r="F443" s="11"/>
      <c r="G443" s="11" t="s">
        <v>2736</v>
      </c>
      <c r="H443" s="11">
        <v>0</v>
      </c>
      <c r="I443" s="11"/>
      <c r="J443" s="11"/>
    </row>
    <row r="444" spans="1:10" x14ac:dyDescent="0.3">
      <c r="A444" s="6" t="s">
        <v>2357</v>
      </c>
      <c r="B444" s="7" t="s">
        <v>139</v>
      </c>
      <c r="C444" s="7" t="s">
        <v>643</v>
      </c>
      <c r="D444" s="7" t="s">
        <v>27</v>
      </c>
      <c r="E444" s="7" t="s">
        <v>2358</v>
      </c>
      <c r="F444" s="7" t="s">
        <v>2359</v>
      </c>
      <c r="G444" s="7" t="s">
        <v>2360</v>
      </c>
      <c r="H444" s="7"/>
      <c r="I444" s="7" t="s">
        <v>2363</v>
      </c>
      <c r="J444" s="7" t="s">
        <v>174</v>
      </c>
    </row>
    <row r="445" spans="1:10" x14ac:dyDescent="0.3">
      <c r="A445" s="6" t="s">
        <v>1369</v>
      </c>
      <c r="B445" s="7" t="s">
        <v>139</v>
      </c>
      <c r="C445" s="7" t="s">
        <v>643</v>
      </c>
      <c r="D445" s="7" t="s">
        <v>27</v>
      </c>
      <c r="E445" s="7" t="s">
        <v>1370</v>
      </c>
      <c r="F445" s="7" t="s">
        <v>394</v>
      </c>
      <c r="G445" s="7" t="s">
        <v>1371</v>
      </c>
      <c r="H445" s="7"/>
      <c r="I445" s="7" t="s">
        <v>1372</v>
      </c>
      <c r="J445" s="7" t="s">
        <v>1373</v>
      </c>
    </row>
    <row r="446" spans="1:10" x14ac:dyDescent="0.3">
      <c r="A446" s="6" t="s">
        <v>1374</v>
      </c>
      <c r="B446" s="7" t="s">
        <v>139</v>
      </c>
      <c r="C446" s="7" t="s">
        <v>643</v>
      </c>
      <c r="D446" s="7" t="s">
        <v>27</v>
      </c>
      <c r="E446" s="7" t="s">
        <v>1375</v>
      </c>
      <c r="F446" s="7" t="s">
        <v>1376</v>
      </c>
      <c r="G446" s="7" t="s">
        <v>1377</v>
      </c>
      <c r="H446" s="7"/>
      <c r="I446" s="7" t="s">
        <v>1378</v>
      </c>
      <c r="J446" s="7" t="s">
        <v>630</v>
      </c>
    </row>
    <row r="447" spans="1:10" x14ac:dyDescent="0.3">
      <c r="A447" s="6" t="s">
        <v>1379</v>
      </c>
      <c r="B447" s="7" t="s">
        <v>139</v>
      </c>
      <c r="C447" s="7" t="s">
        <v>643</v>
      </c>
      <c r="D447" s="7" t="s">
        <v>27</v>
      </c>
      <c r="E447" s="7" t="s">
        <v>1380</v>
      </c>
      <c r="F447" s="7" t="s">
        <v>1381</v>
      </c>
      <c r="G447" s="7" t="s">
        <v>1382</v>
      </c>
      <c r="H447" s="7"/>
      <c r="I447" s="7" t="s">
        <v>1383</v>
      </c>
      <c r="J447" s="7" t="s">
        <v>1384</v>
      </c>
    </row>
    <row r="448" spans="1:10" x14ac:dyDescent="0.3">
      <c r="A448" s="6" t="s">
        <v>1420</v>
      </c>
      <c r="B448" s="7" t="s">
        <v>139</v>
      </c>
      <c r="C448" s="7" t="s">
        <v>643</v>
      </c>
      <c r="D448" s="7" t="s">
        <v>27</v>
      </c>
      <c r="E448" s="7" t="s">
        <v>1421</v>
      </c>
      <c r="F448" s="7" t="s">
        <v>1142</v>
      </c>
      <c r="G448" s="7" t="s">
        <v>1422</v>
      </c>
      <c r="H448" s="7"/>
      <c r="I448" s="7" t="s">
        <v>1423</v>
      </c>
      <c r="J448" s="7" t="s">
        <v>1424</v>
      </c>
    </row>
    <row r="449" spans="1:10" x14ac:dyDescent="0.3">
      <c r="A449" s="6" t="s">
        <v>1385</v>
      </c>
      <c r="B449" s="7" t="s">
        <v>139</v>
      </c>
      <c r="C449" s="7" t="s">
        <v>643</v>
      </c>
      <c r="D449" s="7" t="s">
        <v>27</v>
      </c>
      <c r="E449" s="7" t="s">
        <v>1386</v>
      </c>
      <c r="F449" s="7" t="s">
        <v>1387</v>
      </c>
      <c r="G449" s="7" t="s">
        <v>1388</v>
      </c>
      <c r="H449" s="7"/>
      <c r="I449" s="7" t="s">
        <v>1389</v>
      </c>
      <c r="J449" s="7" t="s">
        <v>144</v>
      </c>
    </row>
    <row r="450" spans="1:10" x14ac:dyDescent="0.3">
      <c r="A450" s="6" t="s">
        <v>1390</v>
      </c>
      <c r="B450" s="7" t="s">
        <v>139</v>
      </c>
      <c r="C450" s="7" t="s">
        <v>643</v>
      </c>
      <c r="D450" s="7" t="s">
        <v>27</v>
      </c>
      <c r="E450" s="7" t="s">
        <v>1391</v>
      </c>
      <c r="F450" s="7" t="s">
        <v>1392</v>
      </c>
      <c r="G450" s="7" t="s">
        <v>1393</v>
      </c>
      <c r="H450" s="7"/>
      <c r="I450" s="7" t="s">
        <v>1383</v>
      </c>
      <c r="J450" s="7" t="s">
        <v>1384</v>
      </c>
    </row>
    <row r="451" spans="1:10" x14ac:dyDescent="0.3">
      <c r="A451" s="6" t="s">
        <v>1394</v>
      </c>
      <c r="B451" s="7" t="s">
        <v>139</v>
      </c>
      <c r="C451" s="7" t="s">
        <v>643</v>
      </c>
      <c r="D451" s="7" t="s">
        <v>27</v>
      </c>
      <c r="E451" s="7" t="s">
        <v>1395</v>
      </c>
      <c r="F451" s="7" t="s">
        <v>1396</v>
      </c>
      <c r="G451" s="7" t="s">
        <v>1397</v>
      </c>
      <c r="H451" s="7"/>
      <c r="I451" s="7" t="s">
        <v>1398</v>
      </c>
      <c r="J451" s="7" t="s">
        <v>391</v>
      </c>
    </row>
    <row r="452" spans="1:10" x14ac:dyDescent="0.3">
      <c r="A452" s="6" t="s">
        <v>1399</v>
      </c>
      <c r="B452" s="7" t="s">
        <v>139</v>
      </c>
      <c r="C452" s="7" t="s">
        <v>643</v>
      </c>
      <c r="D452" s="7" t="s">
        <v>27</v>
      </c>
      <c r="E452" s="7" t="s">
        <v>1400</v>
      </c>
      <c r="F452" s="7" t="s">
        <v>1401</v>
      </c>
      <c r="G452" s="7" t="s">
        <v>1402</v>
      </c>
      <c r="H452" s="7"/>
      <c r="I452" s="7" t="s">
        <v>678</v>
      </c>
      <c r="J452" s="7" t="s">
        <v>1403</v>
      </c>
    </row>
    <row r="453" spans="1:10" x14ac:dyDescent="0.3">
      <c r="A453" s="6" t="s">
        <v>2370</v>
      </c>
      <c r="B453" s="7" t="s">
        <v>139</v>
      </c>
      <c r="C453" s="7" t="s">
        <v>643</v>
      </c>
      <c r="D453" s="7" t="s">
        <v>27</v>
      </c>
      <c r="E453" s="7" t="s">
        <v>2371</v>
      </c>
      <c r="F453" s="7" t="s">
        <v>2372</v>
      </c>
      <c r="G453" s="7" t="s">
        <v>2373</v>
      </c>
      <c r="H453" s="7"/>
      <c r="I453" s="7" t="s">
        <v>345</v>
      </c>
      <c r="J453" s="7" t="s">
        <v>174</v>
      </c>
    </row>
    <row r="454" spans="1:10" x14ac:dyDescent="0.3">
      <c r="A454" s="6" t="s">
        <v>2377</v>
      </c>
      <c r="B454" s="7" t="s">
        <v>139</v>
      </c>
      <c r="C454" s="7" t="s">
        <v>643</v>
      </c>
      <c r="D454" s="7" t="s">
        <v>27</v>
      </c>
      <c r="E454" s="7" t="s">
        <v>2378</v>
      </c>
      <c r="F454" s="7" t="s">
        <v>2379</v>
      </c>
      <c r="G454" s="7" t="s">
        <v>2380</v>
      </c>
      <c r="H454" s="7"/>
      <c r="I454" s="7" t="s">
        <v>196</v>
      </c>
      <c r="J454" s="7" t="s">
        <v>2383</v>
      </c>
    </row>
    <row r="455" spans="1:10" x14ac:dyDescent="0.3">
      <c r="A455" s="6" t="s">
        <v>1404</v>
      </c>
      <c r="B455" s="7" t="s">
        <v>139</v>
      </c>
      <c r="C455" s="7" t="s">
        <v>643</v>
      </c>
      <c r="D455" s="7" t="s">
        <v>27</v>
      </c>
      <c r="E455" s="7" t="s">
        <v>1405</v>
      </c>
      <c r="F455" s="7" t="s">
        <v>577</v>
      </c>
      <c r="G455" s="7" t="s">
        <v>1406</v>
      </c>
      <c r="H455" s="7"/>
      <c r="I455" s="7" t="s">
        <v>148</v>
      </c>
      <c r="J455" s="7" t="s">
        <v>1407</v>
      </c>
    </row>
    <row r="456" spans="1:10" x14ac:dyDescent="0.3">
      <c r="A456" s="6" t="s">
        <v>1418</v>
      </c>
      <c r="B456" s="7" t="s">
        <v>139</v>
      </c>
      <c r="C456" s="7" t="s">
        <v>643</v>
      </c>
      <c r="D456" s="7" t="s">
        <v>27</v>
      </c>
      <c r="E456" s="7" t="s">
        <v>1413</v>
      </c>
      <c r="F456" s="7" t="s">
        <v>1414</v>
      </c>
      <c r="G456" s="7" t="s">
        <v>1419</v>
      </c>
      <c r="H456" s="7"/>
      <c r="I456" s="7" t="s">
        <v>788</v>
      </c>
      <c r="J456" s="7" t="s">
        <v>789</v>
      </c>
    </row>
    <row r="457" spans="1:10" x14ac:dyDescent="0.3">
      <c r="A457" s="6" t="s">
        <v>1412</v>
      </c>
      <c r="B457" s="7" t="s">
        <v>139</v>
      </c>
      <c r="C457" s="7" t="s">
        <v>643</v>
      </c>
      <c r="D457" s="7" t="s">
        <v>27</v>
      </c>
      <c r="E457" s="7" t="s">
        <v>1413</v>
      </c>
      <c r="F457" s="7" t="s">
        <v>1414</v>
      </c>
      <c r="G457" s="7" t="s">
        <v>1415</v>
      </c>
      <c r="H457" s="7"/>
      <c r="I457" s="7" t="s">
        <v>1416</v>
      </c>
      <c r="J457" s="7" t="s">
        <v>1417</v>
      </c>
    </row>
    <row r="458" spans="1:10" x14ac:dyDescent="0.3">
      <c r="A458" s="6" t="s">
        <v>2384</v>
      </c>
      <c r="B458" s="7" t="s">
        <v>139</v>
      </c>
      <c r="C458" s="7" t="s">
        <v>643</v>
      </c>
      <c r="D458" s="7" t="s">
        <v>27</v>
      </c>
      <c r="E458" s="7" t="s">
        <v>1413</v>
      </c>
      <c r="F458" s="7" t="s">
        <v>1414</v>
      </c>
      <c r="G458" s="7" t="s">
        <v>2385</v>
      </c>
      <c r="H458" s="7"/>
      <c r="I458" s="7" t="s">
        <v>2389</v>
      </c>
      <c r="J458" s="7" t="s">
        <v>2390</v>
      </c>
    </row>
    <row r="459" spans="1:10" x14ac:dyDescent="0.3">
      <c r="A459" s="6" t="s">
        <v>1408</v>
      </c>
      <c r="B459" s="7" t="s">
        <v>139</v>
      </c>
      <c r="C459" s="7" t="s">
        <v>643</v>
      </c>
      <c r="D459" s="7" t="s">
        <v>27</v>
      </c>
      <c r="E459" s="7" t="s">
        <v>1409</v>
      </c>
      <c r="F459" s="7" t="s">
        <v>1410</v>
      </c>
      <c r="G459" s="7" t="s">
        <v>1411</v>
      </c>
      <c r="H459" s="7"/>
      <c r="I459" s="7" t="s">
        <v>1383</v>
      </c>
      <c r="J459" s="7" t="s">
        <v>1384</v>
      </c>
    </row>
    <row r="460" spans="1:10" x14ac:dyDescent="0.3">
      <c r="A460" s="6" t="s">
        <v>1365</v>
      </c>
      <c r="B460" s="7" t="s">
        <v>139</v>
      </c>
      <c r="C460" s="7" t="s">
        <v>643</v>
      </c>
      <c r="D460" s="7" t="s">
        <v>27</v>
      </c>
      <c r="E460" s="7" t="s">
        <v>1366</v>
      </c>
      <c r="F460" s="7" t="s">
        <v>1367</v>
      </c>
      <c r="G460" s="7" t="s">
        <v>1368</v>
      </c>
      <c r="H460" s="7"/>
      <c r="I460" s="7" t="s">
        <v>682</v>
      </c>
      <c r="J460" s="7" t="s">
        <v>211</v>
      </c>
    </row>
    <row r="461" spans="1:10" x14ac:dyDescent="0.3">
      <c r="A461" s="6" t="s">
        <v>2364</v>
      </c>
      <c r="B461" s="7" t="s">
        <v>139</v>
      </c>
      <c r="C461" s="7" t="s">
        <v>643</v>
      </c>
      <c r="D461" s="7" t="s">
        <v>27</v>
      </c>
      <c r="E461" s="7" t="s">
        <v>2365</v>
      </c>
      <c r="F461" s="7" t="s">
        <v>711</v>
      </c>
      <c r="G461" s="7" t="s">
        <v>2366</v>
      </c>
      <c r="H461" s="7"/>
      <c r="I461" s="7" t="s">
        <v>123</v>
      </c>
      <c r="J461" s="7" t="s">
        <v>419</v>
      </c>
    </row>
    <row r="462" spans="1:10" x14ac:dyDescent="0.3">
      <c r="A462" s="6" t="s">
        <v>1353</v>
      </c>
      <c r="B462" s="7" t="s">
        <v>139</v>
      </c>
      <c r="C462" s="7" t="s">
        <v>643</v>
      </c>
      <c r="D462" s="7" t="s">
        <v>27</v>
      </c>
      <c r="E462" s="7" t="s">
        <v>1354</v>
      </c>
      <c r="F462" s="7" t="s">
        <v>1164</v>
      </c>
      <c r="G462" s="7" t="s">
        <v>1355</v>
      </c>
      <c r="H462" s="7"/>
      <c r="I462" s="7" t="s">
        <v>1356</v>
      </c>
      <c r="J462" s="7" t="s">
        <v>174</v>
      </c>
    </row>
    <row r="463" spans="1:10" x14ac:dyDescent="0.3">
      <c r="A463" s="6" t="s">
        <v>1337</v>
      </c>
      <c r="B463" s="7" t="s">
        <v>139</v>
      </c>
      <c r="C463" s="7" t="s">
        <v>643</v>
      </c>
      <c r="D463" s="7" t="s">
        <v>27</v>
      </c>
      <c r="E463" s="7" t="s">
        <v>1338</v>
      </c>
      <c r="F463" s="7" t="s">
        <v>1339</v>
      </c>
      <c r="G463" s="7" t="s">
        <v>1340</v>
      </c>
      <c r="H463" s="7"/>
      <c r="I463" s="7" t="s">
        <v>1341</v>
      </c>
      <c r="J463" s="7" t="s">
        <v>174</v>
      </c>
    </row>
    <row r="464" spans="1:10" x14ac:dyDescent="0.3">
      <c r="A464" s="6" t="s">
        <v>1342</v>
      </c>
      <c r="B464" s="7" t="s">
        <v>139</v>
      </c>
      <c r="C464" s="7" t="s">
        <v>643</v>
      </c>
      <c r="D464" s="7" t="s">
        <v>27</v>
      </c>
      <c r="E464" s="7" t="s">
        <v>1343</v>
      </c>
      <c r="F464" s="7" t="s">
        <v>645</v>
      </c>
      <c r="G464" s="7" t="s">
        <v>1344</v>
      </c>
      <c r="H464" s="7"/>
      <c r="I464" s="7" t="s">
        <v>1345</v>
      </c>
      <c r="J464" s="7" t="s">
        <v>1346</v>
      </c>
    </row>
    <row r="465" spans="1:10" x14ac:dyDescent="0.3">
      <c r="A465" s="6" t="s">
        <v>1361</v>
      </c>
      <c r="B465" s="7" t="s">
        <v>139</v>
      </c>
      <c r="C465" s="7" t="s">
        <v>643</v>
      </c>
      <c r="D465" s="7" t="s">
        <v>27</v>
      </c>
      <c r="E465" s="7" t="s">
        <v>1362</v>
      </c>
      <c r="F465" s="7" t="s">
        <v>769</v>
      </c>
      <c r="G465" s="7" t="s">
        <v>80</v>
      </c>
      <c r="H465" s="7"/>
      <c r="I465" s="7" t="s">
        <v>1363</v>
      </c>
      <c r="J465" s="7" t="s">
        <v>1364</v>
      </c>
    </row>
    <row r="466" spans="1:10" x14ac:dyDescent="0.3">
      <c r="A466" s="6" t="s">
        <v>1357</v>
      </c>
      <c r="B466" s="7" t="s">
        <v>139</v>
      </c>
      <c r="C466" s="7" t="s">
        <v>643</v>
      </c>
      <c r="D466" s="7" t="s">
        <v>27</v>
      </c>
      <c r="E466" s="7" t="s">
        <v>1358</v>
      </c>
      <c r="F466" s="7"/>
      <c r="G466" s="7" t="s">
        <v>1359</v>
      </c>
      <c r="H466" s="7"/>
      <c r="I466" s="7" t="s">
        <v>1360</v>
      </c>
      <c r="J466" s="7" t="s">
        <v>1202</v>
      </c>
    </row>
    <row r="467" spans="1:10" x14ac:dyDescent="0.3">
      <c r="A467" s="6" t="s">
        <v>1347</v>
      </c>
      <c r="B467" s="7" t="s">
        <v>139</v>
      </c>
      <c r="C467" s="7" t="s">
        <v>643</v>
      </c>
      <c r="D467" s="7" t="s">
        <v>27</v>
      </c>
      <c r="E467" s="7" t="s">
        <v>1348</v>
      </c>
      <c r="F467" s="7" t="s">
        <v>1349</v>
      </c>
      <c r="G467" s="7" t="s">
        <v>1350</v>
      </c>
      <c r="H467" s="7"/>
      <c r="I467" s="7" t="s">
        <v>1351</v>
      </c>
      <c r="J467" s="7" t="s">
        <v>1352</v>
      </c>
    </row>
    <row r="468" spans="1:10" ht="15" x14ac:dyDescent="0.3">
      <c r="A468" s="10"/>
      <c r="B468" s="11"/>
      <c r="C468" s="11"/>
      <c r="D468" s="11" t="s">
        <v>2737</v>
      </c>
      <c r="E468" s="11" t="s">
        <v>2714</v>
      </c>
      <c r="F468" s="11"/>
      <c r="G468" s="11" t="s">
        <v>2738</v>
      </c>
      <c r="H468" s="11">
        <v>0</v>
      </c>
      <c r="I468" s="11"/>
      <c r="J468" s="11"/>
    </row>
    <row r="469" spans="1:10" x14ac:dyDescent="0.3">
      <c r="A469" s="6" t="s">
        <v>2391</v>
      </c>
      <c r="B469" s="7" t="s">
        <v>139</v>
      </c>
      <c r="C469" s="7" t="s">
        <v>643</v>
      </c>
      <c r="D469" s="7" t="s">
        <v>29</v>
      </c>
      <c r="E469" s="7" t="s">
        <v>2392</v>
      </c>
      <c r="F469" s="7" t="s">
        <v>2393</v>
      </c>
      <c r="G469" s="7" t="s">
        <v>2394</v>
      </c>
      <c r="H469" s="7"/>
      <c r="I469" s="7" t="s">
        <v>2397</v>
      </c>
      <c r="J469" s="7" t="s">
        <v>277</v>
      </c>
    </row>
    <row r="470" spans="1:10" ht="15" x14ac:dyDescent="0.3">
      <c r="A470" s="10"/>
      <c r="B470" s="11"/>
      <c r="C470" s="11"/>
      <c r="D470" s="11" t="s">
        <v>2739</v>
      </c>
      <c r="E470" s="11" t="s">
        <v>2714</v>
      </c>
      <c r="F470" s="11"/>
      <c r="G470" s="11" t="s">
        <v>2715</v>
      </c>
      <c r="H470" s="11">
        <v>0</v>
      </c>
      <c r="I470" s="11"/>
      <c r="J470" s="11"/>
    </row>
    <row r="471" spans="1:10" x14ac:dyDescent="0.3">
      <c r="A471" s="6" t="s">
        <v>1528</v>
      </c>
      <c r="B471" s="7" t="s">
        <v>139</v>
      </c>
      <c r="C471" s="7" t="s">
        <v>643</v>
      </c>
      <c r="D471" s="7" t="s">
        <v>30</v>
      </c>
      <c r="E471" s="7" t="s">
        <v>1529</v>
      </c>
      <c r="F471" s="7" t="s">
        <v>1530</v>
      </c>
      <c r="G471" s="7" t="s">
        <v>1531</v>
      </c>
      <c r="H471" s="7">
        <v>11</v>
      </c>
      <c r="I471" s="7" t="s">
        <v>647</v>
      </c>
      <c r="J471" s="7" t="s">
        <v>662</v>
      </c>
    </row>
    <row r="472" spans="1:10" x14ac:dyDescent="0.3">
      <c r="A472" s="6" t="s">
        <v>1532</v>
      </c>
      <c r="B472" s="7" t="s">
        <v>139</v>
      </c>
      <c r="C472" s="7" t="s">
        <v>643</v>
      </c>
      <c r="D472" s="7" t="s">
        <v>30</v>
      </c>
      <c r="E472" s="7" t="s">
        <v>1533</v>
      </c>
      <c r="F472" s="7" t="s">
        <v>1534</v>
      </c>
      <c r="G472" s="7" t="s">
        <v>1535</v>
      </c>
      <c r="H472" s="7">
        <v>7</v>
      </c>
      <c r="I472" s="7" t="s">
        <v>955</v>
      </c>
      <c r="J472" s="7" t="s">
        <v>221</v>
      </c>
    </row>
    <row r="473" spans="1:10" x14ac:dyDescent="0.3">
      <c r="A473" s="6" t="s">
        <v>2417</v>
      </c>
      <c r="B473" s="7" t="s">
        <v>139</v>
      </c>
      <c r="C473" s="7" t="s">
        <v>643</v>
      </c>
      <c r="D473" s="7" t="s">
        <v>30</v>
      </c>
      <c r="E473" s="7" t="s">
        <v>2418</v>
      </c>
      <c r="F473" s="7" t="s">
        <v>2419</v>
      </c>
      <c r="G473" s="7" t="s">
        <v>2420</v>
      </c>
      <c r="H473" s="7">
        <v>1</v>
      </c>
      <c r="I473" s="7" t="s">
        <v>536</v>
      </c>
      <c r="J473" s="7" t="s">
        <v>617</v>
      </c>
    </row>
    <row r="474" spans="1:10" x14ac:dyDescent="0.3">
      <c r="A474" s="6" t="s">
        <v>1536</v>
      </c>
      <c r="B474" s="7" t="s">
        <v>139</v>
      </c>
      <c r="C474" s="7" t="s">
        <v>643</v>
      </c>
      <c r="D474" s="7" t="s">
        <v>30</v>
      </c>
      <c r="E474" s="7" t="s">
        <v>1537</v>
      </c>
      <c r="F474" s="7" t="s">
        <v>1538</v>
      </c>
      <c r="G474" s="7" t="s">
        <v>1539</v>
      </c>
      <c r="H474" s="7">
        <v>5</v>
      </c>
      <c r="I474" s="7" t="s">
        <v>498</v>
      </c>
      <c r="J474" s="7" t="s">
        <v>1540</v>
      </c>
    </row>
    <row r="475" spans="1:10" x14ac:dyDescent="0.3">
      <c r="A475" s="6" t="s">
        <v>1552</v>
      </c>
      <c r="B475" s="7" t="s">
        <v>139</v>
      </c>
      <c r="C475" s="7" t="s">
        <v>643</v>
      </c>
      <c r="D475" s="7" t="s">
        <v>30</v>
      </c>
      <c r="E475" s="7" t="s">
        <v>1553</v>
      </c>
      <c r="F475" s="7" t="s">
        <v>1554</v>
      </c>
      <c r="G475" s="7" t="s">
        <v>1555</v>
      </c>
      <c r="H475" s="7">
        <v>30</v>
      </c>
      <c r="I475" s="7" t="s">
        <v>434</v>
      </c>
      <c r="J475" s="7" t="s">
        <v>174</v>
      </c>
    </row>
    <row r="476" spans="1:10" x14ac:dyDescent="0.3">
      <c r="A476" s="6" t="s">
        <v>2424</v>
      </c>
      <c r="B476" s="7" t="s">
        <v>139</v>
      </c>
      <c r="C476" s="7" t="s">
        <v>643</v>
      </c>
      <c r="D476" s="7" t="s">
        <v>30</v>
      </c>
      <c r="E476" s="7" t="s">
        <v>1542</v>
      </c>
      <c r="F476" s="7" t="s">
        <v>1543</v>
      </c>
      <c r="G476" s="7" t="s">
        <v>2425</v>
      </c>
      <c r="H476" s="7">
        <v>8</v>
      </c>
      <c r="I476" s="7" t="s">
        <v>2427</v>
      </c>
      <c r="J476" s="7" t="s">
        <v>552</v>
      </c>
    </row>
    <row r="477" spans="1:10" x14ac:dyDescent="0.3">
      <c r="A477" s="6" t="s">
        <v>2428</v>
      </c>
      <c r="B477" s="7" t="s">
        <v>139</v>
      </c>
      <c r="C477" s="7" t="s">
        <v>643</v>
      </c>
      <c r="D477" s="7" t="s">
        <v>30</v>
      </c>
      <c r="E477" s="7" t="s">
        <v>1542</v>
      </c>
      <c r="F477" s="7" t="s">
        <v>1543</v>
      </c>
      <c r="G477" s="7" t="s">
        <v>2429</v>
      </c>
      <c r="H477" s="7">
        <v>6</v>
      </c>
      <c r="I477" s="7" t="s">
        <v>2431</v>
      </c>
      <c r="J477" s="7" t="s">
        <v>2432</v>
      </c>
    </row>
    <row r="478" spans="1:10" x14ac:dyDescent="0.3">
      <c r="A478" s="6" t="s">
        <v>2433</v>
      </c>
      <c r="B478" s="7" t="s">
        <v>139</v>
      </c>
      <c r="C478" s="7" t="s">
        <v>643</v>
      </c>
      <c r="D478" s="7" t="s">
        <v>30</v>
      </c>
      <c r="E478" s="7" t="s">
        <v>1542</v>
      </c>
      <c r="F478" s="7" t="s">
        <v>1543</v>
      </c>
      <c r="G478" s="7" t="s">
        <v>2434</v>
      </c>
      <c r="H478" s="7">
        <v>8</v>
      </c>
      <c r="I478" s="7" t="s">
        <v>123</v>
      </c>
      <c r="J478" s="7" t="s">
        <v>174</v>
      </c>
    </row>
    <row r="479" spans="1:10" x14ac:dyDescent="0.3">
      <c r="A479" s="6" t="s">
        <v>1545</v>
      </c>
      <c r="B479" s="7" t="s">
        <v>139</v>
      </c>
      <c r="C479" s="7" t="s">
        <v>643</v>
      </c>
      <c r="D479" s="7" t="s">
        <v>30</v>
      </c>
      <c r="E479" s="7" t="s">
        <v>1546</v>
      </c>
      <c r="F479" s="7" t="s">
        <v>1547</v>
      </c>
      <c r="G479" s="7" t="s">
        <v>1548</v>
      </c>
      <c r="H479" s="7">
        <v>15</v>
      </c>
      <c r="I479" s="7" t="s">
        <v>143</v>
      </c>
      <c r="J479" s="7" t="s">
        <v>1549</v>
      </c>
    </row>
    <row r="480" spans="1:10" x14ac:dyDescent="0.3">
      <c r="A480" s="6" t="s">
        <v>1550</v>
      </c>
      <c r="B480" s="7" t="s">
        <v>139</v>
      </c>
      <c r="C480" s="7" t="s">
        <v>643</v>
      </c>
      <c r="D480" s="7" t="s">
        <v>30</v>
      </c>
      <c r="E480" s="7" t="s">
        <v>1546</v>
      </c>
      <c r="F480" s="7" t="s">
        <v>1547</v>
      </c>
      <c r="G480" s="7" t="s">
        <v>1551</v>
      </c>
      <c r="H480" s="7">
        <v>27</v>
      </c>
      <c r="I480" s="7" t="s">
        <v>237</v>
      </c>
      <c r="J480" s="7" t="s">
        <v>737</v>
      </c>
    </row>
    <row r="481" spans="1:10" x14ac:dyDescent="0.3">
      <c r="A481" s="6" t="s">
        <v>1561</v>
      </c>
      <c r="B481" s="7" t="s">
        <v>139</v>
      </c>
      <c r="C481" s="7" t="s">
        <v>643</v>
      </c>
      <c r="D481" s="7" t="s">
        <v>30</v>
      </c>
      <c r="E481" s="7" t="s">
        <v>1557</v>
      </c>
      <c r="F481" s="7" t="s">
        <v>752</v>
      </c>
      <c r="G481" s="7" t="s">
        <v>1562</v>
      </c>
      <c r="H481" s="7">
        <v>7</v>
      </c>
      <c r="I481" s="7" t="s">
        <v>184</v>
      </c>
      <c r="J481" s="7" t="s">
        <v>1563</v>
      </c>
    </row>
    <row r="482" spans="1:10" x14ac:dyDescent="0.3">
      <c r="A482" s="6" t="s">
        <v>1556</v>
      </c>
      <c r="B482" s="7" t="s">
        <v>139</v>
      </c>
      <c r="C482" s="7" t="s">
        <v>643</v>
      </c>
      <c r="D482" s="7" t="s">
        <v>30</v>
      </c>
      <c r="E482" s="7" t="s">
        <v>1557</v>
      </c>
      <c r="F482" s="7" t="s">
        <v>752</v>
      </c>
      <c r="G482" s="7" t="s">
        <v>1558</v>
      </c>
      <c r="H482" s="7">
        <v>1</v>
      </c>
      <c r="I482" s="7" t="s">
        <v>1559</v>
      </c>
      <c r="J482" s="7" t="s">
        <v>1560</v>
      </c>
    </row>
    <row r="483" spans="1:10" x14ac:dyDescent="0.3">
      <c r="A483" s="6" t="s">
        <v>1541</v>
      </c>
      <c r="B483" s="7" t="s">
        <v>139</v>
      </c>
      <c r="C483" s="7" t="s">
        <v>643</v>
      </c>
      <c r="D483" s="7" t="s">
        <v>30</v>
      </c>
      <c r="E483" s="7" t="s">
        <v>1542</v>
      </c>
      <c r="F483" s="7" t="s">
        <v>1543</v>
      </c>
      <c r="G483" s="7" t="s">
        <v>1544</v>
      </c>
      <c r="H483" s="7">
        <v>7</v>
      </c>
      <c r="I483" s="7" t="s">
        <v>363</v>
      </c>
      <c r="J483" s="7" t="s">
        <v>617</v>
      </c>
    </row>
    <row r="484" spans="1:10" x14ac:dyDescent="0.3">
      <c r="A484" s="6" t="s">
        <v>1570</v>
      </c>
      <c r="B484" s="7" t="s">
        <v>139</v>
      </c>
      <c r="C484" s="7" t="s">
        <v>643</v>
      </c>
      <c r="D484" s="7" t="s">
        <v>30</v>
      </c>
      <c r="E484" s="7" t="s">
        <v>1571</v>
      </c>
      <c r="F484" s="7" t="s">
        <v>1572</v>
      </c>
      <c r="G484" s="7" t="s">
        <v>1573</v>
      </c>
      <c r="H484" s="7">
        <v>3</v>
      </c>
      <c r="I484" s="7" t="s">
        <v>1574</v>
      </c>
      <c r="J484" s="7" t="s">
        <v>1575</v>
      </c>
    </row>
    <row r="485" spans="1:10" x14ac:dyDescent="0.3">
      <c r="A485" s="6" t="s">
        <v>1524</v>
      </c>
      <c r="B485" s="7" t="s">
        <v>139</v>
      </c>
      <c r="C485" s="7" t="s">
        <v>643</v>
      </c>
      <c r="D485" s="7" t="s">
        <v>30</v>
      </c>
      <c r="E485" s="7" t="s">
        <v>1521</v>
      </c>
      <c r="F485" s="7" t="s">
        <v>1522</v>
      </c>
      <c r="G485" s="7" t="s">
        <v>1525</v>
      </c>
      <c r="H485" s="7">
        <v>3</v>
      </c>
      <c r="I485" s="7" t="s">
        <v>1526</v>
      </c>
      <c r="J485" s="7" t="s">
        <v>1527</v>
      </c>
    </row>
    <row r="486" spans="1:10" x14ac:dyDescent="0.3">
      <c r="A486" s="6" t="s">
        <v>1505</v>
      </c>
      <c r="B486" s="7" t="s">
        <v>139</v>
      </c>
      <c r="C486" s="7" t="s">
        <v>643</v>
      </c>
      <c r="D486" s="7" t="s">
        <v>30</v>
      </c>
      <c r="E486" s="7" t="s">
        <v>1503</v>
      </c>
      <c r="F486" s="7" t="s">
        <v>1396</v>
      </c>
      <c r="G486" s="7" t="s">
        <v>1506</v>
      </c>
      <c r="H486" s="7">
        <v>3</v>
      </c>
      <c r="I486" s="7" t="s">
        <v>1507</v>
      </c>
      <c r="J486" s="7" t="s">
        <v>144</v>
      </c>
    </row>
    <row r="487" spans="1:10" x14ac:dyDescent="0.3">
      <c r="A487" s="6" t="s">
        <v>1502</v>
      </c>
      <c r="B487" s="7" t="s">
        <v>139</v>
      </c>
      <c r="C487" s="7" t="s">
        <v>643</v>
      </c>
      <c r="D487" s="7" t="s">
        <v>30</v>
      </c>
      <c r="E487" s="7" t="s">
        <v>1503</v>
      </c>
      <c r="F487" s="7" t="s">
        <v>1396</v>
      </c>
      <c r="G487" s="7" t="s">
        <v>1504</v>
      </c>
      <c r="H487" s="7">
        <v>3</v>
      </c>
      <c r="I487" s="7" t="s">
        <v>518</v>
      </c>
      <c r="J487" s="7" t="s">
        <v>164</v>
      </c>
    </row>
    <row r="488" spans="1:10" x14ac:dyDescent="0.3">
      <c r="A488" s="6" t="s">
        <v>1513</v>
      </c>
      <c r="B488" s="7" t="s">
        <v>139</v>
      </c>
      <c r="C488" s="7" t="s">
        <v>643</v>
      </c>
      <c r="D488" s="7" t="s">
        <v>30</v>
      </c>
      <c r="E488" s="7" t="s">
        <v>1509</v>
      </c>
      <c r="F488" s="7" t="s">
        <v>1510</v>
      </c>
      <c r="G488" s="7" t="s">
        <v>1514</v>
      </c>
      <c r="H488" s="7">
        <v>17</v>
      </c>
      <c r="I488" s="7" t="s">
        <v>1512</v>
      </c>
      <c r="J488" s="7" t="s">
        <v>174</v>
      </c>
    </row>
    <row r="489" spans="1:10" x14ac:dyDescent="0.3">
      <c r="A489" s="6" t="s">
        <v>1508</v>
      </c>
      <c r="B489" s="7" t="s">
        <v>139</v>
      </c>
      <c r="C489" s="7" t="s">
        <v>643</v>
      </c>
      <c r="D489" s="7" t="s">
        <v>30</v>
      </c>
      <c r="E489" s="7" t="s">
        <v>1509</v>
      </c>
      <c r="F489" s="7" t="s">
        <v>1510</v>
      </c>
      <c r="G489" s="7" t="s">
        <v>1511</v>
      </c>
      <c r="H489" s="7">
        <v>17</v>
      </c>
      <c r="I489" s="7" t="s">
        <v>1512</v>
      </c>
      <c r="J489" s="7" t="s">
        <v>174</v>
      </c>
    </row>
    <row r="490" spans="1:10" x14ac:dyDescent="0.3">
      <c r="A490" s="6" t="s">
        <v>1486</v>
      </c>
      <c r="B490" s="7" t="s">
        <v>139</v>
      </c>
      <c r="C490" s="7" t="s">
        <v>643</v>
      </c>
      <c r="D490" s="7" t="s">
        <v>30</v>
      </c>
      <c r="E490" s="7" t="s">
        <v>1487</v>
      </c>
      <c r="F490" s="7" t="s">
        <v>1488</v>
      </c>
      <c r="G490" s="7" t="s">
        <v>1489</v>
      </c>
      <c r="H490" s="7">
        <v>24</v>
      </c>
      <c r="I490" s="7" t="s">
        <v>196</v>
      </c>
      <c r="J490" s="7" t="s">
        <v>1490</v>
      </c>
    </row>
    <row r="491" spans="1:10" x14ac:dyDescent="0.3">
      <c r="A491" s="6" t="s">
        <v>1491</v>
      </c>
      <c r="B491" s="7" t="s">
        <v>139</v>
      </c>
      <c r="C491" s="7" t="s">
        <v>643</v>
      </c>
      <c r="D491" s="7" t="s">
        <v>30</v>
      </c>
      <c r="E491" s="7" t="s">
        <v>1492</v>
      </c>
      <c r="F491" s="7" t="s">
        <v>1493</v>
      </c>
      <c r="G491" s="7" t="s">
        <v>1494</v>
      </c>
      <c r="H491" s="7">
        <v>6</v>
      </c>
      <c r="I491" s="7" t="s">
        <v>1495</v>
      </c>
      <c r="J491" s="7" t="s">
        <v>514</v>
      </c>
    </row>
    <row r="492" spans="1:10" x14ac:dyDescent="0.3">
      <c r="A492" s="6" t="s">
        <v>1564</v>
      </c>
      <c r="B492" s="7" t="s">
        <v>139</v>
      </c>
      <c r="C492" s="7" t="s">
        <v>643</v>
      </c>
      <c r="D492" s="7" t="s">
        <v>30</v>
      </c>
      <c r="E492" s="7" t="s">
        <v>1565</v>
      </c>
      <c r="F492" s="7" t="s">
        <v>1566</v>
      </c>
      <c r="G492" s="7" t="s">
        <v>1567</v>
      </c>
      <c r="H492" s="7">
        <v>17</v>
      </c>
      <c r="I492" s="7" t="s">
        <v>1568</v>
      </c>
      <c r="J492" s="7" t="s">
        <v>1569</v>
      </c>
    </row>
    <row r="493" spans="1:10" x14ac:dyDescent="0.3">
      <c r="A493" s="6" t="s">
        <v>2407</v>
      </c>
      <c r="B493" s="7" t="s">
        <v>139</v>
      </c>
      <c r="C493" s="7" t="s">
        <v>643</v>
      </c>
      <c r="D493" s="7" t="s">
        <v>30</v>
      </c>
      <c r="E493" s="7" t="s">
        <v>1465</v>
      </c>
      <c r="F493" s="7" t="s">
        <v>1466</v>
      </c>
      <c r="G493" s="7" t="s">
        <v>2408</v>
      </c>
      <c r="H493" s="7">
        <v>10</v>
      </c>
      <c r="I493" s="7" t="s">
        <v>184</v>
      </c>
      <c r="J493" s="7" t="s">
        <v>2410</v>
      </c>
    </row>
    <row r="494" spans="1:10" x14ac:dyDescent="0.3">
      <c r="A494" s="6" t="s">
        <v>1468</v>
      </c>
      <c r="B494" s="7" t="s">
        <v>139</v>
      </c>
      <c r="C494" s="7" t="s">
        <v>643</v>
      </c>
      <c r="D494" s="7" t="s">
        <v>30</v>
      </c>
      <c r="E494" s="7" t="s">
        <v>1465</v>
      </c>
      <c r="F494" s="7" t="s">
        <v>1466</v>
      </c>
      <c r="G494" s="7" t="s">
        <v>1469</v>
      </c>
      <c r="H494" s="7">
        <v>3</v>
      </c>
      <c r="I494" s="7" t="s">
        <v>233</v>
      </c>
      <c r="J494" s="7" t="s">
        <v>1470</v>
      </c>
    </row>
    <row r="495" spans="1:10" x14ac:dyDescent="0.3">
      <c r="A495" s="6" t="s">
        <v>1464</v>
      </c>
      <c r="B495" s="7" t="s">
        <v>139</v>
      </c>
      <c r="C495" s="7" t="s">
        <v>643</v>
      </c>
      <c r="D495" s="7" t="s">
        <v>30</v>
      </c>
      <c r="E495" s="7" t="s">
        <v>1465</v>
      </c>
      <c r="F495" s="7" t="s">
        <v>1466</v>
      </c>
      <c r="G495" s="7" t="s">
        <v>1467</v>
      </c>
      <c r="H495" s="7">
        <v>2</v>
      </c>
      <c r="I495" s="7" t="s">
        <v>411</v>
      </c>
      <c r="J495" s="7" t="s">
        <v>144</v>
      </c>
    </row>
    <row r="496" spans="1:10" x14ac:dyDescent="0.3">
      <c r="A496" s="6" t="s">
        <v>1481</v>
      </c>
      <c r="B496" s="7" t="s">
        <v>139</v>
      </c>
      <c r="C496" s="7" t="s">
        <v>643</v>
      </c>
      <c r="D496" s="7" t="s">
        <v>30</v>
      </c>
      <c r="E496" s="7" t="s">
        <v>1482</v>
      </c>
      <c r="F496" s="7" t="s">
        <v>1483</v>
      </c>
      <c r="G496" s="7" t="s">
        <v>1484</v>
      </c>
      <c r="H496" s="7">
        <v>10</v>
      </c>
      <c r="I496" s="7" t="s">
        <v>1485</v>
      </c>
      <c r="J496" s="7" t="s">
        <v>144</v>
      </c>
    </row>
    <row r="497" spans="1:10" x14ac:dyDescent="0.3">
      <c r="A497" s="6" t="s">
        <v>1576</v>
      </c>
      <c r="B497" s="7" t="s">
        <v>139</v>
      </c>
      <c r="C497" s="7" t="s">
        <v>643</v>
      </c>
      <c r="D497" s="7" t="s">
        <v>30</v>
      </c>
      <c r="E497" s="7" t="s">
        <v>1571</v>
      </c>
      <c r="F497" s="7" t="s">
        <v>1572</v>
      </c>
      <c r="G497" s="7" t="s">
        <v>1577</v>
      </c>
      <c r="H497" s="7">
        <v>4</v>
      </c>
      <c r="I497" s="7" t="s">
        <v>246</v>
      </c>
      <c r="J497" s="7" t="s">
        <v>262</v>
      </c>
    </row>
    <row r="498" spans="1:10" x14ac:dyDescent="0.3">
      <c r="A498" s="6" t="s">
        <v>1520</v>
      </c>
      <c r="B498" s="7" t="s">
        <v>139</v>
      </c>
      <c r="C498" s="7" t="s">
        <v>643</v>
      </c>
      <c r="D498" s="7" t="s">
        <v>30</v>
      </c>
      <c r="E498" s="7" t="s">
        <v>1521</v>
      </c>
      <c r="F498" s="7" t="s">
        <v>1522</v>
      </c>
      <c r="G498" s="7" t="s">
        <v>1523</v>
      </c>
      <c r="H498" s="7">
        <v>3</v>
      </c>
      <c r="I498" s="7" t="s">
        <v>196</v>
      </c>
      <c r="J498" s="7" t="s">
        <v>493</v>
      </c>
    </row>
    <row r="499" spans="1:10" x14ac:dyDescent="0.3">
      <c r="A499" s="6" t="s">
        <v>2436</v>
      </c>
      <c r="B499" s="7" t="s">
        <v>139</v>
      </c>
      <c r="C499" s="7" t="s">
        <v>643</v>
      </c>
      <c r="D499" s="7" t="s">
        <v>30</v>
      </c>
      <c r="E499" s="7" t="s">
        <v>2437</v>
      </c>
      <c r="F499" s="7" t="s">
        <v>577</v>
      </c>
      <c r="G499" s="7" t="s">
        <v>2438</v>
      </c>
      <c r="H499" s="7">
        <v>21</v>
      </c>
      <c r="I499" s="7" t="s">
        <v>315</v>
      </c>
      <c r="J499" s="7" t="s">
        <v>174</v>
      </c>
    </row>
    <row r="500" spans="1:10" x14ac:dyDescent="0.3">
      <c r="A500" s="6" t="s">
        <v>1515</v>
      </c>
      <c r="B500" s="7" t="s">
        <v>139</v>
      </c>
      <c r="C500" s="7" t="s">
        <v>643</v>
      </c>
      <c r="D500" s="7" t="s">
        <v>30</v>
      </c>
      <c r="E500" s="7" t="s">
        <v>1516</v>
      </c>
      <c r="F500" s="7" t="s">
        <v>711</v>
      </c>
      <c r="G500" s="7" t="s">
        <v>120</v>
      </c>
      <c r="H500" s="7">
        <v>36</v>
      </c>
      <c r="I500" s="7" t="s">
        <v>123</v>
      </c>
      <c r="J500" s="7" t="s">
        <v>419</v>
      </c>
    </row>
    <row r="501" spans="1:10" x14ac:dyDescent="0.3">
      <c r="A501" s="6" t="s">
        <v>1517</v>
      </c>
      <c r="B501" s="7" t="s">
        <v>139</v>
      </c>
      <c r="C501" s="7" t="s">
        <v>643</v>
      </c>
      <c r="D501" s="7" t="s">
        <v>30</v>
      </c>
      <c r="E501" s="7" t="s">
        <v>1518</v>
      </c>
      <c r="F501" s="7" t="s">
        <v>496</v>
      </c>
      <c r="G501" s="7" t="s">
        <v>1519</v>
      </c>
      <c r="H501" s="7">
        <v>5</v>
      </c>
      <c r="I501" s="7" t="s">
        <v>349</v>
      </c>
      <c r="J501" s="7" t="s">
        <v>234</v>
      </c>
    </row>
    <row r="502" spans="1:10" x14ac:dyDescent="0.3">
      <c r="A502" s="6" t="s">
        <v>2398</v>
      </c>
      <c r="B502" s="7" t="s">
        <v>139</v>
      </c>
      <c r="C502" s="7" t="s">
        <v>643</v>
      </c>
      <c r="D502" s="7" t="s">
        <v>30</v>
      </c>
      <c r="E502" s="7" t="s">
        <v>2399</v>
      </c>
      <c r="F502" s="7" t="s">
        <v>2400</v>
      </c>
      <c r="G502" s="7" t="s">
        <v>2401</v>
      </c>
      <c r="H502" s="7">
        <v>9</v>
      </c>
      <c r="I502" s="7" t="s">
        <v>196</v>
      </c>
      <c r="J502" s="7" t="s">
        <v>2406</v>
      </c>
    </row>
    <row r="503" spans="1:10" x14ac:dyDescent="0.3">
      <c r="A503" s="6" t="s">
        <v>1437</v>
      </c>
      <c r="B503" s="7" t="s">
        <v>139</v>
      </c>
      <c r="C503" s="7" t="s">
        <v>643</v>
      </c>
      <c r="D503" s="7" t="s">
        <v>30</v>
      </c>
      <c r="E503" s="7" t="s">
        <v>1438</v>
      </c>
      <c r="F503" s="7" t="s">
        <v>1439</v>
      </c>
      <c r="G503" s="7" t="s">
        <v>1440</v>
      </c>
      <c r="H503" s="7">
        <v>11</v>
      </c>
      <c r="I503" s="7" t="s">
        <v>536</v>
      </c>
      <c r="J503" s="7" t="s">
        <v>617</v>
      </c>
    </row>
    <row r="504" spans="1:10" x14ac:dyDescent="0.3">
      <c r="A504" s="6" t="s">
        <v>1432</v>
      </c>
      <c r="B504" s="7" t="s">
        <v>139</v>
      </c>
      <c r="C504" s="7" t="s">
        <v>643</v>
      </c>
      <c r="D504" s="7" t="s">
        <v>30</v>
      </c>
      <c r="E504" s="7" t="s">
        <v>1433</v>
      </c>
      <c r="F504" s="7" t="s">
        <v>1434</v>
      </c>
      <c r="G504" s="7" t="s">
        <v>1435</v>
      </c>
      <c r="H504" s="7">
        <v>17</v>
      </c>
      <c r="I504" s="7" t="s">
        <v>1436</v>
      </c>
      <c r="J504" s="7" t="s">
        <v>297</v>
      </c>
    </row>
    <row r="505" spans="1:10" x14ac:dyDescent="0.3">
      <c r="A505" s="6" t="s">
        <v>1425</v>
      </c>
      <c r="B505" s="7" t="s">
        <v>139</v>
      </c>
      <c r="C505" s="7" t="s">
        <v>643</v>
      </c>
      <c r="D505" s="7" t="s">
        <v>30</v>
      </c>
      <c r="E505" s="7" t="s">
        <v>1426</v>
      </c>
      <c r="F505" s="7" t="s">
        <v>669</v>
      </c>
      <c r="G505" s="7" t="s">
        <v>1427</v>
      </c>
      <c r="H505" s="7">
        <v>10</v>
      </c>
      <c r="I505" s="7" t="s">
        <v>1428</v>
      </c>
      <c r="J505" s="7" t="s">
        <v>144</v>
      </c>
    </row>
    <row r="506" spans="1:10" x14ac:dyDescent="0.3">
      <c r="A506" s="6" t="s">
        <v>1441</v>
      </c>
      <c r="B506" s="7" t="s">
        <v>139</v>
      </c>
      <c r="C506" s="7" t="s">
        <v>643</v>
      </c>
      <c r="D506" s="7" t="s">
        <v>30</v>
      </c>
      <c r="E506" s="7" t="s">
        <v>1442</v>
      </c>
      <c r="F506" s="7" t="s">
        <v>1443</v>
      </c>
      <c r="G506" s="7" t="s">
        <v>1444</v>
      </c>
      <c r="H506" s="7">
        <v>2</v>
      </c>
      <c r="I506" s="7" t="s">
        <v>411</v>
      </c>
      <c r="J506" s="7" t="s">
        <v>737</v>
      </c>
    </row>
    <row r="507" spans="1:10" x14ac:dyDescent="0.3">
      <c r="A507" s="6" t="s">
        <v>1449</v>
      </c>
      <c r="B507" s="7" t="s">
        <v>139</v>
      </c>
      <c r="C507" s="7" t="s">
        <v>643</v>
      </c>
      <c r="D507" s="7" t="s">
        <v>30</v>
      </c>
      <c r="E507" s="7" t="s">
        <v>1446</v>
      </c>
      <c r="F507" s="7" t="s">
        <v>1447</v>
      </c>
      <c r="G507" s="7" t="s">
        <v>1450</v>
      </c>
      <c r="H507" s="7">
        <v>50</v>
      </c>
      <c r="I507" s="7" t="s">
        <v>1133</v>
      </c>
      <c r="J507" s="7" t="s">
        <v>1451</v>
      </c>
    </row>
    <row r="508" spans="1:10" x14ac:dyDescent="0.3">
      <c r="A508" s="6" t="s">
        <v>1445</v>
      </c>
      <c r="B508" s="7" t="s">
        <v>139</v>
      </c>
      <c r="C508" s="7" t="s">
        <v>643</v>
      </c>
      <c r="D508" s="7" t="s">
        <v>30</v>
      </c>
      <c r="E508" s="7" t="s">
        <v>1446</v>
      </c>
      <c r="F508" s="7" t="s">
        <v>1447</v>
      </c>
      <c r="G508" s="7" t="s">
        <v>1448</v>
      </c>
      <c r="H508" s="7">
        <v>6</v>
      </c>
      <c r="I508" s="7" t="s">
        <v>202</v>
      </c>
      <c r="J508" s="7" t="s">
        <v>174</v>
      </c>
    </row>
    <row r="509" spans="1:10" x14ac:dyDescent="0.3">
      <c r="A509" s="6" t="s">
        <v>1429</v>
      </c>
      <c r="B509" s="7" t="s">
        <v>139</v>
      </c>
      <c r="C509" s="7" t="s">
        <v>643</v>
      </c>
      <c r="D509" s="7" t="s">
        <v>30</v>
      </c>
      <c r="E509" s="7" t="s">
        <v>1426</v>
      </c>
      <c r="F509" s="7" t="s">
        <v>669</v>
      </c>
      <c r="G509" s="7" t="s">
        <v>1430</v>
      </c>
      <c r="H509" s="7">
        <v>16</v>
      </c>
      <c r="I509" s="7" t="s">
        <v>153</v>
      </c>
      <c r="J509" s="7" t="s">
        <v>1431</v>
      </c>
    </row>
    <row r="510" spans="1:10" x14ac:dyDescent="0.3">
      <c r="A510" s="6" t="s">
        <v>1460</v>
      </c>
      <c r="B510" s="7" t="s">
        <v>139</v>
      </c>
      <c r="C510" s="7" t="s">
        <v>643</v>
      </c>
      <c r="D510" s="7" t="s">
        <v>30</v>
      </c>
      <c r="E510" s="7" t="s">
        <v>1457</v>
      </c>
      <c r="F510" s="7" t="s">
        <v>1458</v>
      </c>
      <c r="G510" s="7" t="s">
        <v>1461</v>
      </c>
      <c r="H510" s="7">
        <v>20</v>
      </c>
      <c r="I510" s="7" t="s">
        <v>1462</v>
      </c>
      <c r="J510" s="7" t="s">
        <v>1463</v>
      </c>
    </row>
    <row r="511" spans="1:10" x14ac:dyDescent="0.3">
      <c r="A511" s="6" t="s">
        <v>1456</v>
      </c>
      <c r="B511" s="7" t="s">
        <v>139</v>
      </c>
      <c r="C511" s="7" t="s">
        <v>643</v>
      </c>
      <c r="D511" s="7" t="s">
        <v>30</v>
      </c>
      <c r="E511" s="7" t="s">
        <v>1457</v>
      </c>
      <c r="F511" s="7" t="s">
        <v>1458</v>
      </c>
      <c r="G511" s="7" t="s">
        <v>1459</v>
      </c>
      <c r="H511" s="7">
        <v>17</v>
      </c>
      <c r="I511" s="7" t="s">
        <v>457</v>
      </c>
      <c r="J511" s="7" t="s">
        <v>662</v>
      </c>
    </row>
    <row r="512" spans="1:10" x14ac:dyDescent="0.3">
      <c r="A512" s="6" t="s">
        <v>1471</v>
      </c>
      <c r="B512" s="7" t="s">
        <v>139</v>
      </c>
      <c r="C512" s="7" t="s">
        <v>643</v>
      </c>
      <c r="D512" s="7" t="s">
        <v>30</v>
      </c>
      <c r="E512" s="7" t="s">
        <v>1472</v>
      </c>
      <c r="F512" s="7" t="s">
        <v>1473</v>
      </c>
      <c r="G512" s="7" t="s">
        <v>1474</v>
      </c>
      <c r="H512" s="7">
        <v>6</v>
      </c>
      <c r="I512" s="7" t="s">
        <v>123</v>
      </c>
      <c r="J512" s="7" t="s">
        <v>480</v>
      </c>
    </row>
    <row r="513" spans="1:10" x14ac:dyDescent="0.3">
      <c r="A513" s="6" t="s">
        <v>1475</v>
      </c>
      <c r="B513" s="7" t="s">
        <v>139</v>
      </c>
      <c r="C513" s="7" t="s">
        <v>643</v>
      </c>
      <c r="D513" s="7" t="s">
        <v>30</v>
      </c>
      <c r="E513" s="7" t="s">
        <v>1472</v>
      </c>
      <c r="F513" s="7" t="s">
        <v>1473</v>
      </c>
      <c r="G513" s="7" t="s">
        <v>1476</v>
      </c>
      <c r="H513" s="7">
        <v>1</v>
      </c>
      <c r="I513" s="7" t="s">
        <v>196</v>
      </c>
      <c r="J513" s="7" t="s">
        <v>1477</v>
      </c>
    </row>
    <row r="514" spans="1:10" x14ac:dyDescent="0.3">
      <c r="A514" s="6" t="s">
        <v>2411</v>
      </c>
      <c r="B514" s="7" t="s">
        <v>139</v>
      </c>
      <c r="C514" s="7" t="s">
        <v>643</v>
      </c>
      <c r="D514" s="7" t="s">
        <v>30</v>
      </c>
      <c r="E514" s="7" t="s">
        <v>1472</v>
      </c>
      <c r="F514" s="7" t="s">
        <v>1473</v>
      </c>
      <c r="G514" s="7" t="s">
        <v>2412</v>
      </c>
      <c r="H514" s="7">
        <v>10</v>
      </c>
      <c r="I514" s="7" t="s">
        <v>123</v>
      </c>
      <c r="J514" s="7" t="s">
        <v>1261</v>
      </c>
    </row>
    <row r="515" spans="1:10" x14ac:dyDescent="0.3">
      <c r="A515" s="6" t="s">
        <v>1478</v>
      </c>
      <c r="B515" s="7" t="s">
        <v>139</v>
      </c>
      <c r="C515" s="7" t="s">
        <v>643</v>
      </c>
      <c r="D515" s="7" t="s">
        <v>30</v>
      </c>
      <c r="E515" s="7" t="s">
        <v>1472</v>
      </c>
      <c r="F515" s="7" t="s">
        <v>1473</v>
      </c>
      <c r="G515" s="7" t="s">
        <v>1479</v>
      </c>
      <c r="H515" s="7">
        <v>8</v>
      </c>
      <c r="I515" s="7" t="s">
        <v>196</v>
      </c>
      <c r="J515" s="7" t="s">
        <v>1480</v>
      </c>
    </row>
    <row r="516" spans="1:10" x14ac:dyDescent="0.3">
      <c r="A516" s="6" t="s">
        <v>1452</v>
      </c>
      <c r="B516" s="7" t="s">
        <v>139</v>
      </c>
      <c r="C516" s="7" t="s">
        <v>643</v>
      </c>
      <c r="D516" s="7" t="s">
        <v>30</v>
      </c>
      <c r="E516" s="7" t="s">
        <v>1453</v>
      </c>
      <c r="F516" s="7" t="s">
        <v>1454</v>
      </c>
      <c r="G516" s="7" t="s">
        <v>1455</v>
      </c>
      <c r="H516" s="7">
        <v>2</v>
      </c>
      <c r="I516" s="7" t="s">
        <v>315</v>
      </c>
      <c r="J516" s="7" t="s">
        <v>174</v>
      </c>
    </row>
    <row r="517" spans="1:10" x14ac:dyDescent="0.3">
      <c r="A517" s="6" t="s">
        <v>1496</v>
      </c>
      <c r="B517" s="7" t="s">
        <v>139</v>
      </c>
      <c r="C517" s="7" t="s">
        <v>643</v>
      </c>
      <c r="D517" s="7" t="s">
        <v>30</v>
      </c>
      <c r="E517" s="7" t="s">
        <v>1497</v>
      </c>
      <c r="F517" s="7" t="s">
        <v>1498</v>
      </c>
      <c r="G517" s="7" t="s">
        <v>1499</v>
      </c>
      <c r="H517" s="7">
        <v>24</v>
      </c>
      <c r="I517" s="7" t="s">
        <v>1500</v>
      </c>
      <c r="J517" s="7" t="s">
        <v>1501</v>
      </c>
    </row>
    <row r="518" spans="1:10" ht="15" x14ac:dyDescent="0.3">
      <c r="A518" s="10"/>
      <c r="B518" s="11"/>
      <c r="C518" s="11"/>
      <c r="D518" s="11" t="s">
        <v>2740</v>
      </c>
      <c r="E518" s="11" t="s">
        <v>2714</v>
      </c>
      <c r="F518" s="11"/>
      <c r="G518" s="11" t="s">
        <v>2741</v>
      </c>
      <c r="H518" s="11">
        <v>529</v>
      </c>
      <c r="I518" s="11"/>
      <c r="J518" s="11"/>
    </row>
    <row r="519" spans="1:10" x14ac:dyDescent="0.3">
      <c r="A519" s="6" t="s">
        <v>2493</v>
      </c>
      <c r="B519" s="7" t="s">
        <v>139</v>
      </c>
      <c r="C519" s="7" t="s">
        <v>643</v>
      </c>
      <c r="D519" s="7" t="s">
        <v>32</v>
      </c>
      <c r="E519" s="7" t="s">
        <v>1616</v>
      </c>
      <c r="F519" s="7" t="s">
        <v>1617</v>
      </c>
      <c r="G519" s="7" t="s">
        <v>2494</v>
      </c>
      <c r="H519" s="7">
        <v>6</v>
      </c>
      <c r="I519" s="7" t="s">
        <v>2496</v>
      </c>
      <c r="J519" s="7" t="s">
        <v>262</v>
      </c>
    </row>
    <row r="520" spans="1:10" x14ac:dyDescent="0.3">
      <c r="A520" s="6" t="s">
        <v>2497</v>
      </c>
      <c r="B520" s="7" t="s">
        <v>139</v>
      </c>
      <c r="C520" s="7" t="s">
        <v>643</v>
      </c>
      <c r="D520" s="7" t="s">
        <v>32</v>
      </c>
      <c r="E520" s="7" t="s">
        <v>1616</v>
      </c>
      <c r="F520" s="7" t="s">
        <v>1617</v>
      </c>
      <c r="G520" s="7" t="s">
        <v>2498</v>
      </c>
      <c r="H520" s="7">
        <v>9</v>
      </c>
      <c r="I520" s="7" t="s">
        <v>556</v>
      </c>
      <c r="J520" s="7" t="s">
        <v>2496</v>
      </c>
    </row>
    <row r="521" spans="1:10" x14ac:dyDescent="0.3">
      <c r="A521" s="6" t="s">
        <v>1615</v>
      </c>
      <c r="B521" s="7" t="s">
        <v>139</v>
      </c>
      <c r="C521" s="7" t="s">
        <v>643</v>
      </c>
      <c r="D521" s="7" t="s">
        <v>32</v>
      </c>
      <c r="E521" s="7" t="s">
        <v>1616</v>
      </c>
      <c r="F521" s="7" t="s">
        <v>1617</v>
      </c>
      <c r="G521" s="7" t="s">
        <v>1618</v>
      </c>
      <c r="H521" s="7">
        <v>0</v>
      </c>
      <c r="I521" s="7" t="s">
        <v>185</v>
      </c>
      <c r="J521" s="7" t="s">
        <v>240</v>
      </c>
    </row>
    <row r="522" spans="1:10" x14ac:dyDescent="0.3">
      <c r="A522" s="6" t="s">
        <v>1619</v>
      </c>
      <c r="B522" s="7" t="s">
        <v>139</v>
      </c>
      <c r="C522" s="7" t="s">
        <v>643</v>
      </c>
      <c r="D522" s="7" t="s">
        <v>32</v>
      </c>
      <c r="E522" s="7" t="s">
        <v>1620</v>
      </c>
      <c r="F522" s="7" t="s">
        <v>1621</v>
      </c>
      <c r="G522" s="7" t="s">
        <v>1622</v>
      </c>
      <c r="H522" s="7">
        <v>10</v>
      </c>
      <c r="I522" s="7" t="s">
        <v>1623</v>
      </c>
      <c r="J522" s="7" t="s">
        <v>1624</v>
      </c>
    </row>
    <row r="523" spans="1:10" x14ac:dyDescent="0.3">
      <c r="A523" s="6" t="s">
        <v>1625</v>
      </c>
      <c r="B523" s="7" t="s">
        <v>139</v>
      </c>
      <c r="C523" s="7" t="s">
        <v>643</v>
      </c>
      <c r="D523" s="7" t="s">
        <v>32</v>
      </c>
      <c r="E523" s="7" t="s">
        <v>1626</v>
      </c>
      <c r="F523" s="7" t="s">
        <v>1627</v>
      </c>
      <c r="G523" s="7" t="s">
        <v>1628</v>
      </c>
      <c r="H523" s="7">
        <v>15</v>
      </c>
      <c r="I523" s="7" t="s">
        <v>1629</v>
      </c>
      <c r="J523" s="7" t="s">
        <v>174</v>
      </c>
    </row>
    <row r="524" spans="1:10" x14ac:dyDescent="0.3">
      <c r="A524" s="6" t="s">
        <v>2504</v>
      </c>
      <c r="B524" s="7" t="s">
        <v>139</v>
      </c>
      <c r="C524" s="7" t="s">
        <v>643</v>
      </c>
      <c r="D524" s="7" t="s">
        <v>32</v>
      </c>
      <c r="E524" s="7" t="s">
        <v>1620</v>
      </c>
      <c r="F524" s="7" t="s">
        <v>1621</v>
      </c>
      <c r="G524" s="7" t="s">
        <v>2505</v>
      </c>
      <c r="H524" s="7">
        <v>3</v>
      </c>
      <c r="I524" s="7" t="s">
        <v>1708</v>
      </c>
      <c r="J524" s="7" t="s">
        <v>391</v>
      </c>
    </row>
    <row r="525" spans="1:10" x14ac:dyDescent="0.3">
      <c r="A525" s="6" t="s">
        <v>2500</v>
      </c>
      <c r="B525" s="7" t="s">
        <v>139</v>
      </c>
      <c r="C525" s="7" t="s">
        <v>643</v>
      </c>
      <c r="D525" s="7" t="s">
        <v>32</v>
      </c>
      <c r="E525" s="7" t="s">
        <v>1620</v>
      </c>
      <c r="F525" s="7" t="s">
        <v>1621</v>
      </c>
      <c r="G525" s="7" t="s">
        <v>2501</v>
      </c>
      <c r="H525" s="7">
        <v>7</v>
      </c>
      <c r="I525" s="7" t="s">
        <v>202</v>
      </c>
      <c r="J525" s="7" t="s">
        <v>2503</v>
      </c>
    </row>
    <row r="526" spans="1:10" x14ac:dyDescent="0.3">
      <c r="A526" s="6" t="s">
        <v>1644</v>
      </c>
      <c r="B526" s="7" t="s">
        <v>139</v>
      </c>
      <c r="C526" s="7" t="s">
        <v>643</v>
      </c>
      <c r="D526" s="7" t="s">
        <v>32</v>
      </c>
      <c r="E526" s="7" t="s">
        <v>1645</v>
      </c>
      <c r="F526" s="7" t="s">
        <v>1646</v>
      </c>
      <c r="G526" s="7" t="s">
        <v>1647</v>
      </c>
      <c r="H526" s="7">
        <v>73</v>
      </c>
      <c r="I526" s="7" t="s">
        <v>1648</v>
      </c>
      <c r="J526" s="7" t="s">
        <v>174</v>
      </c>
    </row>
    <row r="527" spans="1:10" x14ac:dyDescent="0.3">
      <c r="A527" s="6" t="s">
        <v>2507</v>
      </c>
      <c r="B527" s="7" t="s">
        <v>139</v>
      </c>
      <c r="C527" s="7" t="s">
        <v>643</v>
      </c>
      <c r="D527" s="7" t="s">
        <v>32</v>
      </c>
      <c r="E527" s="7" t="s">
        <v>2508</v>
      </c>
      <c r="F527" s="7" t="s">
        <v>2509</v>
      </c>
      <c r="G527" s="7" t="s">
        <v>2510</v>
      </c>
      <c r="H527" s="7">
        <v>11</v>
      </c>
      <c r="I527" s="7" t="s">
        <v>682</v>
      </c>
      <c r="J527" s="7" t="s">
        <v>174</v>
      </c>
    </row>
    <row r="528" spans="1:10" x14ac:dyDescent="0.3">
      <c r="A528" s="6" t="s">
        <v>1649</v>
      </c>
      <c r="B528" s="7" t="s">
        <v>139</v>
      </c>
      <c r="C528" s="7" t="s">
        <v>643</v>
      </c>
      <c r="D528" s="7" t="s">
        <v>32</v>
      </c>
      <c r="E528" s="7" t="s">
        <v>1650</v>
      </c>
      <c r="F528" s="7" t="s">
        <v>1651</v>
      </c>
      <c r="G528" s="7" t="s">
        <v>1652</v>
      </c>
      <c r="H528" s="7">
        <v>165</v>
      </c>
      <c r="I528" s="7" t="s">
        <v>1097</v>
      </c>
      <c r="J528" s="7" t="s">
        <v>1653</v>
      </c>
    </row>
    <row r="529" spans="1:10" x14ac:dyDescent="0.3">
      <c r="A529" s="6" t="s">
        <v>1688</v>
      </c>
      <c r="B529" s="7" t="s">
        <v>139</v>
      </c>
      <c r="C529" s="7" t="s">
        <v>643</v>
      </c>
      <c r="D529" s="7" t="s">
        <v>32</v>
      </c>
      <c r="E529" s="7" t="s">
        <v>1689</v>
      </c>
      <c r="F529" s="7" t="s">
        <v>1307</v>
      </c>
      <c r="G529" s="7" t="s">
        <v>1690</v>
      </c>
      <c r="H529" s="7">
        <v>62</v>
      </c>
      <c r="I529" s="7" t="s">
        <v>1249</v>
      </c>
      <c r="J529" s="7" t="s">
        <v>174</v>
      </c>
    </row>
    <row r="530" spans="1:10" x14ac:dyDescent="0.3">
      <c r="A530" s="6" t="s">
        <v>1654</v>
      </c>
      <c r="B530" s="7" t="s">
        <v>139</v>
      </c>
      <c r="C530" s="7" t="s">
        <v>643</v>
      </c>
      <c r="D530" s="7" t="s">
        <v>32</v>
      </c>
      <c r="E530" s="7" t="s">
        <v>1655</v>
      </c>
      <c r="F530" s="7" t="s">
        <v>1656</v>
      </c>
      <c r="G530" s="7" t="s">
        <v>1657</v>
      </c>
      <c r="H530" s="7">
        <v>8</v>
      </c>
      <c r="I530" s="7" t="s">
        <v>858</v>
      </c>
      <c r="J530" s="7" t="s">
        <v>174</v>
      </c>
    </row>
    <row r="531" spans="1:10" x14ac:dyDescent="0.3">
      <c r="A531" s="6" t="s">
        <v>1658</v>
      </c>
      <c r="B531" s="7" t="s">
        <v>139</v>
      </c>
      <c r="C531" s="7" t="s">
        <v>643</v>
      </c>
      <c r="D531" s="7" t="s">
        <v>32</v>
      </c>
      <c r="E531" s="7" t="s">
        <v>1659</v>
      </c>
      <c r="F531" s="7" t="s">
        <v>1660</v>
      </c>
      <c r="G531" s="7" t="s">
        <v>1661</v>
      </c>
      <c r="H531" s="7">
        <v>20</v>
      </c>
      <c r="I531" s="7" t="s">
        <v>1363</v>
      </c>
      <c r="J531" s="7" t="s">
        <v>617</v>
      </c>
    </row>
    <row r="532" spans="1:10" x14ac:dyDescent="0.3">
      <c r="A532" s="6" t="s">
        <v>2527</v>
      </c>
      <c r="B532" s="7" t="s">
        <v>139</v>
      </c>
      <c r="C532" s="7" t="s">
        <v>643</v>
      </c>
      <c r="D532" s="7" t="s">
        <v>32</v>
      </c>
      <c r="E532" s="7" t="s">
        <v>1659</v>
      </c>
      <c r="F532" s="7" t="s">
        <v>1660</v>
      </c>
      <c r="G532" s="7" t="s">
        <v>2528</v>
      </c>
      <c r="H532" s="7">
        <v>3</v>
      </c>
      <c r="I532" s="7" t="s">
        <v>1083</v>
      </c>
      <c r="J532" s="7" t="s">
        <v>262</v>
      </c>
    </row>
    <row r="533" spans="1:10" x14ac:dyDescent="0.3">
      <c r="A533" s="6" t="s">
        <v>1672</v>
      </c>
      <c r="B533" s="7" t="s">
        <v>139</v>
      </c>
      <c r="C533" s="7" t="s">
        <v>643</v>
      </c>
      <c r="D533" s="7" t="s">
        <v>32</v>
      </c>
      <c r="E533" s="7" t="s">
        <v>1673</v>
      </c>
      <c r="F533" s="7" t="s">
        <v>1674</v>
      </c>
      <c r="G533" s="7" t="s">
        <v>1675</v>
      </c>
      <c r="H533" s="7">
        <v>4</v>
      </c>
      <c r="I533" s="7" t="s">
        <v>384</v>
      </c>
      <c r="J533" s="7" t="s">
        <v>174</v>
      </c>
    </row>
    <row r="534" spans="1:10" x14ac:dyDescent="0.3">
      <c r="A534" s="6" t="s">
        <v>2530</v>
      </c>
      <c r="B534" s="7" t="s">
        <v>139</v>
      </c>
      <c r="C534" s="7" t="s">
        <v>643</v>
      </c>
      <c r="D534" s="7" t="s">
        <v>32</v>
      </c>
      <c r="E534" s="7" t="s">
        <v>1673</v>
      </c>
      <c r="F534" s="7" t="s">
        <v>1674</v>
      </c>
      <c r="G534" s="7" t="s">
        <v>2531</v>
      </c>
      <c r="H534" s="7">
        <v>5</v>
      </c>
      <c r="I534" s="7" t="s">
        <v>570</v>
      </c>
      <c r="J534" s="7" t="s">
        <v>174</v>
      </c>
    </row>
    <row r="535" spans="1:10" x14ac:dyDescent="0.3">
      <c r="A535" s="6" t="s">
        <v>1666</v>
      </c>
      <c r="B535" s="7" t="s">
        <v>139</v>
      </c>
      <c r="C535" s="7" t="s">
        <v>643</v>
      </c>
      <c r="D535" s="7" t="s">
        <v>32</v>
      </c>
      <c r="E535" s="7" t="s">
        <v>1667</v>
      </c>
      <c r="F535" s="7" t="s">
        <v>1668</v>
      </c>
      <c r="G535" s="7" t="s">
        <v>1669</v>
      </c>
      <c r="H535" s="7">
        <v>3</v>
      </c>
      <c r="I535" s="7" t="s">
        <v>1670</v>
      </c>
      <c r="J535" s="7" t="s">
        <v>1671</v>
      </c>
    </row>
    <row r="536" spans="1:10" x14ac:dyDescent="0.3">
      <c r="A536" s="6" t="s">
        <v>1684</v>
      </c>
      <c r="B536" s="7" t="s">
        <v>139</v>
      </c>
      <c r="C536" s="7" t="s">
        <v>643</v>
      </c>
      <c r="D536" s="7" t="s">
        <v>32</v>
      </c>
      <c r="E536" s="7" t="s">
        <v>1685</v>
      </c>
      <c r="F536" s="7" t="s">
        <v>1686</v>
      </c>
      <c r="G536" s="7" t="s">
        <v>1687</v>
      </c>
      <c r="H536" s="7">
        <v>23</v>
      </c>
      <c r="I536" s="7" t="s">
        <v>870</v>
      </c>
      <c r="J536" s="7" t="s">
        <v>737</v>
      </c>
    </row>
    <row r="537" spans="1:10" x14ac:dyDescent="0.3">
      <c r="A537" s="6" t="s">
        <v>1610</v>
      </c>
      <c r="B537" s="7" t="s">
        <v>139</v>
      </c>
      <c r="C537" s="7" t="s">
        <v>643</v>
      </c>
      <c r="D537" s="7" t="s">
        <v>32</v>
      </c>
      <c r="E537" s="7" t="s">
        <v>1611</v>
      </c>
      <c r="F537" s="7" t="s">
        <v>1612</v>
      </c>
      <c r="G537" s="7" t="s">
        <v>1613</v>
      </c>
      <c r="H537" s="7">
        <v>7</v>
      </c>
      <c r="I537" s="7" t="s">
        <v>1614</v>
      </c>
      <c r="J537" s="7" t="s">
        <v>174</v>
      </c>
    </row>
    <row r="538" spans="1:10" x14ac:dyDescent="0.3">
      <c r="A538" s="6" t="s">
        <v>1680</v>
      </c>
      <c r="B538" s="7" t="s">
        <v>139</v>
      </c>
      <c r="C538" s="7" t="s">
        <v>643</v>
      </c>
      <c r="D538" s="7" t="s">
        <v>32</v>
      </c>
      <c r="E538" s="7" t="s">
        <v>1677</v>
      </c>
      <c r="F538" s="7" t="s">
        <v>1678</v>
      </c>
      <c r="G538" s="7" t="s">
        <v>1681</v>
      </c>
      <c r="H538" s="7">
        <v>6</v>
      </c>
      <c r="I538" s="7" t="s">
        <v>1682</v>
      </c>
      <c r="J538" s="7" t="s">
        <v>1683</v>
      </c>
    </row>
    <row r="539" spans="1:10" x14ac:dyDescent="0.3">
      <c r="A539" s="6" t="s">
        <v>1676</v>
      </c>
      <c r="B539" s="7" t="s">
        <v>139</v>
      </c>
      <c r="C539" s="7" t="s">
        <v>643</v>
      </c>
      <c r="D539" s="7" t="s">
        <v>32</v>
      </c>
      <c r="E539" s="7" t="s">
        <v>1677</v>
      </c>
      <c r="F539" s="7" t="s">
        <v>1678</v>
      </c>
      <c r="G539" s="7" t="s">
        <v>1679</v>
      </c>
      <c r="H539" s="7">
        <v>3</v>
      </c>
      <c r="I539" s="7" t="s">
        <v>173</v>
      </c>
      <c r="J539" s="7" t="s">
        <v>1384</v>
      </c>
    </row>
    <row r="540" spans="1:10" x14ac:dyDescent="0.3">
      <c r="A540" s="6" t="s">
        <v>1634</v>
      </c>
      <c r="B540" s="7" t="s">
        <v>139</v>
      </c>
      <c r="C540" s="7" t="s">
        <v>643</v>
      </c>
      <c r="D540" s="7" t="s">
        <v>32</v>
      </c>
      <c r="E540" s="7" t="s">
        <v>1631</v>
      </c>
      <c r="F540" s="7" t="s">
        <v>1632</v>
      </c>
      <c r="G540" s="7" t="s">
        <v>1635</v>
      </c>
      <c r="H540" s="7">
        <v>5</v>
      </c>
      <c r="I540" s="7" t="s">
        <v>682</v>
      </c>
      <c r="J540" s="7" t="s">
        <v>617</v>
      </c>
    </row>
    <row r="541" spans="1:10" x14ac:dyDescent="0.3">
      <c r="A541" s="6" t="s">
        <v>1640</v>
      </c>
      <c r="B541" s="7" t="s">
        <v>139</v>
      </c>
      <c r="C541" s="7" t="s">
        <v>643</v>
      </c>
      <c r="D541" s="7" t="s">
        <v>32</v>
      </c>
      <c r="E541" s="7" t="s">
        <v>1641</v>
      </c>
      <c r="F541" s="7"/>
      <c r="G541" s="7" t="s">
        <v>1642</v>
      </c>
      <c r="H541" s="7">
        <v>2</v>
      </c>
      <c r="I541" s="7" t="s">
        <v>418</v>
      </c>
      <c r="J541" s="7" t="s">
        <v>1643</v>
      </c>
    </row>
    <row r="542" spans="1:10" x14ac:dyDescent="0.3">
      <c r="A542" s="6" t="s">
        <v>2489</v>
      </c>
      <c r="B542" s="7" t="s">
        <v>139</v>
      </c>
      <c r="C542" s="7" t="s">
        <v>643</v>
      </c>
      <c r="D542" s="7" t="s">
        <v>32</v>
      </c>
      <c r="E542" s="7" t="s">
        <v>1611</v>
      </c>
      <c r="F542" s="7" t="s">
        <v>1612</v>
      </c>
      <c r="G542" s="7" t="s">
        <v>2490</v>
      </c>
      <c r="H542" s="7">
        <v>7</v>
      </c>
      <c r="I542" s="7" t="s">
        <v>123</v>
      </c>
      <c r="J542" s="7" t="s">
        <v>174</v>
      </c>
    </row>
    <row r="543" spans="1:10" x14ac:dyDescent="0.3">
      <c r="A543" s="6" t="s">
        <v>2448</v>
      </c>
      <c r="B543" s="7" t="s">
        <v>139</v>
      </c>
      <c r="C543" s="7" t="s">
        <v>643</v>
      </c>
      <c r="D543" s="7" t="s">
        <v>32</v>
      </c>
      <c r="E543" s="7" t="s">
        <v>2449</v>
      </c>
      <c r="F543" s="7" t="s">
        <v>2450</v>
      </c>
      <c r="G543" s="7" t="s">
        <v>2451</v>
      </c>
      <c r="H543" s="7">
        <v>3</v>
      </c>
      <c r="I543" s="7" t="s">
        <v>2454</v>
      </c>
      <c r="J543" s="7" t="s">
        <v>174</v>
      </c>
    </row>
    <row r="544" spans="1:10" x14ac:dyDescent="0.3">
      <c r="A544" s="6" t="s">
        <v>2476</v>
      </c>
      <c r="B544" s="7" t="s">
        <v>139</v>
      </c>
      <c r="C544" s="7" t="s">
        <v>643</v>
      </c>
      <c r="D544" s="7" t="s">
        <v>32</v>
      </c>
      <c r="E544" s="7" t="s">
        <v>2477</v>
      </c>
      <c r="F544" s="7" t="s">
        <v>2478</v>
      </c>
      <c r="G544" s="7" t="s">
        <v>2479</v>
      </c>
      <c r="H544" s="7">
        <v>10</v>
      </c>
      <c r="I544" s="7" t="s">
        <v>1851</v>
      </c>
      <c r="J544" s="7" t="s">
        <v>2175</v>
      </c>
    </row>
    <row r="545" spans="1:10" x14ac:dyDescent="0.3">
      <c r="A545" s="6" t="s">
        <v>1636</v>
      </c>
      <c r="B545" s="7" t="s">
        <v>139</v>
      </c>
      <c r="C545" s="7" t="s">
        <v>643</v>
      </c>
      <c r="D545" s="7" t="s">
        <v>32</v>
      </c>
      <c r="E545" s="7" t="s">
        <v>1637</v>
      </c>
      <c r="F545" s="7" t="s">
        <v>1638</v>
      </c>
      <c r="G545" s="7" t="s">
        <v>1639</v>
      </c>
      <c r="H545" s="7">
        <v>7</v>
      </c>
      <c r="I545" s="7" t="s">
        <v>1304</v>
      </c>
      <c r="J545" s="7" t="s">
        <v>422</v>
      </c>
    </row>
    <row r="546" spans="1:10" x14ac:dyDescent="0.3">
      <c r="A546" s="6" t="s">
        <v>1578</v>
      </c>
      <c r="B546" s="7" t="s">
        <v>139</v>
      </c>
      <c r="C546" s="7" t="s">
        <v>643</v>
      </c>
      <c r="D546" s="7" t="s">
        <v>32</v>
      </c>
      <c r="E546" s="7" t="s">
        <v>1579</v>
      </c>
      <c r="F546" s="7" t="s">
        <v>1580</v>
      </c>
      <c r="G546" s="7" t="s">
        <v>1581</v>
      </c>
      <c r="H546" s="7">
        <v>13</v>
      </c>
      <c r="I546" s="7" t="s">
        <v>202</v>
      </c>
      <c r="J546" s="7" t="s">
        <v>493</v>
      </c>
    </row>
    <row r="547" spans="1:10" x14ac:dyDescent="0.3">
      <c r="A547" s="6" t="s">
        <v>1662</v>
      </c>
      <c r="B547" s="7" t="s">
        <v>139</v>
      </c>
      <c r="C547" s="7" t="s">
        <v>643</v>
      </c>
      <c r="D547" s="7" t="s">
        <v>32</v>
      </c>
      <c r="E547" s="7" t="s">
        <v>1663</v>
      </c>
      <c r="F547" s="7" t="s">
        <v>1664</v>
      </c>
      <c r="G547" s="7" t="s">
        <v>1665</v>
      </c>
      <c r="H547" s="7">
        <v>28</v>
      </c>
      <c r="I547" s="7" t="s">
        <v>1151</v>
      </c>
      <c r="J547" s="7" t="s">
        <v>514</v>
      </c>
    </row>
    <row r="548" spans="1:10" x14ac:dyDescent="0.3">
      <c r="A548" s="6" t="s">
        <v>1630</v>
      </c>
      <c r="B548" s="7" t="s">
        <v>139</v>
      </c>
      <c r="C548" s="7" t="s">
        <v>643</v>
      </c>
      <c r="D548" s="7" t="s">
        <v>32</v>
      </c>
      <c r="E548" s="7" t="s">
        <v>1631</v>
      </c>
      <c r="F548" s="7" t="s">
        <v>1632</v>
      </c>
      <c r="G548" s="7" t="s">
        <v>1633</v>
      </c>
      <c r="H548" s="7">
        <v>6</v>
      </c>
      <c r="I548" s="7" t="s">
        <v>1389</v>
      </c>
      <c r="J548" s="7" t="s">
        <v>617</v>
      </c>
    </row>
    <row r="549" spans="1:10" x14ac:dyDescent="0.3">
      <c r="A549" s="6" t="s">
        <v>2469</v>
      </c>
      <c r="B549" s="7" t="s">
        <v>139</v>
      </c>
      <c r="C549" s="7" t="s">
        <v>643</v>
      </c>
      <c r="D549" s="7" t="s">
        <v>32</v>
      </c>
      <c r="E549" s="7" t="s">
        <v>2470</v>
      </c>
      <c r="F549" s="7" t="s">
        <v>2471</v>
      </c>
      <c r="G549" s="7" t="s">
        <v>2472</v>
      </c>
      <c r="H549" s="7">
        <v>7</v>
      </c>
      <c r="I549" s="7" t="s">
        <v>2475</v>
      </c>
      <c r="J549" s="7" t="s">
        <v>185</v>
      </c>
    </row>
    <row r="550" spans="1:10" x14ac:dyDescent="0.3">
      <c r="A550" s="6" t="s">
        <v>2522</v>
      </c>
      <c r="B550" s="7" t="s">
        <v>139</v>
      </c>
      <c r="C550" s="7" t="s">
        <v>643</v>
      </c>
      <c r="D550" s="7" t="s">
        <v>32</v>
      </c>
      <c r="E550" s="7" t="s">
        <v>2523</v>
      </c>
      <c r="F550" s="7" t="s">
        <v>1039</v>
      </c>
      <c r="G550" s="7" t="s">
        <v>2524</v>
      </c>
      <c r="H550" s="7">
        <v>12</v>
      </c>
      <c r="I550" s="7" t="s">
        <v>148</v>
      </c>
      <c r="J550" s="7" t="s">
        <v>391</v>
      </c>
    </row>
    <row r="551" spans="1:10" x14ac:dyDescent="0.3">
      <c r="A551" s="6" t="s">
        <v>2516</v>
      </c>
      <c r="B551" s="7" t="s">
        <v>139</v>
      </c>
      <c r="C551" s="7" t="s">
        <v>643</v>
      </c>
      <c r="D551" s="7" t="s">
        <v>32</v>
      </c>
      <c r="E551" s="7" t="s">
        <v>2517</v>
      </c>
      <c r="F551" s="7" t="s">
        <v>2518</v>
      </c>
      <c r="G551" s="7" t="s">
        <v>2519</v>
      </c>
      <c r="H551" s="7">
        <v>14</v>
      </c>
      <c r="I551" s="7" t="s">
        <v>427</v>
      </c>
      <c r="J551" s="7" t="s">
        <v>262</v>
      </c>
    </row>
    <row r="552" spans="1:10" x14ac:dyDescent="0.3">
      <c r="A552" s="6" t="s">
        <v>2534</v>
      </c>
      <c r="B552" s="7" t="s">
        <v>139</v>
      </c>
      <c r="C552" s="7" t="s">
        <v>643</v>
      </c>
      <c r="D552" s="7" t="s">
        <v>32</v>
      </c>
      <c r="E552" s="7" t="s">
        <v>755</v>
      </c>
      <c r="F552" s="7" t="s">
        <v>756</v>
      </c>
      <c r="G552" s="7" t="s">
        <v>2535</v>
      </c>
      <c r="H552" s="7">
        <v>12</v>
      </c>
      <c r="I552" s="7" t="s">
        <v>148</v>
      </c>
      <c r="J552" s="7" t="s">
        <v>174</v>
      </c>
    </row>
    <row r="553" spans="1:10" x14ac:dyDescent="0.3">
      <c r="A553" s="6" t="s">
        <v>1606</v>
      </c>
      <c r="B553" s="7" t="s">
        <v>139</v>
      </c>
      <c r="C553" s="7" t="s">
        <v>643</v>
      </c>
      <c r="D553" s="7" t="s">
        <v>32</v>
      </c>
      <c r="E553" s="7" t="s">
        <v>1607</v>
      </c>
      <c r="F553" s="7" t="s">
        <v>1608</v>
      </c>
      <c r="G553" s="7" t="s">
        <v>1609</v>
      </c>
      <c r="H553" s="7">
        <v>9</v>
      </c>
      <c r="I553" s="7" t="s">
        <v>148</v>
      </c>
      <c r="J553" s="7" t="s">
        <v>174</v>
      </c>
    </row>
    <row r="554" spans="1:10" x14ac:dyDescent="0.3">
      <c r="A554" s="6" t="s">
        <v>2482</v>
      </c>
      <c r="B554" s="7" t="s">
        <v>139</v>
      </c>
      <c r="C554" s="7" t="s">
        <v>643</v>
      </c>
      <c r="D554" s="7" t="s">
        <v>32</v>
      </c>
      <c r="E554" s="7" t="s">
        <v>2483</v>
      </c>
      <c r="F554" s="7" t="s">
        <v>2484</v>
      </c>
      <c r="G554" s="7" t="s">
        <v>2485</v>
      </c>
      <c r="H554" s="7">
        <v>9</v>
      </c>
      <c r="I554" s="7" t="s">
        <v>2487</v>
      </c>
      <c r="J554" s="7" t="s">
        <v>2488</v>
      </c>
    </row>
    <row r="555" spans="1:10" x14ac:dyDescent="0.3">
      <c r="A555" s="6" t="s">
        <v>2512</v>
      </c>
      <c r="B555" s="7" t="s">
        <v>139</v>
      </c>
      <c r="C555" s="7" t="s">
        <v>643</v>
      </c>
      <c r="D555" s="7" t="s">
        <v>32</v>
      </c>
      <c r="E555" s="7" t="s">
        <v>1631</v>
      </c>
      <c r="F555" s="7" t="s">
        <v>1632</v>
      </c>
      <c r="G555" s="7" t="s">
        <v>2513</v>
      </c>
      <c r="H555" s="7">
        <v>3</v>
      </c>
      <c r="I555" s="7" t="s">
        <v>427</v>
      </c>
      <c r="J555" s="7" t="s">
        <v>2515</v>
      </c>
    </row>
    <row r="556" spans="1:10" x14ac:dyDescent="0.3">
      <c r="A556" s="6" t="s">
        <v>2442</v>
      </c>
      <c r="B556" s="7" t="s">
        <v>139</v>
      </c>
      <c r="C556" s="7" t="s">
        <v>643</v>
      </c>
      <c r="D556" s="7" t="s">
        <v>32</v>
      </c>
      <c r="E556" s="7" t="s">
        <v>2443</v>
      </c>
      <c r="F556" s="7" t="s">
        <v>2444</v>
      </c>
      <c r="G556" s="7" t="s">
        <v>2445</v>
      </c>
      <c r="H556" s="7">
        <v>1</v>
      </c>
      <c r="I556" s="7" t="s">
        <v>2447</v>
      </c>
      <c r="J556" s="7" t="s">
        <v>144</v>
      </c>
    </row>
    <row r="557" spans="1:10" x14ac:dyDescent="0.3">
      <c r="A557" s="6" t="s">
        <v>1582</v>
      </c>
      <c r="B557" s="7" t="s">
        <v>139</v>
      </c>
      <c r="C557" s="7" t="s">
        <v>643</v>
      </c>
      <c r="D557" s="7" t="s">
        <v>32</v>
      </c>
      <c r="E557" s="7" t="s">
        <v>1583</v>
      </c>
      <c r="F557" s="7" t="s">
        <v>1584</v>
      </c>
      <c r="G557" s="7" t="s">
        <v>1585</v>
      </c>
      <c r="H557" s="7">
        <v>17</v>
      </c>
      <c r="I557" s="7" t="s">
        <v>457</v>
      </c>
      <c r="J557" s="7" t="s">
        <v>1586</v>
      </c>
    </row>
    <row r="558" spans="1:10" x14ac:dyDescent="0.3">
      <c r="A558" s="6" t="s">
        <v>1587</v>
      </c>
      <c r="B558" s="7" t="s">
        <v>139</v>
      </c>
      <c r="C558" s="7" t="s">
        <v>643</v>
      </c>
      <c r="D558" s="7" t="s">
        <v>32</v>
      </c>
      <c r="E558" s="7" t="s">
        <v>1583</v>
      </c>
      <c r="F558" s="7" t="s">
        <v>1584</v>
      </c>
      <c r="G558" s="7" t="s">
        <v>1588</v>
      </c>
      <c r="H558" s="7">
        <v>7</v>
      </c>
      <c r="I558" s="7" t="s">
        <v>967</v>
      </c>
      <c r="J558" s="7" t="s">
        <v>1589</v>
      </c>
    </row>
    <row r="559" spans="1:10" x14ac:dyDescent="0.3">
      <c r="A559" s="6" t="s">
        <v>1590</v>
      </c>
      <c r="B559" s="7" t="s">
        <v>139</v>
      </c>
      <c r="C559" s="7" t="s">
        <v>643</v>
      </c>
      <c r="D559" s="7" t="s">
        <v>32</v>
      </c>
      <c r="E559" s="7" t="s">
        <v>1591</v>
      </c>
      <c r="F559" s="7" t="s">
        <v>1592</v>
      </c>
      <c r="G559" s="7" t="s">
        <v>1593</v>
      </c>
      <c r="H559" s="7">
        <v>20</v>
      </c>
      <c r="I559" s="7" t="s">
        <v>247</v>
      </c>
      <c r="J559" s="7" t="s">
        <v>262</v>
      </c>
    </row>
    <row r="560" spans="1:10" x14ac:dyDescent="0.3">
      <c r="A560" s="6" t="s">
        <v>2455</v>
      </c>
      <c r="B560" s="7" t="s">
        <v>139</v>
      </c>
      <c r="C560" s="7" t="s">
        <v>643</v>
      </c>
      <c r="D560" s="7" t="s">
        <v>32</v>
      </c>
      <c r="E560" s="7" t="s">
        <v>2449</v>
      </c>
      <c r="F560" s="7" t="s">
        <v>2450</v>
      </c>
      <c r="G560" s="7" t="s">
        <v>2456</v>
      </c>
      <c r="H560" s="7">
        <v>5</v>
      </c>
      <c r="I560" s="7" t="s">
        <v>2458</v>
      </c>
      <c r="J560" s="7" t="s">
        <v>391</v>
      </c>
    </row>
    <row r="561" spans="1:10" x14ac:dyDescent="0.3">
      <c r="A561" s="6" t="s">
        <v>2459</v>
      </c>
      <c r="B561" s="7" t="s">
        <v>139</v>
      </c>
      <c r="C561" s="7" t="s">
        <v>643</v>
      </c>
      <c r="D561" s="7" t="s">
        <v>32</v>
      </c>
      <c r="E561" s="7" t="s">
        <v>1595</v>
      </c>
      <c r="F561" s="7" t="s">
        <v>1596</v>
      </c>
      <c r="G561" s="7" t="s">
        <v>2460</v>
      </c>
      <c r="H561" s="7">
        <v>1</v>
      </c>
      <c r="I561" s="7" t="s">
        <v>184</v>
      </c>
      <c r="J561" s="7" t="s">
        <v>262</v>
      </c>
    </row>
    <row r="562" spans="1:10" x14ac:dyDescent="0.3">
      <c r="A562" s="6" t="s">
        <v>1594</v>
      </c>
      <c r="B562" s="7" t="s">
        <v>139</v>
      </c>
      <c r="C562" s="7" t="s">
        <v>643</v>
      </c>
      <c r="D562" s="7" t="s">
        <v>32</v>
      </c>
      <c r="E562" s="7" t="s">
        <v>1595</v>
      </c>
      <c r="F562" s="7" t="s">
        <v>1596</v>
      </c>
      <c r="G562" s="7" t="s">
        <v>1597</v>
      </c>
      <c r="H562" s="7">
        <v>18</v>
      </c>
      <c r="I562" s="7" t="s">
        <v>682</v>
      </c>
      <c r="J562" s="7" t="s">
        <v>679</v>
      </c>
    </row>
    <row r="563" spans="1:10" x14ac:dyDescent="0.3">
      <c r="A563" s="6" t="s">
        <v>1598</v>
      </c>
      <c r="B563" s="7" t="s">
        <v>139</v>
      </c>
      <c r="C563" s="7" t="s">
        <v>643</v>
      </c>
      <c r="D563" s="7" t="s">
        <v>32</v>
      </c>
      <c r="E563" s="7" t="s">
        <v>1595</v>
      </c>
      <c r="F563" s="7" t="s">
        <v>1596</v>
      </c>
      <c r="G563" s="7" t="s">
        <v>1599</v>
      </c>
      <c r="H563" s="7">
        <v>16</v>
      </c>
      <c r="I563" s="7" t="s">
        <v>1600</v>
      </c>
      <c r="J563" s="7" t="s">
        <v>1601</v>
      </c>
    </row>
    <row r="564" spans="1:10" x14ac:dyDescent="0.3">
      <c r="A564" s="6" t="s">
        <v>2462</v>
      </c>
      <c r="B564" s="7" t="s">
        <v>139</v>
      </c>
      <c r="C564" s="7" t="s">
        <v>643</v>
      </c>
      <c r="D564" s="7" t="s">
        <v>32</v>
      </c>
      <c r="E564" s="7" t="s">
        <v>2463</v>
      </c>
      <c r="F564" s="7" t="s">
        <v>2464</v>
      </c>
      <c r="G564" s="7" t="s">
        <v>2465</v>
      </c>
      <c r="H564" s="7">
        <v>6</v>
      </c>
      <c r="I564" s="7" t="s">
        <v>224</v>
      </c>
      <c r="J564" s="7" t="s">
        <v>2468</v>
      </c>
    </row>
    <row r="565" spans="1:10" x14ac:dyDescent="0.3">
      <c r="A565" s="6" t="s">
        <v>1602</v>
      </c>
      <c r="B565" s="7" t="s">
        <v>139</v>
      </c>
      <c r="C565" s="7" t="s">
        <v>643</v>
      </c>
      <c r="D565" s="7" t="s">
        <v>32</v>
      </c>
      <c r="E565" s="7" t="s">
        <v>1603</v>
      </c>
      <c r="F565" s="7" t="s">
        <v>358</v>
      </c>
      <c r="G565" s="7" t="s">
        <v>1604</v>
      </c>
      <c r="H565" s="7">
        <v>14</v>
      </c>
      <c r="I565" s="7" t="s">
        <v>1605</v>
      </c>
      <c r="J565" s="7" t="s">
        <v>1540</v>
      </c>
    </row>
    <row r="566" spans="1:10" ht="15" x14ac:dyDescent="0.3">
      <c r="A566" s="10"/>
      <c r="B566" s="11"/>
      <c r="C566" s="11"/>
      <c r="D566" s="11" t="s">
        <v>2742</v>
      </c>
      <c r="E566" s="11" t="s">
        <v>2714</v>
      </c>
      <c r="F566" s="11"/>
      <c r="G566" s="11" t="s">
        <v>2741</v>
      </c>
      <c r="H566" s="11">
        <v>695</v>
      </c>
      <c r="I566" s="11"/>
      <c r="J566" s="11"/>
    </row>
    <row r="567" spans="1:10" x14ac:dyDescent="0.3">
      <c r="A567" s="6" t="s">
        <v>2547</v>
      </c>
      <c r="B567" s="7" t="s">
        <v>139</v>
      </c>
      <c r="C567" s="7" t="s">
        <v>643</v>
      </c>
      <c r="D567" s="7" t="s">
        <v>34</v>
      </c>
      <c r="E567" s="7" t="s">
        <v>2548</v>
      </c>
      <c r="F567" s="7" t="s">
        <v>2549</v>
      </c>
      <c r="G567" s="7" t="s">
        <v>2550</v>
      </c>
      <c r="H567" s="7">
        <v>18</v>
      </c>
      <c r="I567" s="7" t="s">
        <v>2553</v>
      </c>
      <c r="J567" s="7" t="s">
        <v>678</v>
      </c>
    </row>
    <row r="568" spans="1:10" x14ac:dyDescent="0.3">
      <c r="A568" s="6" t="s">
        <v>2543</v>
      </c>
      <c r="B568" s="7" t="s">
        <v>139</v>
      </c>
      <c r="C568" s="7" t="s">
        <v>643</v>
      </c>
      <c r="D568" s="7" t="s">
        <v>34</v>
      </c>
      <c r="E568" s="7" t="s">
        <v>2148</v>
      </c>
      <c r="F568" s="7" t="s">
        <v>366</v>
      </c>
      <c r="G568" s="7" t="s">
        <v>2544</v>
      </c>
      <c r="H568" s="7">
        <v>2</v>
      </c>
      <c r="I568" s="7" t="s">
        <v>2319</v>
      </c>
      <c r="J568" s="7" t="s">
        <v>1304</v>
      </c>
    </row>
    <row r="569" spans="1:10" x14ac:dyDescent="0.3">
      <c r="A569" s="6" t="s">
        <v>2538</v>
      </c>
      <c r="B569" s="7" t="s">
        <v>139</v>
      </c>
      <c r="C569" s="7" t="s">
        <v>643</v>
      </c>
      <c r="D569" s="7" t="s">
        <v>34</v>
      </c>
      <c r="E569" s="7" t="s">
        <v>2539</v>
      </c>
      <c r="F569" s="7" t="s">
        <v>2540</v>
      </c>
      <c r="G569" s="7" t="s">
        <v>2541</v>
      </c>
      <c r="H569" s="7">
        <v>1</v>
      </c>
      <c r="I569" s="7" t="s">
        <v>1715</v>
      </c>
      <c r="J569" s="7" t="s">
        <v>519</v>
      </c>
    </row>
    <row r="570" spans="1:10" ht="15" x14ac:dyDescent="0.3">
      <c r="A570" s="10"/>
      <c r="B570" s="11"/>
      <c r="C570" s="11"/>
      <c r="D570" s="11" t="s">
        <v>2743</v>
      </c>
      <c r="E570" s="11" t="s">
        <v>2714</v>
      </c>
      <c r="F570" s="11"/>
      <c r="G570" s="11" t="s">
        <v>2744</v>
      </c>
      <c r="H570" s="11">
        <v>21</v>
      </c>
      <c r="I570" s="11"/>
      <c r="J570" s="11"/>
    </row>
    <row r="571" spans="1:10" x14ac:dyDescent="0.3">
      <c r="A571" s="6" t="s">
        <v>2566</v>
      </c>
      <c r="B571" s="7" t="s">
        <v>139</v>
      </c>
      <c r="C571" s="7"/>
      <c r="D571" s="7" t="s">
        <v>35</v>
      </c>
      <c r="E571" s="7" t="s">
        <v>2567</v>
      </c>
      <c r="F571" s="7" t="s">
        <v>2568</v>
      </c>
      <c r="G571" s="7" t="s">
        <v>2569</v>
      </c>
      <c r="H571" s="7">
        <v>42</v>
      </c>
      <c r="I571" s="7" t="s">
        <v>396</v>
      </c>
      <c r="J571" s="7" t="s">
        <v>174</v>
      </c>
    </row>
    <row r="572" spans="1:10" x14ac:dyDescent="0.3">
      <c r="A572" s="6" t="s">
        <v>2577</v>
      </c>
      <c r="B572" s="7" t="s">
        <v>139</v>
      </c>
      <c r="C572" s="7"/>
      <c r="D572" s="7" t="s">
        <v>35</v>
      </c>
      <c r="E572" s="7" t="s">
        <v>2578</v>
      </c>
      <c r="F572" s="7" t="s">
        <v>2579</v>
      </c>
      <c r="G572" s="7" t="s">
        <v>2580</v>
      </c>
      <c r="H572" s="7">
        <v>4</v>
      </c>
      <c r="I572" s="7" t="s">
        <v>2583</v>
      </c>
      <c r="J572" s="7" t="s">
        <v>584</v>
      </c>
    </row>
    <row r="573" spans="1:10" x14ac:dyDescent="0.3">
      <c r="A573" s="6" t="s">
        <v>2608</v>
      </c>
      <c r="B573" s="7" t="s">
        <v>139</v>
      </c>
      <c r="C573" s="7"/>
      <c r="D573" s="7" t="s">
        <v>35</v>
      </c>
      <c r="E573" s="7" t="s">
        <v>2609</v>
      </c>
      <c r="F573" s="7" t="s">
        <v>1129</v>
      </c>
      <c r="G573" s="7" t="s">
        <v>2610</v>
      </c>
      <c r="H573" s="7">
        <v>3</v>
      </c>
      <c r="I573" s="7" t="s">
        <v>202</v>
      </c>
      <c r="J573" s="7" t="s">
        <v>2612</v>
      </c>
    </row>
    <row r="574" spans="1:10" x14ac:dyDescent="0.3">
      <c r="A574" s="6" t="s">
        <v>2561</v>
      </c>
      <c r="B574" s="7" t="s">
        <v>139</v>
      </c>
      <c r="C574" s="7"/>
      <c r="D574" s="7" t="s">
        <v>35</v>
      </c>
      <c r="E574" s="7" t="s">
        <v>2562</v>
      </c>
      <c r="F574" s="7" t="s">
        <v>475</v>
      </c>
      <c r="G574" s="7" t="s">
        <v>2563</v>
      </c>
      <c r="H574" s="7">
        <v>2</v>
      </c>
      <c r="I574" s="7" t="s">
        <v>1715</v>
      </c>
      <c r="J574" s="7" t="s">
        <v>2565</v>
      </c>
    </row>
    <row r="575" spans="1:10" x14ac:dyDescent="0.3">
      <c r="A575" s="6" t="s">
        <v>2588</v>
      </c>
      <c r="B575" s="7" t="s">
        <v>139</v>
      </c>
      <c r="C575" s="7"/>
      <c r="D575" s="7" t="s">
        <v>35</v>
      </c>
      <c r="E575" s="7" t="s">
        <v>2589</v>
      </c>
      <c r="F575" s="7" t="s">
        <v>2590</v>
      </c>
      <c r="G575" s="7" t="s">
        <v>2591</v>
      </c>
      <c r="H575" s="7">
        <v>2</v>
      </c>
      <c r="I575" s="7" t="s">
        <v>444</v>
      </c>
      <c r="J575" s="7" t="s">
        <v>2594</v>
      </c>
    </row>
    <row r="576" spans="1:10" x14ac:dyDescent="0.3">
      <c r="A576" s="6" t="s">
        <v>2554</v>
      </c>
      <c r="B576" s="7" t="s">
        <v>139</v>
      </c>
      <c r="C576" s="7"/>
      <c r="D576" s="7" t="s">
        <v>35</v>
      </c>
      <c r="E576" s="7" t="s">
        <v>2555</v>
      </c>
      <c r="F576" s="7" t="s">
        <v>2556</v>
      </c>
      <c r="G576" s="7" t="s">
        <v>2557</v>
      </c>
      <c r="H576" s="7">
        <v>11</v>
      </c>
      <c r="I576" s="7" t="s">
        <v>647</v>
      </c>
      <c r="J576" s="7" t="s">
        <v>924</v>
      </c>
    </row>
    <row r="577" spans="1:10" x14ac:dyDescent="0.3">
      <c r="A577" s="6" t="s">
        <v>2602</v>
      </c>
      <c r="B577" s="7" t="s">
        <v>139</v>
      </c>
      <c r="C577" s="7"/>
      <c r="D577" s="7" t="s">
        <v>35</v>
      </c>
      <c r="E577" s="7" t="s">
        <v>2603</v>
      </c>
      <c r="F577" s="7" t="s">
        <v>2604</v>
      </c>
      <c r="G577" s="7" t="s">
        <v>2605</v>
      </c>
      <c r="H577" s="7">
        <v>1</v>
      </c>
      <c r="I577" s="7" t="s">
        <v>1184</v>
      </c>
      <c r="J577" s="7" t="s">
        <v>2607</v>
      </c>
    </row>
    <row r="578" spans="1:10" x14ac:dyDescent="0.3">
      <c r="A578" s="6" t="s">
        <v>2571</v>
      </c>
      <c r="B578" s="7" t="s">
        <v>139</v>
      </c>
      <c r="C578" s="7"/>
      <c r="D578" s="7" t="s">
        <v>35</v>
      </c>
      <c r="E578" s="7" t="s">
        <v>2572</v>
      </c>
      <c r="F578" s="7" t="s">
        <v>2573</v>
      </c>
      <c r="G578" s="7" t="s">
        <v>2574</v>
      </c>
      <c r="H578" s="7">
        <v>7</v>
      </c>
      <c r="I578" s="7" t="s">
        <v>184</v>
      </c>
      <c r="J578" s="7" t="s">
        <v>1470</v>
      </c>
    </row>
    <row r="579" spans="1:10" x14ac:dyDescent="0.3">
      <c r="A579" s="6" t="s">
        <v>2584</v>
      </c>
      <c r="B579" s="7" t="s">
        <v>139</v>
      </c>
      <c r="C579" s="7"/>
      <c r="D579" s="7" t="s">
        <v>35</v>
      </c>
      <c r="E579" s="7" t="s">
        <v>2585</v>
      </c>
      <c r="F579" s="7" t="s">
        <v>929</v>
      </c>
      <c r="G579" s="7" t="s">
        <v>2586</v>
      </c>
      <c r="H579" s="7">
        <v>1</v>
      </c>
      <c r="I579" s="7" t="s">
        <v>207</v>
      </c>
      <c r="J579" s="7" t="s">
        <v>962</v>
      </c>
    </row>
    <row r="580" spans="1:10" x14ac:dyDescent="0.3">
      <c r="A580" s="6" t="s">
        <v>2595</v>
      </c>
      <c r="B580" s="7" t="s">
        <v>139</v>
      </c>
      <c r="C580" s="7" t="s">
        <v>2596</v>
      </c>
      <c r="D580" s="7" t="s">
        <v>35</v>
      </c>
      <c r="E580" s="7" t="s">
        <v>2597</v>
      </c>
      <c r="F580" s="7" t="s">
        <v>2598</v>
      </c>
      <c r="G580" s="7" t="s">
        <v>2599</v>
      </c>
      <c r="H580" s="7">
        <v>10</v>
      </c>
      <c r="I580" s="7" t="s">
        <v>257</v>
      </c>
      <c r="J580" s="7" t="s">
        <v>2601</v>
      </c>
    </row>
    <row r="581" spans="1:10" ht="15" x14ac:dyDescent="0.3">
      <c r="A581" s="10"/>
      <c r="B581" s="11"/>
      <c r="C581" s="11"/>
      <c r="D581" s="11" t="s">
        <v>2745</v>
      </c>
      <c r="E581" s="11" t="s">
        <v>2714</v>
      </c>
      <c r="F581" s="11"/>
      <c r="G581" s="11" t="s">
        <v>2746</v>
      </c>
      <c r="H581" s="11">
        <v>83</v>
      </c>
      <c r="I581" s="11"/>
      <c r="J581" s="11"/>
    </row>
    <row r="582" spans="1:10" x14ac:dyDescent="0.3">
      <c r="A582" s="6" t="s">
        <v>2613</v>
      </c>
      <c r="B582" s="7" t="s">
        <v>139</v>
      </c>
      <c r="C582" s="7" t="s">
        <v>643</v>
      </c>
      <c r="D582" s="7" t="s">
        <v>36</v>
      </c>
      <c r="E582" s="7" t="s">
        <v>576</v>
      </c>
      <c r="F582" s="7" t="s">
        <v>577</v>
      </c>
      <c r="G582" s="7" t="s">
        <v>2614</v>
      </c>
      <c r="H582" s="7"/>
      <c r="I582" s="7" t="s">
        <v>602</v>
      </c>
      <c r="J582" s="7" t="s">
        <v>871</v>
      </c>
    </row>
    <row r="583" spans="1:10" ht="15" x14ac:dyDescent="0.3">
      <c r="A583" s="10"/>
      <c r="B583" s="11"/>
      <c r="C583" s="11"/>
      <c r="D583" s="11" t="s">
        <v>2747</v>
      </c>
      <c r="E583" s="11" t="s">
        <v>2714</v>
      </c>
      <c r="F583" s="11"/>
      <c r="G583" s="11" t="s">
        <v>2715</v>
      </c>
      <c r="H583" s="11">
        <v>0</v>
      </c>
      <c r="I583" s="11"/>
      <c r="J583" s="11"/>
    </row>
    <row r="584" spans="1:10" x14ac:dyDescent="0.3">
      <c r="A584" s="6" t="s">
        <v>2623</v>
      </c>
      <c r="B584" s="7" t="s">
        <v>139</v>
      </c>
      <c r="C584" s="7" t="s">
        <v>643</v>
      </c>
      <c r="D584" s="7" t="s">
        <v>37</v>
      </c>
      <c r="E584" s="7" t="s">
        <v>2042</v>
      </c>
      <c r="F584" s="7" t="s">
        <v>577</v>
      </c>
      <c r="G584" s="7" t="s">
        <v>2624</v>
      </c>
      <c r="H584" s="7">
        <v>4</v>
      </c>
      <c r="I584" s="7" t="s">
        <v>1383</v>
      </c>
      <c r="J584" s="7" t="s">
        <v>1304</v>
      </c>
    </row>
    <row r="585" spans="1:10" x14ac:dyDescent="0.3">
      <c r="A585" s="6" t="s">
        <v>2618</v>
      </c>
      <c r="B585" s="7" t="s">
        <v>139</v>
      </c>
      <c r="C585" s="7" t="s">
        <v>643</v>
      </c>
      <c r="D585" s="7" t="s">
        <v>37</v>
      </c>
      <c r="E585" s="7" t="s">
        <v>1616</v>
      </c>
      <c r="F585" s="7" t="s">
        <v>2619</v>
      </c>
      <c r="G585" s="7" t="s">
        <v>2620</v>
      </c>
      <c r="H585" s="7">
        <v>7</v>
      </c>
      <c r="I585" s="7" t="s">
        <v>900</v>
      </c>
      <c r="J585" s="7" t="s">
        <v>144</v>
      </c>
    </row>
    <row r="586" spans="1:10" x14ac:dyDescent="0.3">
      <c r="A586" s="6" t="s">
        <v>2628</v>
      </c>
      <c r="B586" s="7" t="s">
        <v>139</v>
      </c>
      <c r="C586" s="7" t="s">
        <v>643</v>
      </c>
      <c r="D586" s="7" t="s">
        <v>37</v>
      </c>
      <c r="E586" s="7" t="s">
        <v>2629</v>
      </c>
      <c r="F586" s="7" t="s">
        <v>1142</v>
      </c>
      <c r="G586" s="7" t="s">
        <v>2630</v>
      </c>
      <c r="H586" s="7">
        <v>6</v>
      </c>
      <c r="I586" s="7" t="s">
        <v>2634</v>
      </c>
      <c r="J586" s="7" t="s">
        <v>2635</v>
      </c>
    </row>
    <row r="587" spans="1:10" ht="15" x14ac:dyDescent="0.3">
      <c r="A587" s="10"/>
      <c r="B587" s="11"/>
      <c r="C587" s="11"/>
      <c r="D587" s="11" t="s">
        <v>2748</v>
      </c>
      <c r="E587" s="11" t="s">
        <v>2714</v>
      </c>
      <c r="F587" s="11"/>
      <c r="G587" s="11" t="s">
        <v>2744</v>
      </c>
      <c r="H587" s="11">
        <v>17</v>
      </c>
      <c r="I587" s="11"/>
      <c r="J587" s="11"/>
    </row>
    <row r="588" spans="1:10" x14ac:dyDescent="0.3">
      <c r="A588" s="6" t="s">
        <v>2636</v>
      </c>
      <c r="B588" s="7" t="s">
        <v>2637</v>
      </c>
      <c r="C588" s="7" t="s">
        <v>2638</v>
      </c>
      <c r="D588" s="7" t="s">
        <v>38</v>
      </c>
      <c r="E588" s="7" t="s">
        <v>2639</v>
      </c>
      <c r="F588" s="7" t="s">
        <v>1142</v>
      </c>
      <c r="G588" s="7" t="s">
        <v>2640</v>
      </c>
      <c r="H588" s="7">
        <v>3</v>
      </c>
      <c r="I588" s="7" t="s">
        <v>2644</v>
      </c>
      <c r="J588" s="7" t="s">
        <v>1260</v>
      </c>
    </row>
    <row r="589" spans="1:10" ht="15" x14ac:dyDescent="0.3">
      <c r="A589" s="10"/>
      <c r="B589" s="11"/>
      <c r="C589" s="11"/>
      <c r="D589" s="11" t="s">
        <v>2749</v>
      </c>
      <c r="E589" s="11" t="s">
        <v>2714</v>
      </c>
      <c r="F589" s="11"/>
      <c r="G589" s="11" t="s">
        <v>2715</v>
      </c>
      <c r="H589" s="11">
        <v>3</v>
      </c>
      <c r="I589" s="11"/>
      <c r="J589" s="11"/>
    </row>
    <row r="590" spans="1:10" ht="15" x14ac:dyDescent="0.3">
      <c r="A590" s="10"/>
      <c r="B590" s="11"/>
      <c r="C590" s="11"/>
      <c r="D590" s="11" t="s">
        <v>39</v>
      </c>
      <c r="E590" s="11" t="s">
        <v>2750</v>
      </c>
      <c r="F590" s="11"/>
      <c r="G590" s="11" t="s">
        <v>2751</v>
      </c>
      <c r="H590" s="11">
        <v>7802</v>
      </c>
      <c r="I590" s="11"/>
      <c r="J590" s="11"/>
    </row>
  </sheetData>
  <hyperlinks>
    <hyperlink ref="A1" location="'Dashboard-R'!A1" display="⬅️ Dashboard Principal" xr:uid="{00000000-0004-0000-0900-000000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0D76-9B2E-475A-859F-7EB79223D883}">
  <sheetPr>
    <tabColor rgb="FFFFFF00"/>
  </sheetPr>
  <dimension ref="A1:F27"/>
  <sheetViews>
    <sheetView workbookViewId="0"/>
  </sheetViews>
  <sheetFormatPr baseColWidth="10" defaultColWidth="8.88671875" defaultRowHeight="14.4" x14ac:dyDescent="0.3"/>
  <cols>
    <col min="1" max="1" width="43" style="15" customWidth="1"/>
    <col min="2" max="3" width="24" style="15" customWidth="1"/>
    <col min="4" max="4" width="12.5546875" style="15" customWidth="1"/>
    <col min="5" max="5" width="8" style="15" customWidth="1"/>
    <col min="6" max="6" width="11.44140625" style="15" customWidth="1"/>
    <col min="7" max="16384" width="8.88671875" style="15"/>
  </cols>
  <sheetData>
    <row r="1" spans="1:6" ht="15" x14ac:dyDescent="0.3">
      <c r="A1" s="51" t="s">
        <v>2</v>
      </c>
      <c r="B1" s="5" t="s">
        <v>3</v>
      </c>
      <c r="C1" s="5" t="s">
        <v>4</v>
      </c>
      <c r="D1" s="5" t="s">
        <v>5</v>
      </c>
      <c r="E1" s="5" t="s">
        <v>6</v>
      </c>
      <c r="F1" s="5" t="s">
        <v>7</v>
      </c>
    </row>
    <row r="2" spans="1:6" x14ac:dyDescent="0.3">
      <c r="A2" s="6" t="s">
        <v>8</v>
      </c>
      <c r="B2" s="7">
        <v>0</v>
      </c>
      <c r="C2" s="7">
        <v>1</v>
      </c>
      <c r="D2" s="7">
        <v>0</v>
      </c>
      <c r="E2" s="8">
        <v>1</v>
      </c>
      <c r="F2" s="7" t="s">
        <v>9</v>
      </c>
    </row>
    <row r="3" spans="1:6" hidden="1" x14ac:dyDescent="0.3">
      <c r="A3" s="6" t="s">
        <v>10</v>
      </c>
      <c r="B3" s="7">
        <v>238</v>
      </c>
      <c r="C3" s="7">
        <v>116</v>
      </c>
      <c r="D3" s="9">
        <v>116</v>
      </c>
      <c r="E3" s="8">
        <v>0</v>
      </c>
      <c r="F3" s="13">
        <v>1</v>
      </c>
    </row>
    <row r="4" spans="1:6" x14ac:dyDescent="0.3">
      <c r="A4" s="6" t="s">
        <v>12</v>
      </c>
      <c r="B4" s="7">
        <v>32</v>
      </c>
      <c r="C4" s="7">
        <v>36</v>
      </c>
      <c r="D4" s="9">
        <v>29</v>
      </c>
      <c r="E4" s="8">
        <v>7</v>
      </c>
      <c r="F4" s="7" t="s">
        <v>13</v>
      </c>
    </row>
    <row r="5" spans="1:6" x14ac:dyDescent="0.3">
      <c r="A5" s="6" t="s">
        <v>14</v>
      </c>
      <c r="B5" s="7">
        <v>0</v>
      </c>
      <c r="C5" s="7">
        <v>2</v>
      </c>
      <c r="D5" s="7">
        <v>0</v>
      </c>
      <c r="E5" s="8">
        <v>2</v>
      </c>
      <c r="F5" s="7" t="s">
        <v>9</v>
      </c>
    </row>
    <row r="6" spans="1:6" x14ac:dyDescent="0.3">
      <c r="A6" s="6" t="s">
        <v>15</v>
      </c>
      <c r="B6" s="7">
        <v>0</v>
      </c>
      <c r="C6" s="7">
        <v>1</v>
      </c>
      <c r="D6" s="7">
        <v>0</v>
      </c>
      <c r="E6" s="8">
        <v>1</v>
      </c>
      <c r="F6" s="7" t="s">
        <v>9</v>
      </c>
    </row>
    <row r="7" spans="1:6" x14ac:dyDescent="0.3">
      <c r="A7" s="6" t="s">
        <v>16</v>
      </c>
      <c r="B7" s="7">
        <v>197</v>
      </c>
      <c r="C7" s="7">
        <v>109</v>
      </c>
      <c r="D7" s="9">
        <v>91</v>
      </c>
      <c r="E7" s="8">
        <v>18</v>
      </c>
      <c r="F7" s="7" t="s">
        <v>17</v>
      </c>
    </row>
    <row r="8" spans="1:6" x14ac:dyDescent="0.3">
      <c r="A8" s="6" t="s">
        <v>18</v>
      </c>
      <c r="B8" s="7">
        <v>91</v>
      </c>
      <c r="C8" s="7">
        <v>68</v>
      </c>
      <c r="D8" s="9">
        <v>42</v>
      </c>
      <c r="E8" s="8">
        <v>26</v>
      </c>
      <c r="F8" s="7" t="s">
        <v>19</v>
      </c>
    </row>
    <row r="9" spans="1:6" x14ac:dyDescent="0.3">
      <c r="A9" s="6" t="s">
        <v>20</v>
      </c>
      <c r="B9" s="7">
        <v>0</v>
      </c>
      <c r="C9" s="7">
        <v>2</v>
      </c>
      <c r="D9" s="7">
        <v>0</v>
      </c>
      <c r="E9" s="8">
        <v>2</v>
      </c>
      <c r="F9" s="7" t="s">
        <v>9</v>
      </c>
    </row>
    <row r="10" spans="1:6" x14ac:dyDescent="0.3">
      <c r="A10" s="6" t="s">
        <v>22</v>
      </c>
      <c r="B10" s="7">
        <v>0</v>
      </c>
      <c r="C10" s="7">
        <v>1</v>
      </c>
      <c r="D10" s="7">
        <v>0</v>
      </c>
      <c r="E10" s="8">
        <v>1</v>
      </c>
      <c r="F10" s="7" t="s">
        <v>9</v>
      </c>
    </row>
    <row r="11" spans="1:6" x14ac:dyDescent="0.3">
      <c r="A11" s="6" t="s">
        <v>23</v>
      </c>
      <c r="B11" s="7">
        <v>0</v>
      </c>
      <c r="C11" s="7">
        <v>1</v>
      </c>
      <c r="D11" s="7">
        <v>0</v>
      </c>
      <c r="E11" s="8">
        <v>1</v>
      </c>
      <c r="F11" s="7" t="s">
        <v>9</v>
      </c>
    </row>
    <row r="12" spans="1:6" x14ac:dyDescent="0.3">
      <c r="A12" s="6" t="s">
        <v>24</v>
      </c>
      <c r="B12" s="7">
        <v>0</v>
      </c>
      <c r="C12" s="7">
        <v>1</v>
      </c>
      <c r="D12" s="7">
        <v>0</v>
      </c>
      <c r="E12" s="8">
        <v>1</v>
      </c>
      <c r="F12" s="7" t="s">
        <v>9</v>
      </c>
    </row>
    <row r="13" spans="1:6" x14ac:dyDescent="0.3">
      <c r="A13" s="6" t="s">
        <v>25</v>
      </c>
      <c r="B13" s="7">
        <v>0</v>
      </c>
      <c r="C13" s="7">
        <v>5</v>
      </c>
      <c r="D13" s="7">
        <v>0</v>
      </c>
      <c r="E13" s="8">
        <v>5</v>
      </c>
      <c r="F13" s="7" t="s">
        <v>9</v>
      </c>
    </row>
    <row r="14" spans="1:6" x14ac:dyDescent="0.3">
      <c r="A14" s="6" t="s">
        <v>26</v>
      </c>
      <c r="B14" s="7">
        <v>0</v>
      </c>
      <c r="C14" s="7">
        <v>9</v>
      </c>
      <c r="D14" s="7">
        <v>0</v>
      </c>
      <c r="E14" s="8">
        <v>9</v>
      </c>
      <c r="F14" s="7" t="s">
        <v>9</v>
      </c>
    </row>
    <row r="15" spans="1:6" x14ac:dyDescent="0.3">
      <c r="A15" s="6" t="s">
        <v>27</v>
      </c>
      <c r="B15" s="7">
        <v>32</v>
      </c>
      <c r="C15" s="7">
        <v>24</v>
      </c>
      <c r="D15" s="9">
        <v>19</v>
      </c>
      <c r="E15" s="8">
        <v>5</v>
      </c>
      <c r="F15" s="7" t="s">
        <v>28</v>
      </c>
    </row>
    <row r="16" spans="1:6" x14ac:dyDescent="0.3">
      <c r="A16" s="6" t="s">
        <v>29</v>
      </c>
      <c r="B16" s="7">
        <v>0</v>
      </c>
      <c r="C16" s="7">
        <v>1</v>
      </c>
      <c r="D16" s="7">
        <v>0</v>
      </c>
      <c r="E16" s="8">
        <v>1</v>
      </c>
      <c r="F16" s="7" t="s">
        <v>9</v>
      </c>
    </row>
    <row r="17" spans="1:6" x14ac:dyDescent="0.3">
      <c r="A17" s="6" t="s">
        <v>30</v>
      </c>
      <c r="B17" s="7">
        <v>46</v>
      </c>
      <c r="C17" s="7">
        <v>47</v>
      </c>
      <c r="D17" s="9">
        <v>39</v>
      </c>
      <c r="E17" s="8">
        <v>8</v>
      </c>
      <c r="F17" s="7" t="s">
        <v>31</v>
      </c>
    </row>
    <row r="18" spans="1:6" x14ac:dyDescent="0.3">
      <c r="A18" s="6" t="s">
        <v>32</v>
      </c>
      <c r="B18" s="7">
        <v>45</v>
      </c>
      <c r="C18" s="7">
        <v>47</v>
      </c>
      <c r="D18" s="9">
        <v>27</v>
      </c>
      <c r="E18" s="8">
        <v>20</v>
      </c>
      <c r="F18" s="7" t="s">
        <v>33</v>
      </c>
    </row>
    <row r="19" spans="1:6" x14ac:dyDescent="0.3">
      <c r="A19" s="6" t="s">
        <v>34</v>
      </c>
      <c r="B19" s="7">
        <v>0</v>
      </c>
      <c r="C19" s="7">
        <v>3</v>
      </c>
      <c r="D19" s="7">
        <v>0</v>
      </c>
      <c r="E19" s="8">
        <v>3</v>
      </c>
      <c r="F19" s="7" t="s">
        <v>9</v>
      </c>
    </row>
    <row r="20" spans="1:6" x14ac:dyDescent="0.3">
      <c r="A20" s="6" t="s">
        <v>36</v>
      </c>
      <c r="B20" s="7">
        <v>0</v>
      </c>
      <c r="C20" s="7">
        <v>1</v>
      </c>
      <c r="D20" s="7">
        <v>0</v>
      </c>
      <c r="E20" s="8">
        <v>1</v>
      </c>
      <c r="F20" s="7" t="s">
        <v>9</v>
      </c>
    </row>
    <row r="21" spans="1:6" x14ac:dyDescent="0.3">
      <c r="A21" s="6" t="s">
        <v>37</v>
      </c>
      <c r="B21" s="7">
        <v>0</v>
      </c>
      <c r="C21" s="7">
        <v>3</v>
      </c>
      <c r="D21" s="7">
        <v>0</v>
      </c>
      <c r="E21" s="8">
        <v>3</v>
      </c>
      <c r="F21" s="7" t="s">
        <v>9</v>
      </c>
    </row>
    <row r="22" spans="1:6" x14ac:dyDescent="0.3">
      <c r="A22" s="6" t="s">
        <v>38</v>
      </c>
      <c r="B22" s="7">
        <v>0</v>
      </c>
      <c r="C22" s="7">
        <v>1</v>
      </c>
      <c r="D22" s="7">
        <v>0</v>
      </c>
      <c r="E22" s="8">
        <v>1</v>
      </c>
      <c r="F22" s="7" t="s">
        <v>9</v>
      </c>
    </row>
    <row r="23" spans="1:6" ht="15" hidden="1" x14ac:dyDescent="0.3">
      <c r="A23" s="10" t="s">
        <v>39</v>
      </c>
      <c r="B23" s="11">
        <v>681</v>
      </c>
      <c r="C23" s="11">
        <v>479</v>
      </c>
      <c r="D23" s="11">
        <v>361</v>
      </c>
      <c r="E23" s="11">
        <v>118</v>
      </c>
      <c r="F23" s="11" t="s">
        <v>41</v>
      </c>
    </row>
    <row r="24" spans="1:6" x14ac:dyDescent="0.3">
      <c r="B24" s="40"/>
      <c r="C24" s="40"/>
      <c r="D24" s="40"/>
      <c r="E24" s="40"/>
      <c r="F24" s="40"/>
    </row>
    <row r="26" spans="1:6" x14ac:dyDescent="0.3">
      <c r="F26" s="41"/>
    </row>
    <row r="27" spans="1:6" x14ac:dyDescent="0.3">
      <c r="F27" s="17"/>
    </row>
  </sheetData>
  <hyperlinks>
    <hyperlink ref="E1" location="FALTAN!A2" display="Faltan" xr:uid="{1703BF3E-6C8F-4375-BA25-34AA2518F8BB}"/>
    <hyperlink ref="D2" location="Capturados!A2" display="Capturados!A2" xr:uid="{726F09EE-F306-4C79-AC51-4B311BD8EF7E}"/>
    <hyperlink ref="E2" location="FALTAN!A3" display="FALTAN!A3" xr:uid="{3AB8CF5A-D8CF-4287-9D25-C3E9DB304F90}"/>
    <hyperlink ref="D3" location="Capturados!A117" display="Capturados!A117" xr:uid="{4D21BF7A-6865-4A6A-9608-D2CE1B3696A0}"/>
    <hyperlink ref="E3" location="FALTAN!A5" display="FALTAN!A5" xr:uid="{259F69F9-35D7-4729-8B9F-B870409803B1}"/>
    <hyperlink ref="E4" location="FALTAN!A12" display="FALTAN!A12" xr:uid="{26AF65A9-FBEF-4725-9840-15552F069D4B}"/>
    <hyperlink ref="E5" location="FALTAN!A14" display="FALTAN!A14" xr:uid="{A6BC345C-E0AB-4E4E-BA21-4A4CE25AAF84}"/>
    <hyperlink ref="D6" location="Capturados!A148" display="Capturados!A148" xr:uid="{374D3C7D-E342-4C83-9F4C-CC759A288A22}"/>
    <hyperlink ref="E6" location="FALTAN!A15" display="FALTAN!A15" xr:uid="{B89E0C81-6165-45AD-928F-26D4BFC6F4E2}"/>
    <hyperlink ref="D7" location="Capturados!A241" display="Capturados!A241" xr:uid="{97958F45-753C-41BA-B4A4-CEAED345E382}"/>
    <hyperlink ref="E7" location="FALTAN!A33" display="FALTAN!A33" xr:uid="{0DA5E027-77B9-45F6-B692-6D42DE5EE667}"/>
    <hyperlink ref="E8" location="FALTAN!A61" display="FALTAN!A61" xr:uid="{B8D955BD-3193-4A7B-902F-8E0778B350C5}"/>
    <hyperlink ref="E9" location="FALTAN!A107" display="FALTAN!A107" xr:uid="{67833E4F-D164-4803-A5CE-79713E7C75F3}"/>
    <hyperlink ref="E10" location="FALTAN!A108" display="FALTAN!A108" xr:uid="{17E5142B-F18C-495E-BAA8-AB8BA63A5700}"/>
    <hyperlink ref="E11" location="FALTAN!A109" display="FALTAN!A109" xr:uid="{AF408057-6DA5-4A88-9499-FC4FFC3BB4A9}"/>
    <hyperlink ref="E12" location="FALTAN!A110" display="FALTAN!A110" xr:uid="{9CF5B040-10C5-4696-91B6-0988B953E6D1}"/>
    <hyperlink ref="E13" location="FALTAN!A115" display="FALTAN!A115" xr:uid="{6514A8F9-0F3E-456E-9F26-BAF99EB2C969}"/>
    <hyperlink ref="D14" location="Capturados!A285" display="Capturados!A285" xr:uid="{264953A4-84AC-4DD8-9F3D-A88285584E71}"/>
    <hyperlink ref="E14" location="FALTAN!A124" display="FALTAN!A124" xr:uid="{1A05B174-5662-4D4B-9F7F-A8F1B4325605}"/>
    <hyperlink ref="E15" location="FALTAN!A130" display="FALTAN!A130" xr:uid="{D95AD6C6-5FAA-405B-96BB-FF7AA54D9060}"/>
    <hyperlink ref="D16" location="Capturados!A304" display="Capturados!A304" xr:uid="{E3C32319-280D-46A7-A977-74668223EBA5}"/>
    <hyperlink ref="E16" location="FALTAN!A131" display="FALTAN!A131" xr:uid="{855D2459-EF64-4ADB-AF8B-FCB1F206F633}"/>
    <hyperlink ref="D17" location="Capturados!A343" display="Capturados!A343" xr:uid="{ACF8904F-BA3A-478D-A439-48575B60A71E}"/>
    <hyperlink ref="E17" location="FALTAN!A140" display="FALTAN!A140" xr:uid="{D7833EEB-E9FF-4062-A728-9A25C76194F5}"/>
    <hyperlink ref="E18" location="FALTAN!A160" display="FALTAN!A160" xr:uid="{89E942CF-5810-438C-A60C-123EC3FEDECC}"/>
    <hyperlink ref="E19" location="FALTAN!A173" display="FALTAN!A173" xr:uid="{D7BF05C2-76D1-412C-A0CE-9354B9ADA1FA}"/>
    <hyperlink ref="E20" location="FALTAN!A174" display="FALTAN!A174" xr:uid="{DDF68E94-AAB8-4C18-A58E-768607C0639F}"/>
    <hyperlink ref="E21" location="FALTAN!A177" display="FALTAN!A177" xr:uid="{D20F2834-D5D1-4C2F-973E-D9AD61970D33}"/>
  </hyperlinks>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48F1E-387E-4824-B792-3F1C816637A2}">
  <sheetPr>
    <tabColor rgb="FFFFFF00"/>
  </sheetPr>
  <dimension ref="A1:G27"/>
  <sheetViews>
    <sheetView workbookViewId="0"/>
  </sheetViews>
  <sheetFormatPr baseColWidth="10" defaultColWidth="8.88671875" defaultRowHeight="14.4" x14ac:dyDescent="0.3"/>
  <cols>
    <col min="1" max="1" width="43" style="15" customWidth="1"/>
    <col min="2" max="3" width="24" style="15" customWidth="1"/>
    <col min="4" max="4" width="12.5546875" style="15" customWidth="1"/>
    <col min="5" max="5" width="8" style="15" customWidth="1"/>
    <col min="6" max="6" width="11.44140625" style="15" customWidth="1"/>
    <col min="7" max="16384" width="8.88671875" style="15"/>
  </cols>
  <sheetData>
    <row r="1" spans="1:7" x14ac:dyDescent="0.3">
      <c r="A1" s="19" t="s">
        <v>2</v>
      </c>
      <c r="B1" s="19" t="s">
        <v>3</v>
      </c>
      <c r="C1" s="19" t="s">
        <v>4</v>
      </c>
      <c r="D1" s="19" t="s">
        <v>5</v>
      </c>
      <c r="E1" s="19" t="s">
        <v>6</v>
      </c>
      <c r="F1" s="19" t="s">
        <v>7</v>
      </c>
      <c r="G1" s="19" t="s">
        <v>39</v>
      </c>
    </row>
    <row r="2" spans="1:7" x14ac:dyDescent="0.3">
      <c r="A2" s="6" t="s">
        <v>8</v>
      </c>
      <c r="B2" s="7">
        <v>0</v>
      </c>
      <c r="C2" s="7">
        <v>1</v>
      </c>
      <c r="D2" s="7">
        <v>0</v>
      </c>
      <c r="E2" s="8">
        <v>1</v>
      </c>
      <c r="F2" s="7" t="s">
        <v>9</v>
      </c>
      <c r="G2" s="43"/>
    </row>
    <row r="3" spans="1:7" x14ac:dyDescent="0.3">
      <c r="A3" s="6" t="s">
        <v>10</v>
      </c>
      <c r="B3" s="7">
        <v>238</v>
      </c>
      <c r="C3" s="7">
        <v>116</v>
      </c>
      <c r="D3" s="9">
        <v>116</v>
      </c>
      <c r="E3" s="8">
        <v>0</v>
      </c>
      <c r="F3" s="13">
        <v>1</v>
      </c>
      <c r="G3" s="43"/>
    </row>
    <row r="4" spans="1:7" x14ac:dyDescent="0.3">
      <c r="A4" s="6" t="s">
        <v>12</v>
      </c>
      <c r="B4" s="7">
        <v>32</v>
      </c>
      <c r="C4" s="7">
        <v>36</v>
      </c>
      <c r="D4" s="9">
        <v>29</v>
      </c>
      <c r="E4" s="8">
        <v>7</v>
      </c>
      <c r="F4" s="7" t="s">
        <v>13</v>
      </c>
      <c r="G4" s="43"/>
    </row>
    <row r="5" spans="1:7" x14ac:dyDescent="0.3">
      <c r="A5" s="6" t="s">
        <v>14</v>
      </c>
      <c r="B5" s="7">
        <v>0</v>
      </c>
      <c r="C5" s="7">
        <v>2</v>
      </c>
      <c r="D5" s="7">
        <v>0</v>
      </c>
      <c r="E5" s="8">
        <v>2</v>
      </c>
      <c r="F5" s="7" t="s">
        <v>9</v>
      </c>
      <c r="G5" s="43"/>
    </row>
    <row r="6" spans="1:7" x14ac:dyDescent="0.3">
      <c r="A6" s="6" t="s">
        <v>15</v>
      </c>
      <c r="B6" s="7">
        <v>0</v>
      </c>
      <c r="C6" s="7">
        <v>1</v>
      </c>
      <c r="D6" s="7">
        <v>0</v>
      </c>
      <c r="E6" s="8">
        <v>1</v>
      </c>
      <c r="F6" s="7" t="s">
        <v>9</v>
      </c>
      <c r="G6" s="43"/>
    </row>
    <row r="7" spans="1:7" x14ac:dyDescent="0.3">
      <c r="A7" s="6" t="s">
        <v>16</v>
      </c>
      <c r="B7" s="7">
        <v>197</v>
      </c>
      <c r="C7" s="7">
        <v>109</v>
      </c>
      <c r="D7" s="9">
        <v>91</v>
      </c>
      <c r="E7" s="8">
        <v>18</v>
      </c>
      <c r="F7" s="7" t="s">
        <v>17</v>
      </c>
      <c r="G7" s="43"/>
    </row>
    <row r="8" spans="1:7" x14ac:dyDescent="0.3">
      <c r="A8" s="6" t="s">
        <v>18</v>
      </c>
      <c r="B8" s="7">
        <v>91</v>
      </c>
      <c r="C8" s="7">
        <v>68</v>
      </c>
      <c r="D8" s="9">
        <v>42</v>
      </c>
      <c r="E8" s="8">
        <v>26</v>
      </c>
      <c r="F8" s="7" t="s">
        <v>19</v>
      </c>
      <c r="G8" s="43"/>
    </row>
    <row r="9" spans="1:7" x14ac:dyDescent="0.3">
      <c r="A9" s="6" t="s">
        <v>20</v>
      </c>
      <c r="B9" s="7">
        <v>0</v>
      </c>
      <c r="C9" s="7">
        <v>2</v>
      </c>
      <c r="D9" s="7">
        <v>0</v>
      </c>
      <c r="E9" s="8">
        <v>2</v>
      </c>
      <c r="F9" s="7" t="s">
        <v>9</v>
      </c>
      <c r="G9" s="43"/>
    </row>
    <row r="10" spans="1:7" x14ac:dyDescent="0.3">
      <c r="A10" s="6" t="s">
        <v>22</v>
      </c>
      <c r="B10" s="7">
        <v>0</v>
      </c>
      <c r="C10" s="7">
        <v>1</v>
      </c>
      <c r="D10" s="7">
        <v>0</v>
      </c>
      <c r="E10" s="8">
        <v>1</v>
      </c>
      <c r="F10" s="7" t="s">
        <v>9</v>
      </c>
      <c r="G10" s="43"/>
    </row>
    <row r="11" spans="1:7" x14ac:dyDescent="0.3">
      <c r="A11" s="6" t="s">
        <v>23</v>
      </c>
      <c r="B11" s="7">
        <v>0</v>
      </c>
      <c r="C11" s="7">
        <v>1</v>
      </c>
      <c r="D11" s="7">
        <v>0</v>
      </c>
      <c r="E11" s="8">
        <v>1</v>
      </c>
      <c r="F11" s="7" t="s">
        <v>9</v>
      </c>
      <c r="G11" s="43"/>
    </row>
    <row r="12" spans="1:7" x14ac:dyDescent="0.3">
      <c r="A12" s="6" t="s">
        <v>2766</v>
      </c>
      <c r="B12" s="7">
        <v>0</v>
      </c>
      <c r="C12" s="7">
        <v>1</v>
      </c>
      <c r="D12" s="7">
        <v>0</v>
      </c>
      <c r="E12" s="8">
        <v>1</v>
      </c>
      <c r="F12" s="7" t="s">
        <v>9</v>
      </c>
      <c r="G12" s="43"/>
    </row>
    <row r="13" spans="1:7" x14ac:dyDescent="0.3">
      <c r="A13" s="6" t="s">
        <v>25</v>
      </c>
      <c r="B13" s="7">
        <v>0</v>
      </c>
      <c r="C13" s="7">
        <v>5</v>
      </c>
      <c r="D13" s="7">
        <v>0</v>
      </c>
      <c r="E13" s="8">
        <v>5</v>
      </c>
      <c r="F13" s="7" t="s">
        <v>9</v>
      </c>
      <c r="G13" s="43"/>
    </row>
    <row r="14" spans="1:7" x14ac:dyDescent="0.3">
      <c r="A14" s="6" t="s">
        <v>26</v>
      </c>
      <c r="B14" s="7">
        <v>0</v>
      </c>
      <c r="C14" s="7">
        <v>9</v>
      </c>
      <c r="D14" s="7">
        <v>0</v>
      </c>
      <c r="E14" s="8">
        <v>9</v>
      </c>
      <c r="F14" s="7" t="s">
        <v>9</v>
      </c>
      <c r="G14" s="43"/>
    </row>
    <row r="15" spans="1:7" x14ac:dyDescent="0.3">
      <c r="A15" s="6" t="s">
        <v>27</v>
      </c>
      <c r="B15" s="7">
        <v>32</v>
      </c>
      <c r="C15" s="7">
        <v>24</v>
      </c>
      <c r="D15" s="9">
        <v>19</v>
      </c>
      <c r="E15" s="8">
        <v>5</v>
      </c>
      <c r="F15" s="7" t="s">
        <v>28</v>
      </c>
      <c r="G15" s="43"/>
    </row>
    <row r="16" spans="1:7" x14ac:dyDescent="0.3">
      <c r="A16" s="15" t="s">
        <v>2753</v>
      </c>
      <c r="B16" s="7">
        <v>0</v>
      </c>
      <c r="C16" s="7">
        <v>1</v>
      </c>
      <c r="D16" s="7">
        <v>0</v>
      </c>
      <c r="E16" s="8">
        <v>1</v>
      </c>
      <c r="F16" s="7" t="s">
        <v>9</v>
      </c>
      <c r="G16" s="43"/>
    </row>
    <row r="17" spans="1:7" x14ac:dyDescent="0.3">
      <c r="A17" s="6" t="s">
        <v>30</v>
      </c>
      <c r="B17" s="7">
        <v>46</v>
      </c>
      <c r="C17" s="7">
        <v>47</v>
      </c>
      <c r="D17" s="9">
        <v>39</v>
      </c>
      <c r="E17" s="8">
        <v>8</v>
      </c>
      <c r="F17" s="7" t="s">
        <v>31</v>
      </c>
      <c r="G17" s="43"/>
    </row>
    <row r="18" spans="1:7" x14ac:dyDescent="0.3">
      <c r="A18" s="6" t="s">
        <v>32</v>
      </c>
      <c r="B18" s="7">
        <v>45</v>
      </c>
      <c r="C18" s="7">
        <v>47</v>
      </c>
      <c r="D18" s="9">
        <v>27</v>
      </c>
      <c r="E18" s="8">
        <v>20</v>
      </c>
      <c r="F18" s="7" t="s">
        <v>33</v>
      </c>
      <c r="G18" s="43"/>
    </row>
    <row r="19" spans="1:7" x14ac:dyDescent="0.3">
      <c r="A19" s="6" t="s">
        <v>34</v>
      </c>
      <c r="B19" s="7">
        <v>0</v>
      </c>
      <c r="C19" s="7">
        <v>3</v>
      </c>
      <c r="D19" s="7">
        <v>0</v>
      </c>
      <c r="E19" s="8">
        <v>3</v>
      </c>
      <c r="F19" s="7" t="s">
        <v>9</v>
      </c>
      <c r="G19" s="43"/>
    </row>
    <row r="20" spans="1:7" x14ac:dyDescent="0.3">
      <c r="A20" s="6" t="s">
        <v>36</v>
      </c>
      <c r="B20" s="7">
        <v>0</v>
      </c>
      <c r="C20" s="7">
        <v>1</v>
      </c>
      <c r="D20" s="7">
        <v>0</v>
      </c>
      <c r="E20" s="8">
        <v>1</v>
      </c>
      <c r="F20" s="7" t="s">
        <v>9</v>
      </c>
      <c r="G20" s="43"/>
    </row>
    <row r="21" spans="1:7" x14ac:dyDescent="0.3">
      <c r="A21" s="6" t="s">
        <v>37</v>
      </c>
      <c r="B21" s="7">
        <v>0</v>
      </c>
      <c r="C21" s="7">
        <v>3</v>
      </c>
      <c r="D21" s="7">
        <v>0</v>
      </c>
      <c r="E21" s="8">
        <v>3</v>
      </c>
      <c r="F21" s="7" t="s">
        <v>9</v>
      </c>
      <c r="G21" s="43"/>
    </row>
    <row r="22" spans="1:7" x14ac:dyDescent="0.3">
      <c r="A22" s="6" t="s">
        <v>38</v>
      </c>
      <c r="B22" s="7">
        <v>0</v>
      </c>
      <c r="C22" s="7">
        <v>1</v>
      </c>
      <c r="D22" s="7">
        <v>0</v>
      </c>
      <c r="E22" s="8">
        <v>1</v>
      </c>
      <c r="F22" s="7" t="s">
        <v>9</v>
      </c>
      <c r="G22" s="43"/>
    </row>
    <row r="23" spans="1:7" ht="15" x14ac:dyDescent="0.3">
      <c r="A23" s="10" t="s">
        <v>39</v>
      </c>
      <c r="B23" s="11">
        <v>681</v>
      </c>
      <c r="C23" s="11">
        <v>479</v>
      </c>
      <c r="D23" s="11">
        <v>361</v>
      </c>
      <c r="E23" s="11">
        <v>118</v>
      </c>
      <c r="F23" s="11" t="s">
        <v>41</v>
      </c>
      <c r="G23" s="44">
        <v>1</v>
      </c>
    </row>
    <row r="24" spans="1:7" x14ac:dyDescent="0.3">
      <c r="B24" s="40"/>
      <c r="C24" s="40"/>
      <c r="D24" s="40"/>
      <c r="E24" s="40"/>
      <c r="F24" s="40"/>
    </row>
    <row r="26" spans="1:7" x14ac:dyDescent="0.3">
      <c r="F26" s="41"/>
    </row>
    <row r="27" spans="1:7" x14ac:dyDescent="0.3">
      <c r="F27" s="17"/>
    </row>
  </sheetData>
  <hyperlinks>
    <hyperlink ref="D2" location="Capturados!A2" display="Capturados!A2" xr:uid="{0FB5BC09-30D7-4FD0-96E4-352342158E15}"/>
    <hyperlink ref="E2" location="FALTAN!A3" display="FALTAN!A3" xr:uid="{2D6BFAC7-AE85-4943-AF67-6A0F9E84350F}"/>
    <hyperlink ref="D3" location="Capturados!A117" display="Capturados!A117" xr:uid="{FE85DFD3-8CB4-4BDE-B8E8-06514CA032E5}"/>
    <hyperlink ref="E3" location="FALTAN!A5" display="FALTAN!A5" xr:uid="{4B50DFBE-FA7E-41D6-BFBD-FD507544C69F}"/>
    <hyperlink ref="E4" location="FALTAN!A12" display="FALTAN!A12" xr:uid="{A1BEB02A-A4CD-4E70-95B3-2EA1BA5C99D9}"/>
    <hyperlink ref="E5" location="FALTAN!A14" display="FALTAN!A14" xr:uid="{62A8A5FE-AA87-4889-B7D7-B8B02417B943}"/>
    <hyperlink ref="D6" location="Capturados!A148" display="Capturados!A148" xr:uid="{22A8EB87-B95E-4078-944D-A5EBECA15989}"/>
    <hyperlink ref="E6" location="FALTAN!A15" display="FALTAN!A15" xr:uid="{2D140D34-AA69-489B-A2DA-F771BB726A5C}"/>
    <hyperlink ref="D7" location="Capturados!A241" display="Capturados!A241" xr:uid="{154E6793-3F0D-4C28-AF02-2DE73E30034F}"/>
    <hyperlink ref="E7" location="FALTAN!A33" display="FALTAN!A33" xr:uid="{FD0BB62A-ABDF-43DE-B5FD-EDBD6BA1E9A4}"/>
    <hyperlink ref="E8" location="FALTAN!A61" display="FALTAN!A61" xr:uid="{95336050-1DDD-4D42-AC5C-98795EC1F2F0}"/>
    <hyperlink ref="E9" location="FALTAN!A107" display="FALTAN!A107" xr:uid="{2A07D26C-D2B3-4441-B37D-267BFADCD49C}"/>
    <hyperlink ref="E10" location="FALTAN!A108" display="FALTAN!A108" xr:uid="{D6D550CB-6910-4B34-B14A-DE9B8B1FD14F}"/>
    <hyperlink ref="E11" location="FALTAN!A109" display="FALTAN!A109" xr:uid="{9DEA008A-E995-489E-8FE4-E766A379DA88}"/>
    <hyperlink ref="E12" location="FALTAN!A110" display="FALTAN!A110" xr:uid="{A9C30E27-E415-4936-867C-2FEA486202CD}"/>
    <hyperlink ref="E13" location="FALTAN!A115" display="FALTAN!A115" xr:uid="{8E791B1B-6C39-4647-A235-C773DE538EBC}"/>
    <hyperlink ref="D14" location="Capturados!A285" display="Capturados!A285" xr:uid="{D1E8F584-3859-4832-AFAA-C6B659EDE865}"/>
    <hyperlink ref="E14" location="FALTAN!A124" display="FALTAN!A124" xr:uid="{9B15B751-5063-4017-8E0D-4DF68A95F448}"/>
    <hyperlink ref="E15" location="FALTAN!A130" display="FALTAN!A130" xr:uid="{80FAA5F8-2824-4F4D-BCC5-08894B6F6162}"/>
    <hyperlink ref="D16" location="Capturados!A304" display="Capturados!A304" xr:uid="{2D0E070A-F42F-47C1-BE4A-0BB7A4A6AB22}"/>
    <hyperlink ref="E16" location="FALTAN!A131" display="FALTAN!A131" xr:uid="{E7B2FEC6-4BAD-4EE5-9613-759DC6522165}"/>
    <hyperlink ref="D17" location="Capturados!A343" display="Capturados!A343" xr:uid="{F5822134-8026-4EAE-A5BB-86CF5D30FFF0}"/>
    <hyperlink ref="E17" location="FALTAN!A140" display="FALTAN!A140" xr:uid="{C7115365-F472-4098-8B68-80824433A2E8}"/>
    <hyperlink ref="E18" location="FALTAN!A160" display="FALTAN!A160" xr:uid="{C6152B66-E9E5-475C-8C50-AD89C10C44EF}"/>
    <hyperlink ref="E19" location="FALTAN!A173" display="FALTAN!A173" xr:uid="{460AD695-26CD-4489-B831-2190F445F391}"/>
    <hyperlink ref="E20" location="FALTAN!A174" display="FALTAN!A174" xr:uid="{068E57B4-E030-4374-9565-5F852C3392A6}"/>
    <hyperlink ref="E21" location="FALTAN!A177" display="FALTAN!A177" xr:uid="{F8817031-3947-4834-87F8-684011F4616A}"/>
  </hyperlink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09CD6-4AEE-416D-869B-9DDC7D71A4DF}">
  <sheetPr>
    <tabColor rgb="FFFF0000"/>
  </sheetPr>
  <dimension ref="A1:F181"/>
  <sheetViews>
    <sheetView topLeftCell="A38" zoomScale="106" zoomScaleNormal="55" workbookViewId="0"/>
  </sheetViews>
  <sheetFormatPr baseColWidth="10" defaultColWidth="8.88671875" defaultRowHeight="14.4" x14ac:dyDescent="0.3"/>
  <cols>
    <col min="1" max="1" width="24" style="15" bestFit="1" customWidth="1"/>
    <col min="2" max="2" width="13.88671875" style="15" bestFit="1" customWidth="1"/>
    <col min="3" max="3" width="18.5546875" style="15" bestFit="1" customWidth="1"/>
    <col min="4" max="4" width="28.109375" style="15" bestFit="1" customWidth="1"/>
    <col min="5" max="5" width="7.5546875" style="15" bestFit="1" customWidth="1"/>
    <col min="6" max="9" width="8.77734375" style="15" bestFit="1" customWidth="1"/>
    <col min="10" max="10" width="16.44140625" style="15" bestFit="1" customWidth="1"/>
    <col min="11" max="16384" width="8.88671875" style="15"/>
  </cols>
  <sheetData>
    <row r="1" spans="1:6" x14ac:dyDescent="0.3">
      <c r="A1" s="19" t="s">
        <v>2</v>
      </c>
      <c r="B1" s="19" t="s">
        <v>3</v>
      </c>
      <c r="C1" s="19" t="s">
        <v>4</v>
      </c>
      <c r="D1" s="19" t="s">
        <v>5</v>
      </c>
      <c r="E1" s="19" t="s">
        <v>6</v>
      </c>
      <c r="F1" s="19" t="s">
        <v>7</v>
      </c>
    </row>
    <row r="2" spans="1:6" ht="15.6" x14ac:dyDescent="0.3">
      <c r="A2" s="20" t="s">
        <v>8</v>
      </c>
      <c r="B2" s="21">
        <v>1</v>
      </c>
      <c r="C2" s="21">
        <v>1</v>
      </c>
      <c r="D2" s="22">
        <v>1</v>
      </c>
      <c r="E2" s="21">
        <v>0</v>
      </c>
      <c r="F2" s="23">
        <v>1</v>
      </c>
    </row>
    <row r="3" spans="1:6" ht="15.6" x14ac:dyDescent="0.3">
      <c r="A3" s="20" t="s">
        <v>10</v>
      </c>
      <c r="B3" s="21">
        <v>252</v>
      </c>
      <c r="C3" s="21">
        <v>122</v>
      </c>
      <c r="D3" s="22">
        <v>122</v>
      </c>
      <c r="E3" s="21">
        <v>0</v>
      </c>
      <c r="F3" s="23">
        <v>1</v>
      </c>
    </row>
    <row r="4" spans="1:6" ht="15.6" x14ac:dyDescent="0.3">
      <c r="A4" s="24" t="s">
        <v>12</v>
      </c>
      <c r="B4" s="25">
        <v>43</v>
      </c>
      <c r="C4" s="25">
        <v>39</v>
      </c>
      <c r="D4" s="26">
        <v>39</v>
      </c>
      <c r="E4" s="26">
        <v>0</v>
      </c>
      <c r="F4" s="27">
        <v>1</v>
      </c>
    </row>
    <row r="5" spans="1:6" ht="15.6" x14ac:dyDescent="0.3">
      <c r="A5" s="24" t="s">
        <v>14</v>
      </c>
      <c r="B5" s="25">
        <v>2</v>
      </c>
      <c r="C5" s="25">
        <v>2</v>
      </c>
      <c r="D5" s="25">
        <v>2</v>
      </c>
      <c r="E5" s="26">
        <v>0</v>
      </c>
      <c r="F5" s="27">
        <v>1</v>
      </c>
    </row>
    <row r="6" spans="1:6" ht="15.6" x14ac:dyDescent="0.3">
      <c r="A6" s="20" t="s">
        <v>15</v>
      </c>
      <c r="B6" s="21">
        <v>1</v>
      </c>
      <c r="C6" s="21">
        <v>1</v>
      </c>
      <c r="D6" s="22">
        <v>1</v>
      </c>
      <c r="E6" s="21">
        <v>0</v>
      </c>
      <c r="F6" s="23">
        <v>1</v>
      </c>
    </row>
    <row r="7" spans="1:6" ht="15.6" x14ac:dyDescent="0.3">
      <c r="A7" s="28" t="s">
        <v>16</v>
      </c>
      <c r="B7" s="29">
        <v>205</v>
      </c>
      <c r="C7" s="29">
        <v>102</v>
      </c>
      <c r="D7" s="30">
        <v>89</v>
      </c>
      <c r="E7" s="30">
        <v>13</v>
      </c>
      <c r="F7" s="31">
        <v>0.873</v>
      </c>
    </row>
    <row r="8" spans="1:6" ht="15.6" x14ac:dyDescent="0.3">
      <c r="A8" s="28" t="s">
        <v>18</v>
      </c>
      <c r="B8" s="29">
        <v>128</v>
      </c>
      <c r="C8" s="29">
        <v>57</v>
      </c>
      <c r="D8" s="30">
        <v>42</v>
      </c>
      <c r="E8" s="30">
        <v>15</v>
      </c>
      <c r="F8" s="31">
        <v>0.73699999999999999</v>
      </c>
    </row>
    <row r="9" spans="1:6" ht="15.6" x14ac:dyDescent="0.3">
      <c r="A9" s="24" t="s">
        <v>20</v>
      </c>
      <c r="B9" s="25">
        <v>2</v>
      </c>
      <c r="C9" s="25">
        <v>2</v>
      </c>
      <c r="D9" s="25">
        <v>2</v>
      </c>
      <c r="E9" s="26">
        <v>0</v>
      </c>
      <c r="F9" s="27">
        <v>1</v>
      </c>
    </row>
    <row r="10" spans="1:6" ht="15.6" x14ac:dyDescent="0.3">
      <c r="A10" s="32" t="s">
        <v>22</v>
      </c>
      <c r="B10" s="33">
        <v>0</v>
      </c>
      <c r="C10" s="33">
        <v>1</v>
      </c>
      <c r="D10" s="33">
        <v>0</v>
      </c>
      <c r="E10" s="34">
        <v>1</v>
      </c>
      <c r="F10" s="35">
        <v>0</v>
      </c>
    </row>
    <row r="11" spans="1:6" ht="15.6" x14ac:dyDescent="0.3">
      <c r="A11" s="24" t="s">
        <v>23</v>
      </c>
      <c r="B11" s="25">
        <v>2</v>
      </c>
      <c r="C11" s="25">
        <v>2</v>
      </c>
      <c r="D11" s="25">
        <v>2</v>
      </c>
      <c r="E11" s="26">
        <v>0</v>
      </c>
      <c r="F11" s="27">
        <v>1</v>
      </c>
    </row>
    <row r="12" spans="1:6" ht="15.6" x14ac:dyDescent="0.3">
      <c r="A12" s="28" t="s">
        <v>25</v>
      </c>
      <c r="B12" s="29">
        <v>4</v>
      </c>
      <c r="C12" s="29">
        <v>6</v>
      </c>
      <c r="D12" s="30">
        <v>2</v>
      </c>
      <c r="E12" s="30">
        <v>4</v>
      </c>
      <c r="F12" s="31">
        <v>0.33300000000000002</v>
      </c>
    </row>
    <row r="13" spans="1:6" ht="15.6" x14ac:dyDescent="0.3">
      <c r="A13" s="28" t="s">
        <v>26</v>
      </c>
      <c r="B13" s="29">
        <v>4</v>
      </c>
      <c r="C13" s="29">
        <v>9</v>
      </c>
      <c r="D13" s="30">
        <v>1</v>
      </c>
      <c r="E13" s="30">
        <v>8</v>
      </c>
      <c r="F13" s="31">
        <v>0.111</v>
      </c>
    </row>
    <row r="14" spans="1:6" ht="15.6" x14ac:dyDescent="0.3">
      <c r="A14" s="20" t="s">
        <v>27</v>
      </c>
      <c r="B14" s="21">
        <v>42</v>
      </c>
      <c r="C14" s="21">
        <v>32</v>
      </c>
      <c r="D14" s="22">
        <v>32</v>
      </c>
      <c r="E14" s="22">
        <v>0</v>
      </c>
      <c r="F14" s="23">
        <v>1</v>
      </c>
    </row>
    <row r="15" spans="1:6" ht="15.6" x14ac:dyDescent="0.3">
      <c r="A15" s="36" t="s">
        <v>2753</v>
      </c>
      <c r="B15" s="37">
        <v>1</v>
      </c>
      <c r="C15" s="37">
        <v>1</v>
      </c>
      <c r="D15" s="37">
        <v>1</v>
      </c>
      <c r="E15" s="38">
        <v>0</v>
      </c>
      <c r="F15" s="39">
        <v>1</v>
      </c>
    </row>
    <row r="16" spans="1:6" ht="15.6" x14ac:dyDescent="0.3">
      <c r="A16" s="20" t="s">
        <v>30</v>
      </c>
      <c r="B16" s="21">
        <v>52</v>
      </c>
      <c r="C16" s="21">
        <v>44</v>
      </c>
      <c r="D16" s="22">
        <v>44</v>
      </c>
      <c r="E16" s="21">
        <v>0</v>
      </c>
      <c r="F16" s="23">
        <v>1</v>
      </c>
    </row>
    <row r="17" spans="1:6" ht="15.6" x14ac:dyDescent="0.3">
      <c r="A17" s="28" t="s">
        <v>32</v>
      </c>
      <c r="B17" s="29">
        <v>42</v>
      </c>
      <c r="C17" s="29">
        <v>48</v>
      </c>
      <c r="D17" s="30">
        <v>22</v>
      </c>
      <c r="E17" s="30">
        <v>26</v>
      </c>
      <c r="F17" s="31">
        <v>0.45800000000000002</v>
      </c>
    </row>
    <row r="18" spans="1:6" ht="15.6" x14ac:dyDescent="0.3">
      <c r="A18" s="36" t="s">
        <v>34</v>
      </c>
      <c r="B18" s="37">
        <v>4</v>
      </c>
      <c r="C18" s="37">
        <v>4</v>
      </c>
      <c r="D18" s="37">
        <v>4</v>
      </c>
      <c r="E18" s="38">
        <v>0</v>
      </c>
      <c r="F18" s="39">
        <v>1</v>
      </c>
    </row>
    <row r="19" spans="1:6" ht="15.6" x14ac:dyDescent="0.3">
      <c r="A19" s="20" t="s">
        <v>37</v>
      </c>
      <c r="B19" s="21">
        <v>6</v>
      </c>
      <c r="C19" s="21">
        <v>5</v>
      </c>
      <c r="D19" s="22">
        <v>5</v>
      </c>
      <c r="E19" s="21">
        <v>0</v>
      </c>
      <c r="F19" s="23">
        <v>1</v>
      </c>
    </row>
    <row r="20" spans="1:6" ht="15.6" x14ac:dyDescent="0.3">
      <c r="A20" s="20" t="s">
        <v>38</v>
      </c>
      <c r="B20" s="21">
        <v>1</v>
      </c>
      <c r="C20" s="21">
        <v>1</v>
      </c>
      <c r="D20" s="21">
        <v>1</v>
      </c>
      <c r="E20" s="22">
        <v>0</v>
      </c>
      <c r="F20" s="23">
        <v>1</v>
      </c>
    </row>
    <row r="21" spans="1:6" ht="15.6" x14ac:dyDescent="0.3">
      <c r="A21" s="20" t="s">
        <v>2650</v>
      </c>
      <c r="B21" s="21">
        <v>1</v>
      </c>
      <c r="C21" s="21">
        <v>1</v>
      </c>
      <c r="D21" s="22">
        <v>1</v>
      </c>
      <c r="E21" s="21">
        <v>0</v>
      </c>
      <c r="F21" s="23">
        <v>1</v>
      </c>
    </row>
    <row r="22" spans="1:6" ht="15.6" x14ac:dyDescent="0.3">
      <c r="A22" s="20" t="s">
        <v>2647</v>
      </c>
      <c r="B22" s="21">
        <v>1</v>
      </c>
      <c r="C22" s="21">
        <v>1</v>
      </c>
      <c r="D22" s="22">
        <v>1</v>
      </c>
      <c r="E22" s="21">
        <v>0</v>
      </c>
      <c r="F22" s="23">
        <v>1</v>
      </c>
    </row>
    <row r="23" spans="1:6" x14ac:dyDescent="0.3">
      <c r="A23" s="15" t="s">
        <v>2752</v>
      </c>
      <c r="B23" s="40">
        <f>SUM(B2:B22)</f>
        <v>794</v>
      </c>
      <c r="C23" s="40">
        <f>SUM(C2:C22)</f>
        <v>481</v>
      </c>
      <c r="D23" s="40">
        <f>SUM(D2:D22)</f>
        <v>414</v>
      </c>
      <c r="E23" s="40">
        <f>SUM(E2:E22)</f>
        <v>67</v>
      </c>
      <c r="F23" s="16">
        <f>D23/C23</f>
        <v>0.86070686070686075</v>
      </c>
    </row>
    <row r="24" spans="1:6" x14ac:dyDescent="0.3">
      <c r="B24" s="40"/>
      <c r="C24" s="40"/>
      <c r="D24" s="40"/>
      <c r="E24" s="40"/>
      <c r="F24" s="40"/>
    </row>
    <row r="25" spans="1:6" x14ac:dyDescent="0.3">
      <c r="A25" s="45" t="s">
        <v>2754</v>
      </c>
      <c r="B25" t="s">
        <v>2756</v>
      </c>
      <c r="C25" t="s">
        <v>2758</v>
      </c>
    </row>
    <row r="26" spans="1:6" x14ac:dyDescent="0.3">
      <c r="A26" s="46" t="s">
        <v>2647</v>
      </c>
      <c r="B26">
        <v>1</v>
      </c>
      <c r="C26">
        <v>0</v>
      </c>
      <c r="F26" s="41"/>
    </row>
    <row r="27" spans="1:6" x14ac:dyDescent="0.3">
      <c r="A27" s="46" t="s">
        <v>2650</v>
      </c>
      <c r="B27">
        <v>1</v>
      </c>
      <c r="C27">
        <v>0</v>
      </c>
      <c r="F27" s="17"/>
    </row>
    <row r="28" spans="1:6" x14ac:dyDescent="0.3">
      <c r="A28" s="46" t="s">
        <v>38</v>
      </c>
      <c r="B28">
        <v>1</v>
      </c>
      <c r="C28">
        <v>0</v>
      </c>
    </row>
    <row r="29" spans="1:6" x14ac:dyDescent="0.3">
      <c r="A29" s="46" t="s">
        <v>37</v>
      </c>
      <c r="B29">
        <v>5</v>
      </c>
      <c r="C29">
        <v>0</v>
      </c>
    </row>
    <row r="30" spans="1:6" x14ac:dyDescent="0.3">
      <c r="A30" s="46" t="s">
        <v>34</v>
      </c>
      <c r="B30">
        <v>4</v>
      </c>
      <c r="C30">
        <v>0</v>
      </c>
    </row>
    <row r="31" spans="1:6" x14ac:dyDescent="0.3">
      <c r="A31" s="46" t="s">
        <v>32</v>
      </c>
      <c r="B31">
        <v>48</v>
      </c>
      <c r="C31">
        <v>26</v>
      </c>
    </row>
    <row r="32" spans="1:6" x14ac:dyDescent="0.3">
      <c r="A32" s="46" t="s">
        <v>30</v>
      </c>
      <c r="B32">
        <v>44</v>
      </c>
      <c r="C32">
        <v>0</v>
      </c>
    </row>
    <row r="33" spans="1:3" x14ac:dyDescent="0.3">
      <c r="A33" s="46" t="s">
        <v>2753</v>
      </c>
      <c r="B33">
        <v>1</v>
      </c>
      <c r="C33">
        <v>0</v>
      </c>
    </row>
    <row r="34" spans="1:3" x14ac:dyDescent="0.3">
      <c r="A34" s="46" t="s">
        <v>27</v>
      </c>
      <c r="B34">
        <v>32</v>
      </c>
      <c r="C34">
        <v>0</v>
      </c>
    </row>
    <row r="35" spans="1:3" x14ac:dyDescent="0.3">
      <c r="A35" s="46" t="s">
        <v>26</v>
      </c>
      <c r="B35">
        <v>9</v>
      </c>
      <c r="C35">
        <v>8</v>
      </c>
    </row>
    <row r="36" spans="1:3" x14ac:dyDescent="0.3">
      <c r="A36" s="46" t="s">
        <v>25</v>
      </c>
      <c r="B36">
        <v>6</v>
      </c>
      <c r="C36">
        <v>4</v>
      </c>
    </row>
    <row r="37" spans="1:3" x14ac:dyDescent="0.3">
      <c r="A37" s="46" t="s">
        <v>23</v>
      </c>
      <c r="B37">
        <v>2</v>
      </c>
      <c r="C37">
        <v>0</v>
      </c>
    </row>
    <row r="38" spans="1:3" x14ac:dyDescent="0.3">
      <c r="A38" s="46" t="s">
        <v>20</v>
      </c>
      <c r="B38">
        <v>2</v>
      </c>
      <c r="C38">
        <v>0</v>
      </c>
    </row>
    <row r="39" spans="1:3" x14ac:dyDescent="0.3">
      <c r="A39" s="46" t="s">
        <v>18</v>
      </c>
      <c r="B39">
        <v>57</v>
      </c>
      <c r="C39">
        <v>15</v>
      </c>
    </row>
    <row r="40" spans="1:3" x14ac:dyDescent="0.3">
      <c r="A40" s="46" t="s">
        <v>16</v>
      </c>
      <c r="B40">
        <v>102</v>
      </c>
      <c r="C40">
        <v>13</v>
      </c>
    </row>
    <row r="41" spans="1:3" x14ac:dyDescent="0.3">
      <c r="A41" s="46" t="s">
        <v>15</v>
      </c>
      <c r="B41">
        <v>1</v>
      </c>
      <c r="C41">
        <v>0</v>
      </c>
    </row>
    <row r="42" spans="1:3" x14ac:dyDescent="0.3">
      <c r="A42" s="46" t="s">
        <v>14</v>
      </c>
      <c r="B42">
        <v>2</v>
      </c>
      <c r="C42">
        <v>0</v>
      </c>
    </row>
    <row r="43" spans="1:3" x14ac:dyDescent="0.3">
      <c r="A43" s="46" t="s">
        <v>12</v>
      </c>
      <c r="B43">
        <v>39</v>
      </c>
      <c r="C43">
        <v>0</v>
      </c>
    </row>
    <row r="44" spans="1:3" x14ac:dyDescent="0.3">
      <c r="A44" s="46" t="s">
        <v>10</v>
      </c>
      <c r="B44">
        <v>122</v>
      </c>
      <c r="C44">
        <v>0</v>
      </c>
    </row>
    <row r="45" spans="1:3" x14ac:dyDescent="0.3">
      <c r="A45" s="46" t="s">
        <v>8</v>
      </c>
      <c r="B45">
        <v>1</v>
      </c>
      <c r="C45">
        <v>0</v>
      </c>
    </row>
    <row r="46" spans="1:3" x14ac:dyDescent="0.3">
      <c r="A46" s="46" t="s">
        <v>2760</v>
      </c>
      <c r="B46">
        <v>480</v>
      </c>
      <c r="C46">
        <v>66</v>
      </c>
    </row>
    <row r="49" spans="1:4" x14ac:dyDescent="0.3">
      <c r="A49" s="45" t="s">
        <v>2754</v>
      </c>
      <c r="B49" t="s">
        <v>2758</v>
      </c>
      <c r="C49" t="s">
        <v>2757</v>
      </c>
      <c r="D49" t="s">
        <v>2756</v>
      </c>
    </row>
    <row r="50" spans="1:4" x14ac:dyDescent="0.3">
      <c r="A50" s="46" t="s">
        <v>16</v>
      </c>
      <c r="B50">
        <v>13</v>
      </c>
      <c r="C50">
        <v>89</v>
      </c>
      <c r="D50">
        <v>102</v>
      </c>
    </row>
    <row r="51" spans="1:4" x14ac:dyDescent="0.3">
      <c r="A51" s="46" t="s">
        <v>18</v>
      </c>
      <c r="B51">
        <v>15</v>
      </c>
      <c r="C51">
        <v>42</v>
      </c>
      <c r="D51">
        <v>57</v>
      </c>
    </row>
    <row r="52" spans="1:4" x14ac:dyDescent="0.3">
      <c r="A52" s="46" t="s">
        <v>25</v>
      </c>
      <c r="B52">
        <v>4</v>
      </c>
      <c r="C52">
        <v>2</v>
      </c>
      <c r="D52">
        <v>6</v>
      </c>
    </row>
    <row r="53" spans="1:4" x14ac:dyDescent="0.3">
      <c r="A53" s="46" t="s">
        <v>26</v>
      </c>
      <c r="B53">
        <v>8</v>
      </c>
      <c r="C53">
        <v>1</v>
      </c>
      <c r="D53">
        <v>9</v>
      </c>
    </row>
    <row r="54" spans="1:4" x14ac:dyDescent="0.3">
      <c r="A54" s="46" t="s">
        <v>32</v>
      </c>
      <c r="B54">
        <v>26</v>
      </c>
      <c r="C54">
        <v>22</v>
      </c>
      <c r="D54">
        <v>48</v>
      </c>
    </row>
    <row r="55" spans="1:4" x14ac:dyDescent="0.3">
      <c r="A55" s="46" t="s">
        <v>2760</v>
      </c>
      <c r="B55">
        <v>66</v>
      </c>
      <c r="C55">
        <v>156</v>
      </c>
      <c r="D55">
        <v>222</v>
      </c>
    </row>
    <row r="70" spans="1:4" x14ac:dyDescent="0.3">
      <c r="A70" s="52" t="s">
        <v>2764</v>
      </c>
      <c r="B70" s="52"/>
      <c r="C70" s="52"/>
    </row>
    <row r="71" spans="1:4" x14ac:dyDescent="0.3">
      <c r="A71" s="15" t="s">
        <v>2761</v>
      </c>
      <c r="B71" s="15" t="s">
        <v>2762</v>
      </c>
      <c r="C71" s="15" t="s">
        <v>2763</v>
      </c>
    </row>
    <row r="72" spans="1:4" ht="15" x14ac:dyDescent="0.3">
      <c r="A72" s="15" t="s">
        <v>2752</v>
      </c>
      <c r="B72" s="11">
        <v>0.754</v>
      </c>
      <c r="C72" s="44">
        <v>1</v>
      </c>
    </row>
    <row r="75" spans="1:4" x14ac:dyDescent="0.3">
      <c r="D75" s="17"/>
    </row>
    <row r="84" spans="4:4" x14ac:dyDescent="0.3">
      <c r="D84" s="17"/>
    </row>
    <row r="110" spans="1:3" x14ac:dyDescent="0.3">
      <c r="A110" s="42"/>
      <c r="B110" s="42"/>
      <c r="C110" s="42"/>
    </row>
    <row r="111" spans="1:3" x14ac:dyDescent="0.3">
      <c r="A111" s="42"/>
      <c r="B111" s="42"/>
      <c r="C111" s="42"/>
    </row>
    <row r="112" spans="1:3" s="42" customFormat="1" x14ac:dyDescent="0.3">
      <c r="A112" s="15"/>
      <c r="B112" s="15"/>
    </row>
    <row r="113" spans="1:3" s="42" customFormat="1" x14ac:dyDescent="0.3">
      <c r="A113" s="15"/>
      <c r="B113" s="15"/>
      <c r="C113" s="15"/>
    </row>
    <row r="114" spans="1:3" s="42" customFormat="1" x14ac:dyDescent="0.3">
      <c r="A114" s="45" t="s">
        <v>2754</v>
      </c>
      <c r="B114" s="15"/>
      <c r="C114" s="15"/>
    </row>
    <row r="115" spans="1:3" x14ac:dyDescent="0.3">
      <c r="A115" s="46" t="s">
        <v>8</v>
      </c>
    </row>
    <row r="116" spans="1:3" x14ac:dyDescent="0.3">
      <c r="A116" s="47" t="s">
        <v>2765</v>
      </c>
    </row>
    <row r="117" spans="1:3" x14ac:dyDescent="0.3">
      <c r="A117" s="47">
        <v>1</v>
      </c>
    </row>
    <row r="118" spans="1:3" x14ac:dyDescent="0.3">
      <c r="A118" s="46" t="s">
        <v>10</v>
      </c>
    </row>
    <row r="119" spans="1:3" x14ac:dyDescent="0.3">
      <c r="A119" s="47" t="s">
        <v>2765</v>
      </c>
    </row>
    <row r="120" spans="1:3" x14ac:dyDescent="0.3">
      <c r="A120" s="47">
        <v>1</v>
      </c>
    </row>
    <row r="121" spans="1:3" x14ac:dyDescent="0.3">
      <c r="A121" s="46" t="s">
        <v>12</v>
      </c>
    </row>
    <row r="122" spans="1:3" x14ac:dyDescent="0.3">
      <c r="A122" s="47" t="s">
        <v>2765</v>
      </c>
    </row>
    <row r="123" spans="1:3" x14ac:dyDescent="0.3">
      <c r="A123" s="47">
        <v>1</v>
      </c>
    </row>
    <row r="124" spans="1:3" x14ac:dyDescent="0.3">
      <c r="A124" s="46" t="s">
        <v>14</v>
      </c>
    </row>
    <row r="125" spans="1:3" x14ac:dyDescent="0.3">
      <c r="A125" s="47" t="s">
        <v>2765</v>
      </c>
    </row>
    <row r="126" spans="1:3" x14ac:dyDescent="0.3">
      <c r="A126" s="47">
        <v>1</v>
      </c>
    </row>
    <row r="127" spans="1:3" x14ac:dyDescent="0.3">
      <c r="A127" s="46" t="s">
        <v>15</v>
      </c>
    </row>
    <row r="128" spans="1:3" x14ac:dyDescent="0.3">
      <c r="A128" s="47" t="s">
        <v>2765</v>
      </c>
    </row>
    <row r="129" spans="1:1" x14ac:dyDescent="0.3">
      <c r="A129" s="47">
        <v>1</v>
      </c>
    </row>
    <row r="130" spans="1:1" x14ac:dyDescent="0.3">
      <c r="A130" s="46" t="s">
        <v>16</v>
      </c>
    </row>
    <row r="131" spans="1:1" x14ac:dyDescent="0.3">
      <c r="A131" s="47" t="s">
        <v>2765</v>
      </c>
    </row>
    <row r="132" spans="1:1" x14ac:dyDescent="0.3">
      <c r="A132" s="47">
        <v>0.873</v>
      </c>
    </row>
    <row r="133" spans="1:1" x14ac:dyDescent="0.3">
      <c r="A133" s="46" t="s">
        <v>18</v>
      </c>
    </row>
    <row r="134" spans="1:1" x14ac:dyDescent="0.3">
      <c r="A134" s="47" t="s">
        <v>2765</v>
      </c>
    </row>
    <row r="135" spans="1:1" x14ac:dyDescent="0.3">
      <c r="A135" s="47">
        <v>0.73699999999999999</v>
      </c>
    </row>
    <row r="136" spans="1:1" x14ac:dyDescent="0.3">
      <c r="A136" s="46" t="s">
        <v>20</v>
      </c>
    </row>
    <row r="137" spans="1:1" x14ac:dyDescent="0.3">
      <c r="A137" s="47" t="s">
        <v>2765</v>
      </c>
    </row>
    <row r="138" spans="1:1" x14ac:dyDescent="0.3">
      <c r="A138" s="47">
        <v>1</v>
      </c>
    </row>
    <row r="139" spans="1:1" x14ac:dyDescent="0.3">
      <c r="A139" s="46" t="s">
        <v>22</v>
      </c>
    </row>
    <row r="140" spans="1:1" x14ac:dyDescent="0.3">
      <c r="A140" s="47" t="s">
        <v>2765</v>
      </c>
    </row>
    <row r="141" spans="1:1" x14ac:dyDescent="0.3">
      <c r="A141" s="47">
        <v>0</v>
      </c>
    </row>
    <row r="142" spans="1:1" x14ac:dyDescent="0.3">
      <c r="A142" s="46" t="s">
        <v>23</v>
      </c>
    </row>
    <row r="143" spans="1:1" x14ac:dyDescent="0.3">
      <c r="A143" s="47" t="s">
        <v>2765</v>
      </c>
    </row>
    <row r="144" spans="1:1" x14ac:dyDescent="0.3">
      <c r="A144" s="47">
        <v>1</v>
      </c>
    </row>
    <row r="145" spans="1:1" x14ac:dyDescent="0.3">
      <c r="A145" s="46" t="s">
        <v>25</v>
      </c>
    </row>
    <row r="146" spans="1:1" x14ac:dyDescent="0.3">
      <c r="A146" s="47" t="s">
        <v>2765</v>
      </c>
    </row>
    <row r="147" spans="1:1" x14ac:dyDescent="0.3">
      <c r="A147" s="47">
        <v>0.33300000000000002</v>
      </c>
    </row>
    <row r="148" spans="1:1" x14ac:dyDescent="0.3">
      <c r="A148" s="46" t="s">
        <v>26</v>
      </c>
    </row>
    <row r="149" spans="1:1" x14ac:dyDescent="0.3">
      <c r="A149" s="47" t="s">
        <v>2765</v>
      </c>
    </row>
    <row r="150" spans="1:1" x14ac:dyDescent="0.3">
      <c r="A150" s="47">
        <v>0.111</v>
      </c>
    </row>
    <row r="151" spans="1:1" x14ac:dyDescent="0.3">
      <c r="A151" s="46" t="s">
        <v>27</v>
      </c>
    </row>
    <row r="152" spans="1:1" x14ac:dyDescent="0.3">
      <c r="A152" s="47" t="s">
        <v>2765</v>
      </c>
    </row>
    <row r="153" spans="1:1" x14ac:dyDescent="0.3">
      <c r="A153" s="47">
        <v>1</v>
      </c>
    </row>
    <row r="154" spans="1:1" x14ac:dyDescent="0.3">
      <c r="A154" s="46" t="s">
        <v>2753</v>
      </c>
    </row>
    <row r="155" spans="1:1" x14ac:dyDescent="0.3">
      <c r="A155" s="47" t="s">
        <v>2765</v>
      </c>
    </row>
    <row r="156" spans="1:1" x14ac:dyDescent="0.3">
      <c r="A156" s="47">
        <v>1</v>
      </c>
    </row>
    <row r="157" spans="1:1" x14ac:dyDescent="0.3">
      <c r="A157" s="46" t="s">
        <v>30</v>
      </c>
    </row>
    <row r="158" spans="1:1" x14ac:dyDescent="0.3">
      <c r="A158" s="47" t="s">
        <v>2765</v>
      </c>
    </row>
    <row r="159" spans="1:1" x14ac:dyDescent="0.3">
      <c r="A159" s="47">
        <v>1</v>
      </c>
    </row>
    <row r="160" spans="1:1" x14ac:dyDescent="0.3">
      <c r="A160" s="46" t="s">
        <v>32</v>
      </c>
    </row>
    <row r="161" spans="1:1" x14ac:dyDescent="0.3">
      <c r="A161" s="47" t="s">
        <v>2765</v>
      </c>
    </row>
    <row r="162" spans="1:1" x14ac:dyDescent="0.3">
      <c r="A162" s="47">
        <v>0.45800000000000002</v>
      </c>
    </row>
    <row r="163" spans="1:1" x14ac:dyDescent="0.3">
      <c r="A163" s="46" t="s">
        <v>34</v>
      </c>
    </row>
    <row r="164" spans="1:1" x14ac:dyDescent="0.3">
      <c r="A164" s="47" t="s">
        <v>2765</v>
      </c>
    </row>
    <row r="165" spans="1:1" x14ac:dyDescent="0.3">
      <c r="A165" s="47">
        <v>1</v>
      </c>
    </row>
    <row r="166" spans="1:1" x14ac:dyDescent="0.3">
      <c r="A166" s="46" t="s">
        <v>37</v>
      </c>
    </row>
    <row r="167" spans="1:1" x14ac:dyDescent="0.3">
      <c r="A167" s="47" t="s">
        <v>2765</v>
      </c>
    </row>
    <row r="168" spans="1:1" x14ac:dyDescent="0.3">
      <c r="A168" s="47">
        <v>1</v>
      </c>
    </row>
    <row r="169" spans="1:1" x14ac:dyDescent="0.3">
      <c r="A169" s="46" t="s">
        <v>38</v>
      </c>
    </row>
    <row r="170" spans="1:1" x14ac:dyDescent="0.3">
      <c r="A170" s="47" t="s">
        <v>2765</v>
      </c>
    </row>
    <row r="171" spans="1:1" x14ac:dyDescent="0.3">
      <c r="A171" s="47">
        <v>1</v>
      </c>
    </row>
    <row r="172" spans="1:1" x14ac:dyDescent="0.3">
      <c r="A172" s="46" t="s">
        <v>2650</v>
      </c>
    </row>
    <row r="173" spans="1:1" x14ac:dyDescent="0.3">
      <c r="A173" s="47" t="s">
        <v>2765</v>
      </c>
    </row>
    <row r="174" spans="1:1" x14ac:dyDescent="0.3">
      <c r="A174" s="47">
        <v>1</v>
      </c>
    </row>
    <row r="175" spans="1:1" x14ac:dyDescent="0.3">
      <c r="A175" s="46" t="s">
        <v>2647</v>
      </c>
    </row>
    <row r="176" spans="1:1" x14ac:dyDescent="0.3">
      <c r="A176" s="47" t="s">
        <v>2765</v>
      </c>
    </row>
    <row r="177" spans="1:1" x14ac:dyDescent="0.3">
      <c r="A177" s="47">
        <v>1</v>
      </c>
    </row>
    <row r="178" spans="1:1" x14ac:dyDescent="0.3">
      <c r="A178" s="46" t="s">
        <v>2752</v>
      </c>
    </row>
    <row r="179" spans="1:1" x14ac:dyDescent="0.3">
      <c r="A179" s="47" t="s">
        <v>2765</v>
      </c>
    </row>
    <row r="180" spans="1:1" x14ac:dyDescent="0.3">
      <c r="A180" s="48">
        <v>0.86070686070686075</v>
      </c>
    </row>
    <row r="181" spans="1:1" x14ac:dyDescent="0.3">
      <c r="A181" s="46" t="s">
        <v>2760</v>
      </c>
    </row>
  </sheetData>
  <mergeCells count="1">
    <mergeCell ref="A70:C70"/>
  </mergeCells>
  <hyperlinks>
    <hyperlink ref="D2" location="Capturados!A2" display="Capturados!A2" xr:uid="{D315B8EE-A58A-45FA-9908-6236EACE5482}"/>
    <hyperlink ref="D3" location="Capturados!A3" display="Capturados!A3" xr:uid="{9F02358A-5CD2-4C28-A5DB-9913207F1E5B}"/>
    <hyperlink ref="D4" location="Capturados!A126" display="Capturados!A126" xr:uid="{83B28495-5697-4994-A2C8-9C98902A458C}"/>
    <hyperlink ref="E4" location="FALTAN!A2" display="FALTAN!A2" xr:uid="{078AAD21-1086-434E-AB4C-EF59A5DC1976}"/>
    <hyperlink ref="E5" location="FALTAN!A3" display="FALTAN!A3" xr:uid="{E7AC6573-51B5-469B-B22F-EEA0C02694B7}"/>
    <hyperlink ref="D6" location="Capturados!A164" display="Capturados!A164" xr:uid="{76B7BF36-3F0F-4853-BC51-E8AC69F389A8}"/>
    <hyperlink ref="D7" location="Capturados!A165" display="Capturados!A165" xr:uid="{99A5479D-9EBD-44FE-AE19-989F2A36A4B6}"/>
    <hyperlink ref="E7" location="FALTAN!A5" display="FALTAN!A5" xr:uid="{DDBBD72D-A967-4C30-A90E-D122F8ABDE2F}"/>
    <hyperlink ref="D8" location="Capturados!A256" display="Capturados!A256" xr:uid="{7A47D4BD-02E8-46B7-84BA-9344E4B1BD8F}"/>
    <hyperlink ref="E8" location="FALTAN!A18" display="FALTAN!A18" xr:uid="{665C947D-201A-4B36-901E-9830B66596A2}"/>
    <hyperlink ref="E9" location="FALTAN!A34" display="FALTAN!A34" xr:uid="{22526BE8-0021-4A64-922E-D413E9E856DB}"/>
    <hyperlink ref="E11" location="FALTAN!A79" display="FALTAN!A79" xr:uid="{A3B637A8-1BFC-414E-9D46-3F9265933276}"/>
    <hyperlink ref="D12" location="Capturados!A298" display="Capturados!A298" xr:uid="{70A9FFCF-3371-451D-9B61-D8380592F28F}"/>
    <hyperlink ref="E12" location="FALTAN!A81" display="FALTAN!A81" xr:uid="{ED3BFFF5-C07B-4E70-A481-A4EA3469B6D9}"/>
    <hyperlink ref="D13" location="Capturados!A301" display="Capturados!A301" xr:uid="{40D6EA5D-A53C-4F73-B3B2-15BADD8B1754}"/>
    <hyperlink ref="E13" location="FALTAN!A84" display="FALTAN!A84" xr:uid="{2EF50302-5264-4E09-8141-C09544F21EC9}"/>
    <hyperlink ref="D14" location="Capturados!A302" display="Capturados!A302" xr:uid="{1A4A7090-5B66-438D-BA13-1A116F8974D8}"/>
    <hyperlink ref="E14" location="FALTAN!A92" display="FALTAN!A92" xr:uid="{C51F6313-09DC-4F1D-B348-2293A06803CA}"/>
    <hyperlink ref="E15" location="FALTAN!A93" display="FALTAN!A93" xr:uid="{73849C7A-3B48-4187-8C40-E744878FD41B}"/>
    <hyperlink ref="D16" location="Capturados!A333" display="Capturados!A333" xr:uid="{ADB1A9FC-AE9A-42FB-8A0F-70F074ADF23F}"/>
    <hyperlink ref="D17" location="Capturados!A377" display="Capturados!A377" xr:uid="{3A444CE6-C333-43E4-B057-38387AD6BB33}"/>
    <hyperlink ref="E17" location="FALTAN!A94" display="FALTAN!A94" xr:uid="{760BC7DA-3F34-47D3-8C84-710E08F4B1DE}"/>
    <hyperlink ref="E18" location="FALTAN!A120" display="FALTAN!A120" xr:uid="{5D668FE5-04B8-42C3-BCB8-2D9A47F3C6B2}"/>
    <hyperlink ref="D19" location="Capturados!A400" display="Capturados!A400" xr:uid="{65EEB7CD-4AE6-4BEA-9F96-1E169B20411F}"/>
    <hyperlink ref="E20" location="FALTAN!A137" display="FALTAN!A137" xr:uid="{7C91314C-11A7-4926-93CF-6F8EE7C8AE28}"/>
    <hyperlink ref="D21" location="Capturados!A405" display="Capturados!A405" xr:uid="{8E44B471-BFCD-42A4-B2A7-FD16A373A291}"/>
    <hyperlink ref="D22" location="Capturados!A406" display="Capturados!A406" xr:uid="{6EED3D49-8675-410D-9C41-B92BB7894EF4}"/>
    <hyperlink ref="E10" location="FALTAN!A78" display="FALTAN!A78" xr:uid="{0E70ACD6-F449-4F6B-BD29-3ACB3361B0F0}"/>
  </hyperlinks>
  <pageMargins left="0.75" right="0.75" top="1" bottom="1" header="0.5" footer="0.5"/>
  <drawing r:id="rId4"/>
  <tableParts count="2">
    <tablePart r:id="rId5"/>
    <tablePart r:id="rId6"/>
  </tableParts>
  <extLst>
    <ext xmlns:x14="http://schemas.microsoft.com/office/spreadsheetml/2009/9/main" uri="{A8765BA9-456A-4dab-B4F3-ACF838C121DE}">
      <x14:slicerList>
        <x14:slicer r:id="rId7"/>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ADAFA-17C5-40A3-BF87-AE9BAE993B88}">
  <sheetPr>
    <tabColor rgb="FFFF0000"/>
  </sheetPr>
  <dimension ref="A1:H55"/>
  <sheetViews>
    <sheetView topLeftCell="A16" zoomScale="72" zoomScaleNormal="46" workbookViewId="0"/>
  </sheetViews>
  <sheetFormatPr baseColWidth="10" defaultRowHeight="14.4" x14ac:dyDescent="0.3"/>
  <cols>
    <col min="1" max="1" width="25.44140625" style="15" bestFit="1" customWidth="1"/>
    <col min="2" max="2" width="23.77734375" style="15" bestFit="1" customWidth="1"/>
    <col min="3" max="3" width="23.21875" style="15" bestFit="1" customWidth="1"/>
    <col min="4" max="4" width="13.6640625" style="15" bestFit="1" customWidth="1"/>
    <col min="5" max="5" width="9.21875" style="15" bestFit="1" customWidth="1"/>
    <col min="6" max="6" width="12.6640625" style="15" bestFit="1" customWidth="1"/>
    <col min="7" max="7" width="17.6640625" style="15" bestFit="1" customWidth="1"/>
    <col min="8" max="8" width="12.6640625" style="15" bestFit="1" customWidth="1"/>
    <col min="9" max="16384" width="11.5546875" style="15"/>
  </cols>
  <sheetData>
    <row r="1" spans="1:8" x14ac:dyDescent="0.3">
      <c r="A1" s="15" t="s">
        <v>2</v>
      </c>
      <c r="B1" s="15" t="s">
        <v>3</v>
      </c>
      <c r="C1" s="15" t="s">
        <v>4</v>
      </c>
      <c r="D1" s="15" t="s">
        <v>5</v>
      </c>
      <c r="E1" s="15" t="s">
        <v>6</v>
      </c>
      <c r="F1" s="15" t="s">
        <v>7</v>
      </c>
      <c r="G1" s="15" t="s">
        <v>39</v>
      </c>
    </row>
    <row r="2" spans="1:8" x14ac:dyDescent="0.3">
      <c r="A2" s="15" t="s">
        <v>8</v>
      </c>
      <c r="B2" s="15">
        <v>0</v>
      </c>
      <c r="C2" s="15">
        <v>1</v>
      </c>
      <c r="D2" s="15">
        <v>0</v>
      </c>
      <c r="E2" s="15">
        <v>1</v>
      </c>
      <c r="F2" s="18" t="s">
        <v>9</v>
      </c>
    </row>
    <row r="3" spans="1:8" x14ac:dyDescent="0.3">
      <c r="A3" s="15" t="s">
        <v>10</v>
      </c>
      <c r="B3" s="15">
        <v>238</v>
      </c>
      <c r="C3" s="15">
        <v>116</v>
      </c>
      <c r="D3" s="15">
        <v>116</v>
      </c>
      <c r="E3" s="15">
        <v>0</v>
      </c>
      <c r="F3" s="18">
        <v>1</v>
      </c>
    </row>
    <row r="4" spans="1:8" x14ac:dyDescent="0.3">
      <c r="A4" s="15" t="s">
        <v>12</v>
      </c>
      <c r="B4" s="15">
        <v>32</v>
      </c>
      <c r="C4" s="15">
        <v>36</v>
      </c>
      <c r="D4" s="15">
        <v>29</v>
      </c>
      <c r="E4" s="15">
        <v>7</v>
      </c>
      <c r="F4" s="18" t="s">
        <v>13</v>
      </c>
    </row>
    <row r="5" spans="1:8" x14ac:dyDescent="0.3">
      <c r="A5" s="15" t="s">
        <v>14</v>
      </c>
      <c r="B5" s="15">
        <v>0</v>
      </c>
      <c r="C5" s="15">
        <v>2</v>
      </c>
      <c r="D5" s="15">
        <v>0</v>
      </c>
      <c r="E5" s="15">
        <v>2</v>
      </c>
      <c r="F5" s="18" t="s">
        <v>9</v>
      </c>
    </row>
    <row r="6" spans="1:8" x14ac:dyDescent="0.3">
      <c r="A6" s="15" t="s">
        <v>15</v>
      </c>
      <c r="B6" s="15">
        <v>0</v>
      </c>
      <c r="C6" s="15">
        <v>1</v>
      </c>
      <c r="D6" s="15">
        <v>0</v>
      </c>
      <c r="E6" s="15">
        <v>1</v>
      </c>
      <c r="F6" s="18" t="s">
        <v>9</v>
      </c>
    </row>
    <row r="7" spans="1:8" x14ac:dyDescent="0.3">
      <c r="A7" s="15" t="s">
        <v>16</v>
      </c>
      <c r="B7" s="15">
        <v>197</v>
      </c>
      <c r="C7" s="15">
        <v>109</v>
      </c>
      <c r="D7" s="15">
        <v>91</v>
      </c>
      <c r="E7" s="15">
        <v>18</v>
      </c>
      <c r="F7" s="18" t="s">
        <v>17</v>
      </c>
    </row>
    <row r="8" spans="1:8" x14ac:dyDescent="0.3">
      <c r="A8" s="15" t="s">
        <v>18</v>
      </c>
      <c r="B8" s="15">
        <v>91</v>
      </c>
      <c r="C8" s="15">
        <v>68</v>
      </c>
      <c r="D8" s="15">
        <v>42</v>
      </c>
      <c r="E8" s="15">
        <v>26</v>
      </c>
      <c r="F8" s="18" t="s">
        <v>19</v>
      </c>
    </row>
    <row r="9" spans="1:8" x14ac:dyDescent="0.3">
      <c r="A9" s="15" t="s">
        <v>20</v>
      </c>
      <c r="B9" s="15">
        <v>0</v>
      </c>
      <c r="C9" s="15">
        <v>2</v>
      </c>
      <c r="D9" s="15">
        <v>0</v>
      </c>
      <c r="E9" s="15">
        <v>2</v>
      </c>
      <c r="F9" s="18" t="s">
        <v>9</v>
      </c>
    </row>
    <row r="10" spans="1:8" x14ac:dyDescent="0.3">
      <c r="A10" s="15" t="s">
        <v>22</v>
      </c>
      <c r="B10" s="15">
        <v>0</v>
      </c>
      <c r="C10" s="15">
        <v>1</v>
      </c>
      <c r="D10" s="15">
        <v>0</v>
      </c>
      <c r="E10" s="15">
        <v>1</v>
      </c>
      <c r="F10" s="18" t="s">
        <v>9</v>
      </c>
    </row>
    <row r="11" spans="1:8" x14ac:dyDescent="0.3">
      <c r="A11" s="15" t="s">
        <v>23</v>
      </c>
      <c r="B11" s="15">
        <v>0</v>
      </c>
      <c r="C11" s="15">
        <v>1</v>
      </c>
      <c r="D11" s="15">
        <v>0</v>
      </c>
      <c r="E11" s="15">
        <v>1</v>
      </c>
      <c r="F11" s="18" t="s">
        <v>9</v>
      </c>
    </row>
    <row r="12" spans="1:8" x14ac:dyDescent="0.3">
      <c r="A12" s="15" t="s">
        <v>2766</v>
      </c>
      <c r="B12" s="15">
        <v>0</v>
      </c>
      <c r="C12" s="15">
        <v>1</v>
      </c>
      <c r="D12" s="15">
        <v>0</v>
      </c>
      <c r="E12" s="15">
        <v>1</v>
      </c>
      <c r="F12" s="18" t="s">
        <v>9</v>
      </c>
    </row>
    <row r="13" spans="1:8" x14ac:dyDescent="0.3">
      <c r="A13" s="15" t="s">
        <v>25</v>
      </c>
      <c r="B13" s="15">
        <v>0</v>
      </c>
      <c r="C13" s="15">
        <v>5</v>
      </c>
      <c r="D13" s="15">
        <v>0</v>
      </c>
      <c r="E13" s="15">
        <v>5</v>
      </c>
      <c r="F13" s="18" t="s">
        <v>9</v>
      </c>
    </row>
    <row r="14" spans="1:8" x14ac:dyDescent="0.3">
      <c r="A14" s="15" t="s">
        <v>26</v>
      </c>
      <c r="B14" s="15">
        <v>0</v>
      </c>
      <c r="C14" s="15">
        <v>9</v>
      </c>
      <c r="D14" s="15">
        <v>0</v>
      </c>
      <c r="E14" s="15">
        <v>9</v>
      </c>
      <c r="F14" s="18" t="s">
        <v>9</v>
      </c>
    </row>
    <row r="15" spans="1:8" x14ac:dyDescent="0.3">
      <c r="A15" s="15" t="s">
        <v>27</v>
      </c>
      <c r="B15" s="15">
        <v>32</v>
      </c>
      <c r="C15" s="15">
        <v>24</v>
      </c>
      <c r="D15" s="15">
        <v>19</v>
      </c>
      <c r="E15" s="15">
        <v>5</v>
      </c>
      <c r="F15" s="18" t="s">
        <v>28</v>
      </c>
      <c r="H15" s="15" t="s">
        <v>2753</v>
      </c>
    </row>
    <row r="16" spans="1:8" x14ac:dyDescent="0.3">
      <c r="A16" s="15" t="s">
        <v>2753</v>
      </c>
      <c r="B16" s="15">
        <v>0</v>
      </c>
      <c r="C16" s="15">
        <v>1</v>
      </c>
      <c r="D16" s="15">
        <v>0</v>
      </c>
      <c r="E16" s="15">
        <v>1</v>
      </c>
      <c r="F16" s="18" t="s">
        <v>9</v>
      </c>
    </row>
    <row r="17" spans="1:7" x14ac:dyDescent="0.3">
      <c r="A17" s="15" t="s">
        <v>30</v>
      </c>
      <c r="B17" s="15">
        <v>46</v>
      </c>
      <c r="C17" s="15">
        <v>47</v>
      </c>
      <c r="D17" s="15">
        <v>39</v>
      </c>
      <c r="E17" s="15">
        <v>8</v>
      </c>
      <c r="F17" s="18" t="s">
        <v>31</v>
      </c>
    </row>
    <row r="18" spans="1:7" x14ac:dyDescent="0.3">
      <c r="A18" s="15" t="s">
        <v>32</v>
      </c>
      <c r="B18" s="15">
        <v>45</v>
      </c>
      <c r="C18" s="15">
        <v>47</v>
      </c>
      <c r="D18" s="15">
        <v>27</v>
      </c>
      <c r="E18" s="15">
        <v>20</v>
      </c>
      <c r="F18" s="18" t="s">
        <v>33</v>
      </c>
    </row>
    <row r="19" spans="1:7" x14ac:dyDescent="0.3">
      <c r="A19" s="15" t="s">
        <v>34</v>
      </c>
      <c r="B19" s="15">
        <v>0</v>
      </c>
      <c r="C19" s="15">
        <v>3</v>
      </c>
      <c r="D19" s="15">
        <v>0</v>
      </c>
      <c r="E19" s="15">
        <v>3</v>
      </c>
      <c r="F19" s="18" t="s">
        <v>9</v>
      </c>
    </row>
    <row r="20" spans="1:7" x14ac:dyDescent="0.3">
      <c r="A20" s="15" t="s">
        <v>36</v>
      </c>
      <c r="B20" s="15">
        <v>0</v>
      </c>
      <c r="C20" s="15">
        <v>1</v>
      </c>
      <c r="D20" s="15">
        <v>0</v>
      </c>
      <c r="E20" s="15">
        <v>1</v>
      </c>
      <c r="F20" s="18" t="s">
        <v>9</v>
      </c>
    </row>
    <row r="21" spans="1:7" x14ac:dyDescent="0.3">
      <c r="A21" s="15" t="s">
        <v>37</v>
      </c>
      <c r="B21" s="15">
        <v>0</v>
      </c>
      <c r="C21" s="15">
        <v>3</v>
      </c>
      <c r="D21" s="15">
        <v>0</v>
      </c>
      <c r="E21" s="15">
        <v>3</v>
      </c>
      <c r="F21" s="18" t="s">
        <v>9</v>
      </c>
    </row>
    <row r="22" spans="1:7" x14ac:dyDescent="0.3">
      <c r="A22" s="15" t="s">
        <v>38</v>
      </c>
      <c r="B22" s="15">
        <v>0</v>
      </c>
      <c r="C22" s="15">
        <v>1</v>
      </c>
      <c r="D22" s="15">
        <v>0</v>
      </c>
      <c r="E22" s="15">
        <v>1</v>
      </c>
      <c r="F22" s="18" t="s">
        <v>9</v>
      </c>
    </row>
    <row r="23" spans="1:7" x14ac:dyDescent="0.3">
      <c r="A23" s="15" t="s">
        <v>39</v>
      </c>
      <c r="B23" s="15">
        <v>681</v>
      </c>
      <c r="C23" s="15">
        <v>479</v>
      </c>
      <c r="D23" s="15">
        <v>361</v>
      </c>
      <c r="E23" s="15">
        <v>116</v>
      </c>
      <c r="F23" s="16" t="s">
        <v>41</v>
      </c>
      <c r="G23" s="17">
        <v>1</v>
      </c>
    </row>
    <row r="25" spans="1:7" x14ac:dyDescent="0.3">
      <c r="A25" s="45" t="s">
        <v>2754</v>
      </c>
      <c r="B25" t="s">
        <v>2757</v>
      </c>
      <c r="C25" t="s">
        <v>2758</v>
      </c>
      <c r="D25"/>
    </row>
    <row r="26" spans="1:7" x14ac:dyDescent="0.3">
      <c r="A26" s="46" t="s">
        <v>38</v>
      </c>
      <c r="B26">
        <v>0</v>
      </c>
      <c r="C26">
        <v>1</v>
      </c>
      <c r="D26"/>
    </row>
    <row r="27" spans="1:7" x14ac:dyDescent="0.3">
      <c r="A27" s="46" t="s">
        <v>37</v>
      </c>
      <c r="B27">
        <v>0</v>
      </c>
      <c r="C27">
        <v>3</v>
      </c>
      <c r="D27"/>
    </row>
    <row r="28" spans="1:7" x14ac:dyDescent="0.3">
      <c r="A28" s="46" t="s">
        <v>36</v>
      </c>
      <c r="B28">
        <v>0</v>
      </c>
      <c r="C28">
        <v>1</v>
      </c>
      <c r="D28"/>
    </row>
    <row r="29" spans="1:7" x14ac:dyDescent="0.3">
      <c r="A29" s="46" t="s">
        <v>34</v>
      </c>
      <c r="B29">
        <v>0</v>
      </c>
      <c r="C29">
        <v>3</v>
      </c>
      <c r="D29"/>
    </row>
    <row r="30" spans="1:7" x14ac:dyDescent="0.3">
      <c r="A30" s="46" t="s">
        <v>32</v>
      </c>
      <c r="B30">
        <v>27</v>
      </c>
      <c r="C30">
        <v>20</v>
      </c>
      <c r="D30"/>
    </row>
    <row r="31" spans="1:7" x14ac:dyDescent="0.3">
      <c r="A31" s="46" t="s">
        <v>30</v>
      </c>
      <c r="B31">
        <v>39</v>
      </c>
      <c r="C31">
        <v>8</v>
      </c>
      <c r="D31"/>
    </row>
    <row r="32" spans="1:7" x14ac:dyDescent="0.3">
      <c r="A32" s="46" t="s">
        <v>2753</v>
      </c>
      <c r="B32">
        <v>0</v>
      </c>
      <c r="C32">
        <v>1</v>
      </c>
      <c r="D32"/>
    </row>
    <row r="33" spans="1:4" x14ac:dyDescent="0.3">
      <c r="A33" s="46" t="s">
        <v>27</v>
      </c>
      <c r="B33">
        <v>19</v>
      </c>
      <c r="C33">
        <v>5</v>
      </c>
      <c r="D33"/>
    </row>
    <row r="34" spans="1:4" x14ac:dyDescent="0.3">
      <c r="A34" s="46" t="s">
        <v>26</v>
      </c>
      <c r="B34">
        <v>0</v>
      </c>
      <c r="C34">
        <v>9</v>
      </c>
      <c r="D34"/>
    </row>
    <row r="35" spans="1:4" x14ac:dyDescent="0.3">
      <c r="A35" s="46" t="s">
        <v>25</v>
      </c>
      <c r="B35">
        <v>0</v>
      </c>
      <c r="C35">
        <v>5</v>
      </c>
      <c r="D35"/>
    </row>
    <row r="36" spans="1:4" x14ac:dyDescent="0.3">
      <c r="A36" s="46" t="s">
        <v>2766</v>
      </c>
      <c r="B36">
        <v>0</v>
      </c>
      <c r="C36">
        <v>1</v>
      </c>
      <c r="D36"/>
    </row>
    <row r="37" spans="1:4" x14ac:dyDescent="0.3">
      <c r="A37" s="46" t="s">
        <v>23</v>
      </c>
      <c r="B37">
        <v>0</v>
      </c>
      <c r="C37">
        <v>1</v>
      </c>
      <c r="D37"/>
    </row>
    <row r="38" spans="1:4" x14ac:dyDescent="0.3">
      <c r="A38" s="46" t="s">
        <v>22</v>
      </c>
      <c r="B38">
        <v>0</v>
      </c>
      <c r="C38">
        <v>1</v>
      </c>
      <c r="D38"/>
    </row>
    <row r="39" spans="1:4" x14ac:dyDescent="0.3">
      <c r="A39" s="46" t="s">
        <v>20</v>
      </c>
      <c r="B39">
        <v>0</v>
      </c>
      <c r="C39">
        <v>2</v>
      </c>
      <c r="D39"/>
    </row>
    <row r="40" spans="1:4" x14ac:dyDescent="0.3">
      <c r="A40" s="46" t="s">
        <v>18</v>
      </c>
      <c r="B40">
        <v>42</v>
      </c>
      <c r="C40">
        <v>26</v>
      </c>
      <c r="D40"/>
    </row>
    <row r="41" spans="1:4" x14ac:dyDescent="0.3">
      <c r="A41" s="46" t="s">
        <v>16</v>
      </c>
      <c r="B41">
        <v>91</v>
      </c>
      <c r="C41">
        <v>18</v>
      </c>
      <c r="D41"/>
    </row>
    <row r="42" spans="1:4" x14ac:dyDescent="0.3">
      <c r="A42" s="46" t="s">
        <v>15</v>
      </c>
      <c r="B42">
        <v>0</v>
      </c>
      <c r="C42">
        <v>1</v>
      </c>
      <c r="D42"/>
    </row>
    <row r="43" spans="1:4" x14ac:dyDescent="0.3">
      <c r="A43" s="46" t="s">
        <v>14</v>
      </c>
      <c r="B43">
        <v>0</v>
      </c>
      <c r="C43">
        <v>2</v>
      </c>
      <c r="D43"/>
    </row>
    <row r="44" spans="1:4" x14ac:dyDescent="0.3">
      <c r="A44" s="46" t="s">
        <v>12</v>
      </c>
      <c r="B44">
        <v>29</v>
      </c>
      <c r="C44">
        <v>7</v>
      </c>
      <c r="D44"/>
    </row>
    <row r="45" spans="1:4" x14ac:dyDescent="0.3">
      <c r="A45" s="46" t="s">
        <v>10</v>
      </c>
      <c r="B45">
        <v>116</v>
      </c>
      <c r="C45">
        <v>0</v>
      </c>
      <c r="D45"/>
    </row>
    <row r="46" spans="1:4" x14ac:dyDescent="0.3">
      <c r="A46" s="46" t="s">
        <v>8</v>
      </c>
      <c r="B46">
        <v>0</v>
      </c>
      <c r="C46">
        <v>1</v>
      </c>
      <c r="D46"/>
    </row>
    <row r="47" spans="1:4" x14ac:dyDescent="0.3">
      <c r="A47"/>
      <c r="B47"/>
      <c r="C47"/>
    </row>
    <row r="49" spans="1:4" x14ac:dyDescent="0.3">
      <c r="A49" s="45" t="s">
        <v>2754</v>
      </c>
      <c r="B49" t="s">
        <v>2758</v>
      </c>
      <c r="C49" t="s">
        <v>2757</v>
      </c>
      <c r="D49" t="s">
        <v>2756</v>
      </c>
    </row>
    <row r="50" spans="1:4" x14ac:dyDescent="0.3">
      <c r="A50" s="46" t="s">
        <v>16</v>
      </c>
      <c r="B50">
        <v>18</v>
      </c>
      <c r="C50">
        <v>91</v>
      </c>
      <c r="D50">
        <v>109</v>
      </c>
    </row>
    <row r="51" spans="1:4" x14ac:dyDescent="0.3">
      <c r="A51" s="46" t="s">
        <v>18</v>
      </c>
      <c r="B51">
        <v>26</v>
      </c>
      <c r="C51">
        <v>42</v>
      </c>
      <c r="D51">
        <v>68</v>
      </c>
    </row>
    <row r="52" spans="1:4" x14ac:dyDescent="0.3">
      <c r="A52" s="46" t="s">
        <v>22</v>
      </c>
      <c r="B52">
        <v>1</v>
      </c>
      <c r="C52">
        <v>0</v>
      </c>
      <c r="D52">
        <v>1</v>
      </c>
    </row>
    <row r="53" spans="1:4" x14ac:dyDescent="0.3">
      <c r="A53" s="46" t="s">
        <v>25</v>
      </c>
      <c r="B53">
        <v>5</v>
      </c>
      <c r="C53">
        <v>0</v>
      </c>
      <c r="D53">
        <v>5</v>
      </c>
    </row>
    <row r="54" spans="1:4" x14ac:dyDescent="0.3">
      <c r="A54" s="46" t="s">
        <v>26</v>
      </c>
      <c r="B54">
        <v>9</v>
      </c>
      <c r="C54">
        <v>0</v>
      </c>
      <c r="D54">
        <v>9</v>
      </c>
    </row>
    <row r="55" spans="1:4" x14ac:dyDescent="0.3">
      <c r="A55" s="46" t="s">
        <v>32</v>
      </c>
      <c r="B55">
        <v>20</v>
      </c>
      <c r="C55">
        <v>27</v>
      </c>
      <c r="D55">
        <v>47</v>
      </c>
    </row>
  </sheetData>
  <pageMargins left="0.7" right="0.7" top="0.75" bottom="0.75" header="0.3" footer="0.3"/>
  <drawing r:id="rId3"/>
  <tableParts count="1">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B2658-F3F9-477C-88DB-B5EFA7BA0015}">
  <sheetPr>
    <tabColor rgb="FFFF0000"/>
  </sheetPr>
  <dimension ref="A1:T29"/>
  <sheetViews>
    <sheetView workbookViewId="0"/>
  </sheetViews>
  <sheetFormatPr baseColWidth="10" defaultRowHeight="14.4" x14ac:dyDescent="0.3"/>
  <cols>
    <col min="1" max="1" width="16.5546875" style="15" bestFit="1" customWidth="1"/>
    <col min="2" max="2" width="28.5546875" style="15" bestFit="1" customWidth="1"/>
    <col min="3" max="3" width="28.109375" style="15" bestFit="1" customWidth="1"/>
    <col min="4" max="4" width="18.5546875" style="15" bestFit="1" customWidth="1"/>
    <col min="5" max="5" width="13.88671875" style="15" bestFit="1" customWidth="1"/>
    <col min="6" max="6" width="17.44140625" style="15" bestFit="1" customWidth="1"/>
    <col min="7" max="7" width="16.88671875" style="15" bestFit="1" customWidth="1"/>
    <col min="8" max="16384" width="11.5546875" style="15"/>
  </cols>
  <sheetData>
    <row r="1" spans="1:20" x14ac:dyDescent="0.3">
      <c r="A1" s="15" t="s">
        <v>2</v>
      </c>
      <c r="B1" s="15" t="s">
        <v>3</v>
      </c>
      <c r="C1" s="15" t="s">
        <v>4</v>
      </c>
      <c r="D1" s="15" t="s">
        <v>5</v>
      </c>
      <c r="E1" s="15" t="s">
        <v>6</v>
      </c>
      <c r="F1" s="15" t="s">
        <v>7</v>
      </c>
      <c r="G1" s="15" t="s">
        <v>39</v>
      </c>
      <c r="N1" s="15" t="s">
        <v>2752</v>
      </c>
      <c r="O1" s="15">
        <v>794</v>
      </c>
      <c r="P1" s="15">
        <v>481</v>
      </c>
      <c r="Q1" s="15">
        <v>414</v>
      </c>
      <c r="R1" s="15">
        <v>67</v>
      </c>
      <c r="S1" s="16">
        <v>0.86070686070686075</v>
      </c>
      <c r="T1" s="16">
        <v>1</v>
      </c>
    </row>
    <row r="2" spans="1:20" x14ac:dyDescent="0.3">
      <c r="A2" s="15" t="s">
        <v>8</v>
      </c>
      <c r="B2" s="15">
        <v>0</v>
      </c>
      <c r="C2" s="15">
        <v>1</v>
      </c>
      <c r="D2" s="15">
        <v>0</v>
      </c>
      <c r="E2" s="15">
        <v>1</v>
      </c>
      <c r="F2" s="16">
        <v>0</v>
      </c>
    </row>
    <row r="3" spans="1:20" x14ac:dyDescent="0.3">
      <c r="A3" s="15" t="s">
        <v>10</v>
      </c>
      <c r="B3" s="15">
        <v>238</v>
      </c>
      <c r="C3" s="15">
        <v>116</v>
      </c>
      <c r="D3" s="15">
        <v>116</v>
      </c>
      <c r="E3" s="15">
        <v>0</v>
      </c>
      <c r="F3" s="16">
        <v>1</v>
      </c>
    </row>
    <row r="4" spans="1:20" x14ac:dyDescent="0.3">
      <c r="A4" s="15" t="s">
        <v>12</v>
      </c>
      <c r="B4" s="15">
        <v>32</v>
      </c>
      <c r="C4" s="15">
        <v>36</v>
      </c>
      <c r="D4" s="15">
        <v>29</v>
      </c>
      <c r="E4" s="15">
        <v>7</v>
      </c>
      <c r="F4" s="16">
        <v>0.80600000000000005</v>
      </c>
    </row>
    <row r="5" spans="1:20" x14ac:dyDescent="0.3">
      <c r="A5" s="15" t="s">
        <v>14</v>
      </c>
      <c r="B5" s="15">
        <v>0</v>
      </c>
      <c r="C5" s="15">
        <v>2</v>
      </c>
      <c r="D5" s="15">
        <v>0</v>
      </c>
      <c r="E5" s="15">
        <v>2</v>
      </c>
      <c r="F5" s="16">
        <v>0</v>
      </c>
    </row>
    <row r="6" spans="1:20" x14ac:dyDescent="0.3">
      <c r="A6" s="15" t="s">
        <v>15</v>
      </c>
      <c r="B6" s="15">
        <v>0</v>
      </c>
      <c r="C6" s="15">
        <v>1</v>
      </c>
      <c r="D6" s="15">
        <v>0</v>
      </c>
      <c r="E6" s="15">
        <v>1</v>
      </c>
      <c r="F6" s="16">
        <v>0</v>
      </c>
    </row>
    <row r="7" spans="1:20" x14ac:dyDescent="0.3">
      <c r="A7" s="15" t="s">
        <v>16</v>
      </c>
      <c r="B7" s="15">
        <v>197</v>
      </c>
      <c r="C7" s="15">
        <v>109</v>
      </c>
      <c r="D7" s="15">
        <v>91</v>
      </c>
      <c r="E7" s="15">
        <v>18</v>
      </c>
      <c r="F7" s="16">
        <v>0.83</v>
      </c>
    </row>
    <row r="8" spans="1:20" x14ac:dyDescent="0.3">
      <c r="A8" s="15" t="s">
        <v>18</v>
      </c>
      <c r="B8" s="15">
        <v>91</v>
      </c>
      <c r="C8" s="15">
        <v>68</v>
      </c>
      <c r="D8" s="15">
        <v>42</v>
      </c>
      <c r="E8" s="15">
        <v>26</v>
      </c>
      <c r="F8" s="16">
        <v>0.61799999999999999</v>
      </c>
    </row>
    <row r="9" spans="1:20" x14ac:dyDescent="0.3">
      <c r="A9" s="15" t="s">
        <v>20</v>
      </c>
      <c r="B9" s="15">
        <v>0</v>
      </c>
      <c r="C9" s="15">
        <v>2</v>
      </c>
      <c r="D9" s="15">
        <v>0</v>
      </c>
      <c r="E9" s="15">
        <v>2</v>
      </c>
      <c r="F9" s="16">
        <v>0</v>
      </c>
    </row>
    <row r="10" spans="1:20" x14ac:dyDescent="0.3">
      <c r="A10" s="15" t="s">
        <v>22</v>
      </c>
      <c r="B10" s="15">
        <v>0</v>
      </c>
      <c r="C10" s="15">
        <v>1</v>
      </c>
      <c r="D10" s="15">
        <v>0</v>
      </c>
      <c r="E10" s="15">
        <v>1</v>
      </c>
      <c r="F10" s="16">
        <v>0</v>
      </c>
    </row>
    <row r="11" spans="1:20" x14ac:dyDescent="0.3">
      <c r="A11" s="15" t="s">
        <v>23</v>
      </c>
      <c r="B11" s="15">
        <v>0</v>
      </c>
      <c r="C11" s="15">
        <v>1</v>
      </c>
      <c r="D11" s="15">
        <v>0</v>
      </c>
      <c r="E11" s="15">
        <v>1</v>
      </c>
      <c r="F11" s="16">
        <v>0</v>
      </c>
    </row>
    <row r="12" spans="1:20" x14ac:dyDescent="0.3">
      <c r="A12" s="15" t="s">
        <v>2766</v>
      </c>
      <c r="B12" s="15">
        <v>0</v>
      </c>
      <c r="C12" s="15">
        <v>1</v>
      </c>
      <c r="D12" s="15">
        <v>0</v>
      </c>
      <c r="E12" s="15">
        <v>1</v>
      </c>
      <c r="F12" s="16">
        <v>0</v>
      </c>
    </row>
    <row r="13" spans="1:20" x14ac:dyDescent="0.3">
      <c r="A13" s="15" t="s">
        <v>25</v>
      </c>
      <c r="B13" s="15">
        <v>0</v>
      </c>
      <c r="C13" s="15">
        <v>5</v>
      </c>
      <c r="D13" s="15">
        <v>0</v>
      </c>
      <c r="E13" s="15">
        <v>5</v>
      </c>
      <c r="F13" s="16">
        <v>0</v>
      </c>
    </row>
    <row r="14" spans="1:20" x14ac:dyDescent="0.3">
      <c r="A14" s="15" t="s">
        <v>26</v>
      </c>
      <c r="B14" s="15">
        <v>0</v>
      </c>
      <c r="C14" s="15">
        <v>9</v>
      </c>
      <c r="D14" s="15">
        <v>0</v>
      </c>
      <c r="E14" s="15">
        <v>9</v>
      </c>
      <c r="F14" s="16">
        <v>0</v>
      </c>
    </row>
    <row r="15" spans="1:20" x14ac:dyDescent="0.3">
      <c r="A15" s="15" t="s">
        <v>27</v>
      </c>
      <c r="B15" s="15">
        <v>32</v>
      </c>
      <c r="C15" s="15">
        <v>24</v>
      </c>
      <c r="D15" s="15">
        <v>19</v>
      </c>
      <c r="E15" s="15">
        <v>5</v>
      </c>
      <c r="F15" s="16">
        <v>0.79200000000000004</v>
      </c>
    </row>
    <row r="16" spans="1:20" x14ac:dyDescent="0.3">
      <c r="A16" s="15" t="s">
        <v>2753</v>
      </c>
      <c r="B16" s="15">
        <v>0</v>
      </c>
      <c r="C16" s="15">
        <v>1</v>
      </c>
      <c r="D16" s="15">
        <v>0</v>
      </c>
      <c r="E16" s="15">
        <v>1</v>
      </c>
      <c r="F16" s="16">
        <v>0</v>
      </c>
    </row>
    <row r="17" spans="1:11" x14ac:dyDescent="0.3">
      <c r="A17" s="15" t="s">
        <v>30</v>
      </c>
      <c r="B17" s="15">
        <v>46</v>
      </c>
      <c r="C17" s="15">
        <v>47</v>
      </c>
      <c r="D17" s="15">
        <v>39</v>
      </c>
      <c r="E17" s="15">
        <v>8</v>
      </c>
      <c r="F17" s="16">
        <v>8.3000000000000004E-2</v>
      </c>
    </row>
    <row r="18" spans="1:11" x14ac:dyDescent="0.3">
      <c r="A18" s="15" t="s">
        <v>32</v>
      </c>
      <c r="B18" s="15">
        <v>45</v>
      </c>
      <c r="C18" s="15">
        <v>47</v>
      </c>
      <c r="D18" s="15">
        <v>27</v>
      </c>
      <c r="E18" s="15">
        <v>20</v>
      </c>
      <c r="F18" s="16">
        <v>0.57399999999999995</v>
      </c>
    </row>
    <row r="19" spans="1:11" x14ac:dyDescent="0.3">
      <c r="A19" s="15" t="s">
        <v>34</v>
      </c>
      <c r="B19" s="15">
        <v>0</v>
      </c>
      <c r="C19" s="15">
        <v>3</v>
      </c>
      <c r="D19" s="15">
        <v>0</v>
      </c>
      <c r="E19" s="15">
        <v>3</v>
      </c>
      <c r="F19" s="16">
        <v>0</v>
      </c>
    </row>
    <row r="20" spans="1:11" x14ac:dyDescent="0.3">
      <c r="A20" s="15" t="s">
        <v>36</v>
      </c>
      <c r="B20" s="15">
        <v>0</v>
      </c>
      <c r="C20" s="15">
        <v>1</v>
      </c>
      <c r="D20" s="15">
        <v>0</v>
      </c>
      <c r="E20" s="15">
        <v>1</v>
      </c>
      <c r="F20" s="16">
        <v>0</v>
      </c>
    </row>
    <row r="21" spans="1:11" x14ac:dyDescent="0.3">
      <c r="A21" s="15" t="s">
        <v>37</v>
      </c>
      <c r="B21" s="15">
        <v>0</v>
      </c>
      <c r="C21" s="15">
        <v>3</v>
      </c>
      <c r="D21" s="15">
        <v>0</v>
      </c>
      <c r="E21" s="15">
        <v>3</v>
      </c>
      <c r="F21" s="16">
        <v>0</v>
      </c>
    </row>
    <row r="22" spans="1:11" x14ac:dyDescent="0.3">
      <c r="A22" s="15" t="s">
        <v>38</v>
      </c>
      <c r="B22" s="15">
        <v>0</v>
      </c>
      <c r="C22" s="15">
        <v>1</v>
      </c>
      <c r="D22" s="15">
        <v>0</v>
      </c>
      <c r="E22" s="15">
        <v>1</v>
      </c>
      <c r="F22" s="16">
        <v>0</v>
      </c>
    </row>
    <row r="23" spans="1:11" x14ac:dyDescent="0.3">
      <c r="A23" t="s">
        <v>39</v>
      </c>
      <c r="B23">
        <v>681</v>
      </c>
      <c r="C23">
        <v>479</v>
      </c>
      <c r="D23">
        <v>361</v>
      </c>
      <c r="E23">
        <v>116</v>
      </c>
      <c r="F23" s="50">
        <v>0.754</v>
      </c>
      <c r="G23">
        <v>1</v>
      </c>
    </row>
    <row r="26" spans="1:11" x14ac:dyDescent="0.3">
      <c r="A26" s="45" t="s">
        <v>2754</v>
      </c>
      <c r="B26" t="s">
        <v>2755</v>
      </c>
      <c r="C26" t="s">
        <v>2756</v>
      </c>
      <c r="D26" t="s">
        <v>2757</v>
      </c>
      <c r="E26" t="s">
        <v>2758</v>
      </c>
      <c r="F26" t="s">
        <v>2759</v>
      </c>
      <c r="I26" s="15" t="str">
        <f t="shared" ref="I26:K27" si="0">C26</f>
        <v>Suma de Total Contratos Estado</v>
      </c>
      <c r="J26" s="15" t="str">
        <f t="shared" si="0"/>
        <v>Suma de Capturados</v>
      </c>
      <c r="K26" s="15" t="str">
        <f t="shared" si="0"/>
        <v>Suma de Faltan</v>
      </c>
    </row>
    <row r="27" spans="1:11" x14ac:dyDescent="0.3">
      <c r="A27" s="46" t="s">
        <v>39</v>
      </c>
      <c r="B27">
        <v>681</v>
      </c>
      <c r="C27">
        <v>479</v>
      </c>
      <c r="D27">
        <v>361</v>
      </c>
      <c r="E27">
        <v>118</v>
      </c>
      <c r="F27" s="49">
        <v>0.754</v>
      </c>
      <c r="H27" s="15" t="str">
        <f>A27</f>
        <v>TOTAL GENERAL</v>
      </c>
      <c r="I27" s="15">
        <f t="shared" si="0"/>
        <v>479</v>
      </c>
      <c r="J27" s="15">
        <f t="shared" si="0"/>
        <v>361</v>
      </c>
      <c r="K27" s="15">
        <v>116</v>
      </c>
    </row>
    <row r="28" spans="1:11" x14ac:dyDescent="0.3">
      <c r="A28" s="46" t="s">
        <v>2760</v>
      </c>
      <c r="B28">
        <v>681</v>
      </c>
      <c r="C28">
        <v>479</v>
      </c>
      <c r="D28">
        <v>361</v>
      </c>
      <c r="E28">
        <v>118</v>
      </c>
      <c r="F28" s="49">
        <v>0.754</v>
      </c>
      <c r="G28" s="17">
        <f>GETPIVOTDATA("Suma de % Captura",$A$26)</f>
        <v>0.754</v>
      </c>
    </row>
    <row r="29" spans="1:11" x14ac:dyDescent="0.3">
      <c r="A29"/>
      <c r="B29"/>
      <c r="C29"/>
      <c r="D29"/>
      <c r="E29"/>
      <c r="F29"/>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16342B-F6E6-4674-9B09-6E69A6D386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Indicadores</vt:lpstr>
      <vt:lpstr>Indicadores PRIME</vt:lpstr>
      <vt:lpstr>Comparación_Métodos</vt:lpstr>
      <vt:lpstr>Duplicados_Detectados</vt:lpstr>
      <vt:lpstr>Capturados</vt:lpstr>
      <vt:lpstr>FALTAN</vt:lpstr>
      <vt:lpstr>⚠️ Vacíos_Estado</vt:lpstr>
      <vt:lpstr>⚠️ Vacíos_Padrón</vt:lpstr>
      <vt:lpstr>Detalle_Duplicados</vt:lpstr>
      <vt:lpstr>Registros_Eliminados</vt:lpstr>
      <vt:lpstr>MENU DE CONSULTA DR</vt:lpstr>
      <vt:lpstr>TABLA PIVOT</vt:lpstr>
      <vt:lpstr>DATA PARA BARRA </vt:lpstr>
      <vt:lpstr>GRAFICOS</vt:lpstr>
      <vt:lpstr>TARJETAS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Lino Higuera</cp:lastModifiedBy>
  <dcterms:created xsi:type="dcterms:W3CDTF">2025-12-13T19:46:05Z</dcterms:created>
  <dcterms:modified xsi:type="dcterms:W3CDTF">2025-12-15T01:55:35Z</dcterms:modified>
</cp:coreProperties>
</file>